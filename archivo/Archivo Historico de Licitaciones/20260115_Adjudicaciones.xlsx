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<x:sst xmlns:x="http://schemas.openxmlformats.org/spreadsheetml/2006/main" count="11" uniqueCount="11">
  <x:si>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</x:si>
  <x:si>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</x:si>
  <x:si>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</x:si>
  <x:si>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</x:si>
  <x:si>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</x:si>
  <x:si>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</x:si>
  <x:si>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</x:si>
  <x:si>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</x:si>
  <x:si>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</x:si>
  <x:si>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</x:si>
  <x:si>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</x:si>
  <x:si>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</x:si>
  <x:si>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47 SEGUNDOS PRODUCCIONES, S.L</x:t>
  </x:si>
  <x:si>
    <x:t>15/01/2026 0:00:00</x:t>
  </x:si>
  <x:si>
    <x:t>26005286</x:t>
  </x:si>
  <x:si>
    <x:t>RECTORADO DE LA UNIVERSIDAD AUTÓNOMA DE MADRID</x:t>
  </x:si>
  <x:si>
    <x:t>Servicio para la producción de contenido multimedia de calidad (vídeo/fotografía) para la Universidad Autónoma de Madrid (UAM) por precios unitarios</x:t>
  </x:si>
  <x:si>
    <x:t>A-11/26</x:t>
  </x:si>
  <x:si>
    <x:t>Madrid</x:t>
  </x:si>
  <x:si>
    <x:t>LOTE 1 INICIATIVES EVENTS, SL; LOTE 2 INICIATIVES EVENTS, SL; LOTE 3 SERVICIOS AUDIOVISUALES OVERON, S.L.</x:t>
  </x:si>
  <x:si>
    <x:t>26005295</x:t>
  </x:si>
  <x:si>
    <x:t>GENERALITAT DE CATALUNYA. DEPARTAMENTO DE LA PRESIDENCIA</x:t>
  </x:si>
  <x:si>
    <x:t>Contrato de servicios y suministros para la conceptualización, planificación y realización técnica de los actos institucionales y la planificación y realización técnica de la comparecencias del Presidente de la Generalitat de Cataluña. LOTE 1: Realización técnica de los actos institucionales del Presidente de la Generalitat. LOTE 2: Realización técnica de las comparecencias del Presidente de la Generalitat. LOTE 3: Servicio de cámara y servicio de envío de imágenes vía satélite.</x:t>
  </x:si>
  <x:si>
    <x:t>PR-2026-12</x:t>
  </x:si>
  <x:si>
    <x:t>Barcelona</x:t>
  </x:si>
  <x:si>
    <x:t>Ver detalle de la adjudicación</x:t>
  </x:si>
  <x:si>
    <x:t>DATAPLANNING ESPAÑA, S.L</x:t>
  </x:si>
  <x:si>
    <x:t>26005300</x:t>
  </x:si>
  <x:si>
    <x:t>CONSORCI DE TURISME DEL BAIX LLOBREGAT</x:t>
  </x:si>
  <x:si>
    <x:t>Licitación del contrato de servicios de gestión, planificación y contratación de espacios publicitarios para la difusión de las campañas de promoción de otoño e invierno del Consorcio de Turismo del Baix Llobregat.</x:t>
  </x:si>
  <x:si>
    <x:t>2025_146</x:t>
  </x:si>
  <x:si>
    <x:t>Formalizado</x:t>
  </x:si>
  <x:si>
    <x:t>LOTE 2 XAVIER MITJANS GATELL; LOTE 3 TECNOPERPAL S.L.</x:t>
  </x:si>
  <x:si>
    <x:t>26005491</x:t>
  </x:si>
  <x:si>
    <x:t>AYUNTAMIENTO DEL VENDRELL (TARRAGONA)</x:t>
  </x:si>
  <x:si>
    <x:t>El objeto de este contrato es el servicio de: creación del “branding” de la nueva marca turística de El Vendrell, y diseño, maquetación, traducción e impresión de nuevos materiales divulgativos para realizar un marketing innovador y eficaz [LOT 1]; guionización, diseño, edición y realización y producción de materiales audiovisuales promocionales [LOT 2]; suministro e instalación de pantalla LED, su hardware de control y software de visualización [LOT 3]; y evolución y mejora del portal turístico “www.elvendrellturistic.com” [LOTE 4]</x:t>
  </x:si>
  <x:si>
    <x:t>GCON2025000018</x:t>
  </x:si>
  <x:si>
    <x:t>Tarragona</x:t>
  </x:si>
  <x:si>
    <x:t>D'ALEPH INICIATIVAS Y FORMACIÓN SA</x:t>
  </x:si>
  <x:si>
    <x:t>26005494</x:t>
  </x:si>
  <x:si>
    <x:t>BARCELONA ACTIVA SAU SPM</x:t>
  </x:si>
  <x:si>
    <x:t>Servicios de asistencia técnica para la conceptualización, diseño, producción y ejecución de los Congresos de Orientación Profesional.</x:t>
  </x:si>
  <x:si>
    <x:t>65-25</x:t>
  </x:si>
  <x:si>
    <x:t>ÁGORA RED STUDIO</x:t>
  </x:si>
  <x:si>
    <x:t>26005563</x:t>
  </x:si>
  <x:si>
    <x:t>JUNTA DE CONTRATACIÓN DEL MINISTERIO DE AGRICULTURA, PESCA Y ALIMENTACIÓN</x:t>
  </x:si>
  <x:si>
    <x:t>Construcción y mantenimiento del stand del Ministerio de Agricultura, Pesca y Alimentación en la feria Seafood Expo Global 2026</x:t>
  </x:si>
  <x:si>
    <x:t>202505100611</x:t>
  </x:si>
  <x:si>
    <x:t>CARPINTERIA QUATROTABLAS, S.L</x:t>
  </x:si>
  <x:si>
    <x:t>26005626</x:t>
  </x:si>
  <x:si>
    <x:t>PRESIDENCIA DEL PATRONATO PROVINCIAL DE TURISMO DE SALAMANCA</x:t>
  </x:si>
  <x:si>
    <x:t>Construcción, decoración, montaje, desmontaje y transporte del Stand para la promoción gastronómica de Salamanca, que presentará el Patronato Provincial de Turismo de Salamanca en Madrid Fusión 2026</x:t>
  </x:si>
  <x:si>
    <x:t>PAT–2025/2</x:t>
  </x:si>
  <x:si>
    <x:t>Desierto</x:t>
  </x:si>
  <x:si>
    <x:t>DESIERTO</x:t>
  </x:si>
  <x:si>
    <x:t>26005797</x:t>
  </x:si>
  <x:si>
    <x:t>MINISTERIO DE ECONOMÍA, COMERCIO Y EMPRESA. CONSEJO DE ADMINISTRACIÓN DE ICEX ESPAÑA EXPORTACIÓN E INVERSIONES, E.P.E.</x:t>
  </x:si>
  <x:si>
    <x:t>Contratación de los trabajos de construcción, montaje, mantenimiento y desmontaje de los Pabellones de España a organizar por ICEX en las ediciones de 2026 de las ferias 4YFN y Web Summit</x:t>
  </x:si>
  <x:si>
    <x:t>213/2025</x:t>
  </x:si>
  <x:si>
    <x:t>26005940</x:t>
  </x:si>
  <x:si>
    <x:t>DIRECCIÓN DE BARCELONA SUPERCOMPUTING CENTER - CENTRO NACIONAL DE SUPERCOMPUTACIÓN (BSC-CNS)</x:t>
  </x:si>
  <x:si>
    <x:t>Servicio para la organización y gestión de una conferencia científica en Brno (Rep. Checa) del 27 al 30 de septiembre de 2026. Incluye la gestión del evento, reserva de espacios e infraestructura audiovisual para la conferencia y reserva de alojamiento para organizadores e invitados para el Barcelona Supercomputing Center – Centro Nacional de Supercomputación (BSC-CNS)</x:t>
  </x:si>
  <x:si>
    <x:t>CONSER02025003DA1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</x:si>
</x:sst>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HYPERLINK("https://www.infonalia.es/adjudicaciones0126/26005286.pdf","www.infonalia.es/adjudicaciones0126/26005286.pdf")</x:f>
        <x:v>www.infonalia.es/adjudicaciones0126/26005286.pdf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8893.50</x:v>
      </x:c>
      <x:c r="K2" s="9" t="n">
        <x:v>15000.00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HYPERLINK("https://www.infonalia.es/adjudicaciones0126/26005295.pdf","www.infonalia.es/adjudicaciones0126/26005295.pdf")</x:f>
        <x:v>www.infonalia.es/adjudicaciones0126/26005295.pdf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s">
        <x:v>25</x:v>
      </x:c>
      <x:c r="K3" s="9" t="n">
        <x:v>1284864.15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HYPERLINK("https://www.infonalia.es/adjudicaciones0126/26005300.pdf","www.infonalia.es/adjudicaciones0126/26005300.pdf")</x:f>
        <x:v>www.infonalia.es/adjudicaciones0126/26005300.pdf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24</x:v>
      </x:c>
      <x:c r="J4" s="9" t="n">
        <x:v>15100.00</x:v>
      </x:c>
      <x:c r="K4" s="9" t="n">
        <x:v>17603.92</x:v>
      </x:c>
    </x:row>
    <x:row r="5">
      <x:c r="A5" s="6" t="s">
        <x:v>31</x:v>
      </x:c>
      <x:c r="B5" s="6" t="s">
        <x:v>32</x:v>
      </x:c>
      <x:c r="C5" s="6" t="s">
        <x:v>13</x:v>
      </x:c>
      <x:c r="D5" s="7" t="str">
        <x:f xml:space="preserve">HYPERLINK("https://www.infonalia.es/adjudicaciones0126/26005491.pdf","www.infonalia.es/adjudicaciones0126/26005491.pdf")</x:f>
        <x:v>www.infonalia.es/adjudicaciones0126/26005491.pdf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37</x:v>
      </x:c>
      <x:c r="J5" s="9" t="s">
        <x:v>25</x:v>
      </x:c>
      <x:c r="K5" s="9" t="n">
        <x:v>103747.27</x:v>
      </x:c>
    </x:row>
    <x:row r="6">
      <x:c r="A6" s="6" t="s">
        <x:v>11</x:v>
      </x:c>
      <x:c r="B6" s="6" t="s">
        <x:v>38</x:v>
      </x:c>
      <x:c r="C6" s="6" t="s">
        <x:v>13</x:v>
      </x:c>
      <x:c r="D6" s="7" t="str">
        <x:f xml:space="preserve">HYPERLINK("https://www.infonalia.es/adjudicaciones0126/26005494.pdf","www.infonalia.es/adjudicaciones0126/26005494.pdf")</x:f>
        <x:v>www.infonalia.es/adjudicaciones0126/26005494.pdf</x:v>
      </x:c>
      <x:c r="E6" s="8" t="s">
        <x:v>39</x:v>
      </x:c>
      <x:c r="F6" s="6" t="s">
        <x:v>40</x:v>
      </x:c>
      <x:c r="G6" s="6" t="s">
        <x:v>41</x:v>
      </x:c>
      <x:c r="H6" s="6" t="s">
        <x:v>42</x:v>
      </x:c>
      <x:c r="I6" s="6" t="s">
        <x:v>24</x:v>
      </x:c>
      <x:c r="J6" s="9" t="n">
        <x:v>11470.00</x:v>
      </x:c>
      <x:c r="K6" s="9" t="n">
        <x:v>14872.90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HYPERLINK("https://www.infonalia.es/adjudicaciones0126/26005563.pdf","www.infonalia.es/adjudicaciones0126/26005563.pdf")</x:f>
        <x:v>www.infonalia.es/adjudicaciones0126/26005563.pdf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24</x:v>
      </x:c>
      <x:c r="J7" s="9" t="n">
        <x:v>121160.00</x:v>
      </x:c>
      <x:c r="K7" s="9" t="n">
        <x:v>123583.33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HYPERLINK("https://www.infonalia.es/adjudicaciones0126/26005626.pdf","www.infonalia.es/adjudicaciones0126/26005626.pdf")</x:f>
        <x:v>www.infonalia.es/adjudicaciones0126/26005626.pdf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18</x:v>
      </x:c>
      <x:c r="J8" s="9" t="n">
        <x:v>37500.00</x:v>
      </x:c>
      <x:c r="K8" s="9" t="n">
        <x:v>40000.00</x:v>
      </x:c>
    </x:row>
    <x:row r="9">
      <x:c r="A9" s="6" t="s">
        <x:v>53</x:v>
      </x:c>
      <x:c r="B9" s="6" t="s">
        <x:v>54</x:v>
      </x:c>
      <x:c r="C9" s="6" t="s">
        <x:v>13</x:v>
      </x:c>
      <x:c r="D9" s="7" t="str">
        <x:f xml:space="preserve">HYPERLINK("https://www.infonalia.es/adjudicaciones0126/26005797.pdf","www.infonalia.es/adjudicaciones0126/26005797.pdf")</x:f>
        <x:v>www.infonalia.es/adjudicaciones0126/26005797.pdf</x:v>
      </x:c>
      <x:c r="E9" s="8" t="s">
        <x:v>55</x:v>
      </x:c>
      <x:c r="F9" s="6" t="s">
        <x:v>56</x:v>
      </x:c>
      <x:c r="G9" s="6" t="s">
        <x:v>57</x:v>
      </x:c>
      <x:c r="H9" s="6" t="s">
        <x:v>58</x:v>
      </x:c>
      <x:c r="I9" s="6" t="s">
        <x:v>18</x:v>
      </x:c>
      <x:c r="J9" s="9" t="s">
        <x:v>25</x:v>
      </x:c>
      <x:c r="K9" s="9" t="n">
        <x:v>82012.50</x:v>
      </x:c>
    </x:row>
    <x:row r="10">
      <x:c r="A10" s="6" t="s">
        <x:v>53</x:v>
      </x:c>
      <x:c r="B10" s="6" t="s">
        <x:v>54</x:v>
      </x:c>
      <x:c r="C10" s="6" t="s">
        <x:v>13</x:v>
      </x:c>
      <x:c r="D10" s="7" t="str">
        <x:f xml:space="preserve">HYPERLINK("https://www.infonalia.es/adjudicaciones0126/26005940.pdf","www.infonalia.es/adjudicaciones0126/26005940.pdf")</x:f>
        <x:v>www.infonalia.es/adjudicaciones0126/26005940.pdf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24</x:v>
      </x:c>
      <x:c r="J10" s="9" t="s">
        <x:v>25</x:v>
      </x:c>
      <x:c r="K10" s="9" t="n">
        <x:v>36000.00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