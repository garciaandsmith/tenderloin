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<x:sst xmlns:x="http://schemas.openxmlformats.org/spreadsheetml/2006/main" count="11" uniqueCount="11">
  <x:si>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</x:si>
  <x:si>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</x:si>
  <x:si>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</x:si>
  <x:si>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</x:si>
  <x:si>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</x:si>
  <x:si>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</x:si>
  <x:si>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</x:si>
  <x:si>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</x:si>
  <x:si>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</x:si>
  <x:si>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</x:si>
  <x:si>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</x:si>
  <x:si>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</x:si>
  <x:si>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LOTE 1 ROOTS FOR SUSTAINABILITY SL</x:t>
  </x:si>
  <x:si>
    <x:t>06/11/2025 0:00:00</x:t>
  </x:si>
  <x:si>
    <x:t>25216729</x:t>
  </x:si>
  <x:si>
    <x:t>AGÈNCIA PER A LA COMPETITIVITAT DE L'EMPRESA, ACCIÓ</x:t>
  </x:si>
  <x:si>
    <x:t>El objeto de este contrato es la contratación de los servicios especializados en valor compartido para desarrollar: Lote 1. Diez sesiones de capacitación de crecer con propósito para CEO's de empresas en proceso de crecimiento. Lote 2. Un proyecto metodológico para monetizar el impacto social de las compañías siguiendo el valor social integrado</x:t>
  </x:si>
  <x:si>
    <x:t>ACCIO-2025-49</x:t>
  </x:si>
  <x:si>
    <x:t>Barcelona</x:t>
  </x:si>
  <x:si>
    <x:t>INVITA EVENTS MANAGEMENT, S.L</x:t>
  </x:si>
  <x:si>
    <x:t>25216730</x:t>
  </x:si>
  <x:si>
    <x:t>BARCELONA INSTITUTE OF TECHNOLOGY FOR THE HABITAT</x:t>
  </x:si>
  <x:si>
    <x:t>Servicio de producción de eventos.</x:t>
  </x:si>
  <x:si>
    <x:t>52_2025</x:t>
  </x:si>
  <x:si>
    <x:t>Ver detalle de la adjudicación</x:t>
  </x:si>
  <x:si>
    <x:t>ARTEC EXPOSICIONES, S.L</x:t>
  </x:si>
  <x:si>
    <x:t>25216987</x:t>
  </x:si>
  <x:si>
    <x:t>COMUNIDAD DE MADRID. CONSEJERÍA DE CULTURA, TURISMO Y DEPORTE</x:t>
  </x:si>
  <x:si>
    <x:t>Realización de determinados servicios necesarios para la adecuada ejecución de la exposición “ANA LOCKING”, que se realizará en la Sala Canal de Isabel II de la Comunidad de Madrid</x:t>
  </x:si>
  <x:si>
    <x:t>C-333A/023-25 (A/SER-030499/2025)</x:t>
  </x:si>
  <x:si>
    <x:t>Madrid</x:t>
  </x:si>
  <x:si>
    <x:t>INTERVENTO 2 S.L</x:t>
  </x:si>
  <x:si>
    <x:t>25217399</x:t>
  </x:si>
  <x:si>
    <x:t>DIRECCIÓN DEL MUSEO NACIONAL CENTRO DE ARTE REINA SOFÍA</x:t>
  </x:si>
  <x:si>
    <x:t>Servicio de montaje, mantenimiento y desmontaje museográfico de la exposición temporal OLIVER LAXE.</x:t>
  </x:si>
  <x:si>
    <x:t>202500000224</x:t>
  </x:si>
  <x:si>
    <x:t>KNOM DESIGN S.L</x:t>
  </x:si>
  <x:si>
    <x:t>25217556</x:t>
  </x:si>
  <x:si>
    <x:t>ÁREA DE GOBIERNO DE VICEALCALDÍA, PORTAVOZ, SEGURIDAD Y EMERGENCIAS DEL AYUNTAMIENTO DE MADRID</x:t>
  </x:si>
  <x:si>
    <x:t>Logotipo Conmemorativo 50ºAniversario del DISTRITO DE LATINA’</x:t>
  </x:si>
  <x:si>
    <x:t>145/2023/00612.1.24</x:t>
  </x:si>
  <x:si>
    <x:t>UNIVERSIDAD MENENDEZ PELAYO DE MADRID</x:t>
  </x:si>
  <x:si>
    <x:t>25217623</x:t>
  </x:si>
  <x:si>
    <x:t>JEFATURA DE UNIDAD DE MEDIOS INTERNOS - ÁREA DE COMPRAS DE LA COMPAÑÍA ESPAÑOLA DE SEGUROS DE CRÉDITO A LA EXPORTACIÓN S.A., S.M.E. (CESCE)</x:t>
  </x:si>
  <x:si>
    <x:t>Patrocinio regulados en el artículo 26.1 c) de la ley 9/2017 de 8 de noviembre.</x:t>
  </x:si>
  <x:si>
    <x:t>F145-2025</x:t>
  </x:si>
  <x:si>
    <x:t>TRES TIPOS GRÁFICOS S.L</x:t>
  </x:si>
  <x:si>
    <x:t>25217629</x:t>
  </x:si>
  <x:si>
    <x:t>Creatividad de elementos gráficos de un calendario del año 2026 para la Biblioteca Musical Víctor Espinós.</x:t>
  </x:si>
  <x:si>
    <x:t>145/2023/00612.2.59</x:t>
  </x:si>
  <x:si>
    <x:t>GRUPO UNITARIO DE INTEGRACIÓN ADMINISTRATIVA, S.A</x:t>
  </x:si>
  <x:si>
    <x:t>25217675</x:t>
  </x:si>
  <x:si>
    <x:t>JEFATURA DE UNIDAD DE MEDIOS INTERNOS -ÁREA DE COMPRAS DE LA COMPAÑÍA ESPAÑOLA DE SEGUROS DE CRÉDITO A LA EXPORTACIÓN S.A., S.M.E. (CESCE)</x:t>
  </x:si>
  <x:si>
    <x:t>Colaboración Jornadas CELEIRO</x:t>
  </x:si>
  <x:si>
    <x:t>F129-2025</x:t>
  </x:si>
  <x:si>
    <x:t>Formalizado</x:t>
  </x:si>
  <x:si>
    <x:t>LOTE 2 MUNDOIMPRESIÓN 236 S.L.; LOTE 3 MUNDOIMPRESIÓN 236 S.L.; LOTE 4 MUNDOIMPRESIÓN 236 S.L.; LOTE 6 MUNDOIMPRESIÓN 236 S.L.; LOTE 7 MUNDOIMPRESIÓN 236 S.L.  </x:t>
  </x:si>
  <x:si>
    <x:t>25217905</x:t>
  </x:si>
  <x:si>
    <x:t>JUNTA DE GOBIERNO DE LA DIPUTACIÓN PROVINCIAL DE LEÓN</x:t>
  </x:si>
  <x:si>
    <x:t>Celebración de Ferias de los productos de León en Coruña, Gijón, Bilbao, Madrid (o ciudad del norte de España), promoción de las mismas y participación en la ferias SALIMAT 2025, SALAMAQ 2025 Y FERIA DE LA LENTEJA Y EL PAN 2025. Lote 1 Mini feria de los productos de León en La Coruña. Servicios de instalación y decoración del recinto ferial y coordinación de las actividades en la localidad de La Coruña. Lote 2 Mini feria de los productos de León en Gijón. Servicios de instalación y decoración del recinto ferial y coordinación de las actividades en la localidad de Gijón. Lote 3 Mini feria de los productos de León en Bilbao. Servicios de instalación y decoración del recinto ferial y coordinación de las actividades, en la localidad de Bilbao. Lote 4 Mini feria de los productos de León en Madrid u otra ciudad del noroeste. Servicios de instalación y decoración del recinto ferial y coordinación de las actividades, en la localidad de Madrid o ciudad del noroeste de España. Lote 5 Campaña de comunicación en la mini feria de los productos de León en La Coruña previa a la feria del lote 1. Lote 6 Campaña de comunicación en la mini feria de los productos de León en Bilbao previa a la feria del lote 3. Lote 7 Campaña de comunicación en la mini feria de los productos de León en Madrid o ciudad del noroeste de España, previa a la feria del lote 4. Lote 8 Showroom profesional de los productos de León en la localidad de Gijón. Lote 9, Servicios de instalación y decoración del recinto ferial y coordinación de las actividades en la Feria SALIMAT 2025 (Silleda, Pontevedra). Lote 10 Servicios de instalación y decoración del recinto ferial y coordinación de las actividades en la Feria Agroalimentaria del Bierzo 2025 (Carracedelo, León). Lote 11 Servicios de instalación y decoración del recinto ferial y coordinación de las actividades enla Feria SALAMAQ 2025 (Salamanca). Lote 12 Servicios de instalación y decoración del recinto ferial y coordinación de las actividades en la Feria de la Lenteja y el Pan 2025 en Mayorga (Valladolid).</x:t>
  </x:si>
  <x:si>
    <x:t>1410911Z</x:t>
  </x:si>
  <x:si>
    <x:t>Ver pliegos</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</x:si>
</x:sst>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HYPERLINK("https://www.infonalia.es/adjudicaciones1125/25216729.pdf","www.infonalia.es/adjudicaciones1125/25216729.pdf")</x:f>
        <x:v>www.infonalia.es/adjudicaciones1125/25216729.pdf</x:v>
      </x:c>
      <x:c r="E2" s="8" t="s">
        <x:v>14</x:v>
      </x:c>
      <x:c r="F2" s="6" t="s">
        <x:v>15</x:v>
      </x:c>
      <x:c r="G2" s="6" t="s">
        <x:v>16</x:v>
      </x:c>
      <x:c r="H2" s="6" t="s">
        <x:v>17</x:v>
      </x:c>
      <x:c r="I2" s="6" t="s">
        <x:v>18</x:v>
      </x:c>
      <x:c r="J2" s="9" t="n">
        <x:v>25000.00</x:v>
      </x:c>
      <x:c r="K2" s="9" t="n">
        <x:v>67194.21</x:v>
      </x:c>
    </x:row>
    <x:row r="3">
      <x:c r="A3" s="6" t="s">
        <x:v>11</x:v>
      </x:c>
      <x:c r="B3" s="6" t="s">
        <x:v>19</x:v>
      </x:c>
      <x:c r="C3" s="6" t="s">
        <x:v>13</x:v>
      </x:c>
      <x:c r="D3" s="7" t="str">
        <x:f xml:space="preserve">HYPERLINK("https://www.infonalia.es/adjudicaciones1125/25216730.pdf","www.infonalia.es/adjudicaciones1125/25216730.pdf")</x:f>
        <x:v>www.infonalia.es/adjudicaciones1125/25216730.pdf</x:v>
      </x:c>
      <x:c r="E3" s="8" t="s">
        <x:v>20</x:v>
      </x:c>
      <x:c r="F3" s="6" t="s">
        <x:v>21</x:v>
      </x:c>
      <x:c r="G3" s="6" t="s">
        <x:v>22</x:v>
      </x:c>
      <x:c r="H3" s="6" t="s">
        <x:v>23</x:v>
      </x:c>
      <x:c r="I3" s="6" t="s">
        <x:v>18</x:v>
      </x:c>
      <x:c r="J3" s="9" t="s">
        <x:v>24</x:v>
      </x:c>
      <x:c r="K3" s="9" t="n">
        <x:v>60000.00</x:v>
      </x:c>
    </x:row>
    <x:row r="4">
      <x:c r="A4" s="6" t="s">
        <x:v>11</x:v>
      </x:c>
      <x:c r="B4" s="6" t="s">
        <x:v>25</x:v>
      </x:c>
      <x:c r="C4" s="6" t="s">
        <x:v>13</x:v>
      </x:c>
      <x:c r="D4" s="7" t="str">
        <x:f xml:space="preserve">HYPERLINK("https://www.infonalia.es/adjudicaciones1125/25216987.pdf","www.infonalia.es/adjudicaciones1125/25216987.pdf")</x:f>
        <x:v>www.infonalia.es/adjudicaciones1125/25216987.pdf</x:v>
      </x:c>
      <x:c r="E4" s="8" t="s">
        <x:v>26</x:v>
      </x:c>
      <x:c r="F4" s="6" t="s">
        <x:v>27</x:v>
      </x:c>
      <x:c r="G4" s="6" t="s">
        <x:v>28</x:v>
      </x:c>
      <x:c r="H4" s="6" t="s">
        <x:v>29</x:v>
      </x:c>
      <x:c r="I4" s="6" t="s">
        <x:v>30</x:v>
      </x:c>
      <x:c r="J4" s="9" t="s">
        <x:v>24</x:v>
      </x:c>
      <x:c r="K4" s="9" t="n">
        <x:v>182570.01</x:v>
      </x:c>
    </x:row>
    <x:row r="5">
      <x:c r="A5" s="6" t="s">
        <x:v>11</x:v>
      </x:c>
      <x:c r="B5" s="6" t="s">
        <x:v>31</x:v>
      </x:c>
      <x:c r="C5" s="6" t="s">
        <x:v>13</x:v>
      </x:c>
      <x:c r="D5" s="7" t="str">
        <x:f xml:space="preserve">HYPERLINK("https://www.infonalia.es/adjudicaciones1125/25217399.pdf","www.infonalia.es/adjudicaciones1125/25217399.pdf")</x:f>
        <x:v>www.infonalia.es/adjudicaciones1125/25217399.pdf</x:v>
      </x:c>
      <x:c r="E5" s="8" t="s">
        <x:v>32</x:v>
      </x:c>
      <x:c r="F5" s="6" t="s">
        <x:v>33</x:v>
      </x:c>
      <x:c r="G5" s="6" t="s">
        <x:v>34</x:v>
      </x:c>
      <x:c r="H5" s="6" t="s">
        <x:v>35</x:v>
      </x:c>
      <x:c r="I5" s="6" t="s">
        <x:v>30</x:v>
      </x:c>
      <x:c r="J5" s="9" t="n">
        <x:v>37557.03</x:v>
      </x:c>
      <x:c r="K5" s="9" t="n">
        <x:v>67200.00</x:v>
      </x:c>
    </x:row>
    <x:row r="6">
      <x:c r="A6" s="6" t="s">
        <x:v>11</x:v>
      </x:c>
      <x:c r="B6" s="6" t="s">
        <x:v>36</x:v>
      </x:c>
      <x:c r="C6" s="6" t="s">
        <x:v>13</x:v>
      </x:c>
      <x:c r="D6" s="7" t="str">
        <x:f xml:space="preserve">HYPERLINK("https://www.infonalia.es/adjudicaciones1125/25217556.pdf","www.infonalia.es/adjudicaciones1125/25217556.pdf")</x:f>
        <x:v>www.infonalia.es/adjudicaciones1125/25217556.pdf</x:v>
      </x:c>
      <x:c r="E6" s="8" t="s">
        <x:v>37</x:v>
      </x:c>
      <x:c r="F6" s="6" t="s">
        <x:v>38</x:v>
      </x:c>
      <x:c r="G6" s="6" t="s">
        <x:v>39</x:v>
      </x:c>
      <x:c r="H6" s="6" t="s">
        <x:v>40</x:v>
      </x:c>
      <x:c r="I6" s="6" t="s">
        <x:v>30</x:v>
      </x:c>
      <x:c r="J6" s="9" t="n">
        <x:v>1700.00</x:v>
      </x:c>
      <x:c r="K6" s="9" t="n">
        <x:v>1700.00</x:v>
      </x:c>
    </x:row>
    <x:row r="7">
      <x:c r="A7" s="6" t="s">
        <x:v>11</x:v>
      </x:c>
      <x:c r="B7" s="6" t="s">
        <x:v>41</x:v>
      </x:c>
      <x:c r="C7" s="6" t="s">
        <x:v>13</x:v>
      </x:c>
      <x:c r="D7" s="7" t="str">
        <x:f xml:space="preserve">HYPERLINK("https://www.infonalia.es/adjudicaciones1125/25217623.pdf","www.infonalia.es/adjudicaciones1125/25217623.pdf")</x:f>
        <x:v>www.infonalia.es/adjudicaciones1125/25217623.pdf</x:v>
      </x:c>
      <x:c r="E7" s="8" t="s">
        <x:v>42</x:v>
      </x:c>
      <x:c r="F7" s="6" t="s">
        <x:v>43</x:v>
      </x:c>
      <x:c r="G7" s="6" t="s">
        <x:v>44</x:v>
      </x:c>
      <x:c r="H7" s="6" t="s">
        <x:v>45</x:v>
      </x:c>
      <x:c r="I7" s="6" t="s">
        <x:v>30</x:v>
      </x:c>
      <x:c r="J7" s="9" t="n">
        <x:v>5000.00</x:v>
      </x:c>
      <x:c r="K7" s="9" t="n">
        <x:v>5000.00</x:v>
      </x:c>
    </x:row>
    <x:row r="8">
      <x:c r="A8" s="6" t="s">
        <x:v>11</x:v>
      </x:c>
      <x:c r="B8" s="6" t="s">
        <x:v>46</x:v>
      </x:c>
      <x:c r="C8" s="6" t="s">
        <x:v>13</x:v>
      </x:c>
      <x:c r="D8" s="7" t="str">
        <x:f xml:space="preserve">HYPERLINK("https://www.infonalia.es/adjudicaciones1125/25217629.pdf","www.infonalia.es/adjudicaciones1125/25217629.pdf")</x:f>
        <x:v>www.infonalia.es/adjudicaciones1125/25217629.pdf</x:v>
      </x:c>
      <x:c r="E8" s="8" t="s">
        <x:v>47</x:v>
      </x:c>
      <x:c r="F8" s="6" t="s">
        <x:v>38</x:v>
      </x:c>
      <x:c r="G8" s="6" t="s">
        <x:v>48</x:v>
      </x:c>
      <x:c r="H8" s="6" t="s">
        <x:v>49</x:v>
      </x:c>
      <x:c r="I8" s="6" t="s">
        <x:v>30</x:v>
      </x:c>
      <x:c r="J8" s="9" t="n">
        <x:v>492.00</x:v>
      </x:c>
      <x:c r="K8" s="9" t="n">
        <x:v>492.00</x:v>
      </x:c>
    </x:row>
    <x:row r="9">
      <x:c r="A9" s="6" t="s">
        <x:v>11</x:v>
      </x:c>
      <x:c r="B9" s="6" t="s">
        <x:v>50</x:v>
      </x:c>
      <x:c r="C9" s="6" t="s">
        <x:v>13</x:v>
      </x:c>
      <x:c r="D9" s="7" t="str">
        <x:f xml:space="preserve">HYPERLINK("https://www.infonalia.es/adjudicaciones1125/25217675.pdf","www.infonalia.es/adjudicaciones1125/25217675.pdf")</x:f>
        <x:v>www.infonalia.es/adjudicaciones1125/25217675.pdf</x:v>
      </x:c>
      <x:c r="E9" s="8" t="s">
        <x:v>51</x:v>
      </x:c>
      <x:c r="F9" s="6" t="s">
        <x:v>52</x:v>
      </x:c>
      <x:c r="G9" s="6" t="s">
        <x:v>53</x:v>
      </x:c>
      <x:c r="H9" s="6" t="s">
        <x:v>54</x:v>
      </x:c>
      <x:c r="I9" s="6" t="s">
        <x:v>30</x:v>
      </x:c>
      <x:c r="J9" s="9" t="n">
        <x:v>4000.00</x:v>
      </x:c>
      <x:c r="K9" s="9" t="n">
        <x:v>4000.00</x:v>
      </x:c>
    </x:row>
    <x:row r="10">
      <x:c r="A10" s="6" t="s">
        <x:v>55</x:v>
      </x:c>
      <x:c r="B10" s="6" t="s">
        <x:v>56</x:v>
      </x:c>
      <x:c r="C10" s="6" t="s">
        <x:v>13</x:v>
      </x:c>
      <x:c r="D10" s="7" t="str">
        <x:f xml:space="preserve">HYPERLINK("https://www.infonalia.es/adjudicaciones1125/25217905.pdf","www.infonalia.es/adjudicaciones1125/25217905.pdf")</x:f>
        <x:v>www.infonalia.es/adjudicaciones1125/25217905.pdf</x:v>
      </x:c>
      <x:c r="E10" s="8" t="s">
        <x:v>57</x:v>
      </x:c>
      <x:c r="F10" s="6" t="s">
        <x:v>58</x:v>
      </x:c>
      <x:c r="G10" s="6" t="s">
        <x:v>59</x:v>
      </x:c>
      <x:c r="H10" s="6" t="s">
        <x:v>60</x:v>
      </x:c>
      <x:c r="I10" s="6" t="s">
        <x:v>61</x:v>
      </x:c>
      <x:c r="J10" s="9" t="s">
        <x:v>24</x:v>
      </x:c>
      <x:c r="K10" s="9" t="n">
        <x:v>244150.00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