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<x:sst xmlns:x="http://schemas.openxmlformats.org/spreadsheetml/2006/main" count="11" uniqueCount="11">
  <x:si>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</x:si>
  <x:si>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</x:si>
  <x:si>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</x:si>
  <x:si>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</x:si>
  <x:si>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</x:si>
  <x:si>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</x:si>
  <x:si>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</x:si>
  <x:si>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</x:si>
  <x:si>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</x:si>
  <x:si>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</x:si>
  <x:si>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</x:si>
  <x:si>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</x:si>
  <x:si>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VARIOS ADJUDICATARIOS. VER TEXTO ÍNTEGRO DE LA ADJUDICACIÓN</x:t>
  </x:si>
  <x:si>
    <x:t>17/12/2025 0:00:00</x:t>
  </x:si>
  <x:si>
    <x:t>25253513</x:t>
  </x:si>
  <x:si>
    <x:t>AYUNTAMIENTO DE CALDES DE MONTBUI (BARCELONA)</x:t>
  </x:si>
  <x:si>
    <x:t>Homologación de los distintos proveedores de servicios de conceptualización gráfica, diseño gráfico, maquetación y adaptación de originales para la elaboración de productos gráficos y otros elementos de comunicación para favorecer la difusión y divulgación a la ciudadanía de la información municipal y las actividades, actos y otras manifestaciones que tienen lugar en el municipio de Caldes de Montbui promovidos por los propios servicios municipales</x:t>
  </x:si>
  <x:si>
    <x:t>9408/2022</x:t>
  </x:si>
  <x:si>
    <x:t>Barcelona</x:t>
  </x:si>
  <x:si>
    <x:t>Ver detalle de la adjudicación</x:t>
  </x:si>
  <x:si>
    <x:t>CEGOS ESPAÑA LEARNING &amp; DEVELOPMENT, S.A</x:t>
  </x:si>
  <x:si>
    <x:t>25253662</x:t>
  </x:si>
  <x:si>
    <x:t>COMUNIDAD DE MADRID. CONSEJERÍA DE DIGITALIZACIÓN</x:t>
  </x:si>
  <x:si>
    <x:t>Puesta en marcha y desarrollo de la II Edición de la Liga
Intermunicipal de MINECRAFT en la Comunidad de Madrid</x:t>
  </x:si>
  <x:si>
    <x:t>A/SER-031282/2025</x:t>
  </x:si>
  <x:si>
    <x:t>Madrid</x:t>
  </x:si>
  <x:si>
    <x:t>SIDI CONSULTORIA Y GESTION, SLU</x:t>
  </x:si>
  <x:si>
    <x:t>25253716</x:t>
  </x:si>
  <x:si>
    <x:t>DIPUTACIÓN DE BARCELONA</x:t>
  </x:si>
  <x:si>
    <x:t>Asistencia técnica a la gestión del Plan de Sostenibilidad Turística en Destino (PSTD): "Espacios naturales y turismo sostenible, una oportunidad para la provincia de Barcelona", financiado por la Unión Europea – NextGenerationEU.</x:t>
  </x:si>
  <x:si>
    <x:t>2024/0035893</x:t>
  </x:si>
  <x:si>
    <x:t>FIRA INTERNACIONAL DE BARCELONA</x:t>
  </x:si>
  <x:si>
    <x:t>25253872</x:t>
  </x:si>
  <x:si>
    <x:t>FUNDACIÓ BARCELONA MOBILE WORLD CAPITAL FOUNDATION</x:t>
  </x:si>
  <x:si>
    <x:t>El objeto del contrato consiste en la prestación de un servicio integral de diseño, producción ejecutiva, coordinación técnica y gestión operativa de los espacios específicos en el marco del evento Talent Arena 2026, promovido por MWCapital. El servicio comprenderá, como mínimo, los cuatro (4) bloques funcionales descritos en el apartado 3 del Pliego de Prescripciones Técnicas (PPT): (I) Diseño y adaptación de los espacios específicos al concepto general del evento; (II) Producción ejecutiva y montaje de los espacios, incluyendo la dotación de materiales, elementos audiovisuales, mobiliario y equipamientos técnicos necesarios; (III) Coordinación técnica y operativa durante el evento, incluyendo supervisión y mantenimiento; y (IV) Gestión general del proyecto, seguimiento y cierre.</x:t>
  </x:si>
  <x:si>
    <x:t>A/F202526/S</x:t>
  </x:si>
  <x:si>
    <x:t>CROQUIS, DISSENYS, MUNTATGES I REALITZACIONS, SA,</x:t>
  </x:si>
  <x:si>
    <x:t>25253873</x:t>
  </x:si>
  <x:si>
    <x:t>CONSORCI MUSEU NACIONAL DE ART DE CATALUNYA</x:t>
  </x:si>
  <x:si>
    <x:t>Producción, suministro, montaje y desmontaje de museografía e instalación y desintalación de obra de arte de la exposición temporal “Los depósitos franquistas del SDPAN en el Museo Nacional” en las salas 63, 64, con medidas de contratación pública responsable social y ambiental.</x:t>
  </x:si>
  <x:si>
    <x:t>D154-2025/251</x:t>
  </x:si>
  <x:si>
    <x:t>Catalunya</x:t>
  </x:si>
  <x:si>
    <x:t>TRIAJOCK, S.L</x:t>
  </x:si>
  <x:si>
    <x:t>25253918</x:t>
  </x:si>
  <x:si>
    <x:t>AYUNTAMIENTO DE ESPARREGUERA (BARCELONA)</x:t>
  </x:si>
  <x:si>
    <x:t>Prestación de servicios y suministros para la organización de eventos lúdicos y deportivos, y más concretamente aquellos vinculados con la Fiesta del Deporte y el Salón de la Infancia, de acuerdo con las condiciones y requerimientos descritos en el Informe de necesidades y Pliego de Prescripciones Técnicas (en adelante INPPT)</x:t>
  </x:si>
  <x:si>
    <x:t>3109-5309/2025</x:t>
  </x:si>
  <x:si>
    <x:t>SOCIAL COM COOP</x:t>
  </x:si>
  <x:si>
    <x:t>25253921</x:t>
  </x:si>
  <x:si>
    <x:t>AYUNTAMIENTO DE LLEIDA</x:t>
  </x:si>
  <x:si>
    <x:t>El objeto del contrato es la contratación de un servicio integral de comunicación y publicaciones de la Muestra Internacional de Cine de Animación de Cataluña, que incluye la gestión de la comunicación con los medios, la creación de contenido digital, la gestión de redes sociales y la elaboración de las publicaciones del festival (catálogo y programa de mano)</x:t>
  </x:si>
  <x:si>
    <x:t>SER_OBEA_2025_0006</x:t>
  </x:si>
  <x:si>
    <x:t>Lleida</x:t>
  </x:si>
  <x:si>
    <x:t>ASSOCIACIÓ DONES EN XARXA</x:t>
  </x:si>
  <x:si>
    <x:t>25253930</x:t>
  </x:si>
  <x:si>
    <x:t>Servicio de consultoría y asesoramiento tecnológico, que se realizará dentro de la Comisión de Organización constituida para la organización del I Congreso MUJERES QUE MUEVEN CIUDADES, que tendrá lugar en Lleida durante el mes de octubre de 2026. El servicio contratado supondrá un acompañamiento en el proceso de participación, con el fin de obtener los datos necesarios que permitan conocer la situación y las necesidades resultados obtenidos para la organización y desarrollo del Congreso. El objetivo es conseguir un proceso participativo innovador con la utilización intensiva de las tecnologías de datos y que incorporen, como elemento clave, las evidencias y tecnologías de datos para el análisis, la elaboración de propuestas y la determinación de las prioridades de las mujeres del municipio de Lleida. Así, para llevar a cabo el servicio de consultoría y asesoramiento tecnológico objeto de este contrato, será necesaria la participación en la Comisión de Organización del Congreso, y en todas aquellas reuniones que se deriven (presenciales y telemáticas). El asesoramiento versará sobre la incorporación de elementos de innovación social digital en el proceso de participación, que deberá estar basado en datos, y en las tecnologías de datos. De este modo, las aportaciones tendrán que estar dirigidas al desarrollo del proyecto y de las tres soluciones digitales que han sido diseñadas expresamente por el Congreso: 1.- Aplicativo de recogida de datos para el proceso participativo. 2.- Aplicativo techdata para la toma de decisiones basada en los datos obtenidos. 3.- Expo Datos X Mujeres x Lleida. Asimismo, el servicio incluye el asesoramiento para el diseño de la segunda fase del proceso participativo, consistente en la creación de grupos de trabajo presenciales, que debatirán en torno a los ejes temáticos del Congreso a partir de los datos obtenidos en la fase de participación</x:t>
  </x:si>
  <x:si>
    <x:t>SER_OBEA_2025_0005</x:t>
  </x:si>
  <x:si>
    <x:t>DOS PUNTOS AN INTERNET COMPANY, S.L</x:t>
  </x:si>
  <x:si>
    <x:t>25254124</x:t>
  </x:si>
  <x:si>
    <x:t>ORGANISMO AUTÓNOMO CONSORCIO REGIONAL DE TRANSPORTES REGULARES DE MADRID</x:t>
  </x:si>
  <x:si>
    <x:t>El objeto del presente contrato es el servicio de gestión de las redes sociales pertenecientes al Consorcio Regional de Transportes de Madrid (CRTM) y el diseño de contenidos para las redes sociales con el objetivo de mejorar los canales de comunicación y las estrategias de marketing digital</x:t>
  </x:si>
  <x:si>
    <x:t>SG-2/2025</x:t>
  </x:si>
  <x:si>
    <x:t>ASOCIACION PARA EL IMPULSO DE LA INDUSTRIA INTERNACIONALIZADA- AMEC</x:t>
  </x:si>
  <x:si>
    <x:t>25254186</x:t>
  </x:si>
  <x:si>
    <x:t>JEFATURA DE UNIDAD DE MEDIOS INTERNOS -ÁREA DE COMPRAS DE LA COMPAÑÍA ESPAÑOLA DE SEGUROS DE CRÉDITO A LA EXPORTACIÓN S.A., S.M.E. (CESCE)</x:t>
  </x:si>
  <x:si>
    <x:t>Patrocinio regulado en el artículo 26.1 c) de la ley 9/2017 de 8 de noviembre</x:t>
  </x:si>
  <x:si>
    <x:t>176-2025</x:t>
  </x:si>
  <x:si>
    <x:t>INTEGRAL ART AND DEVELOPMENT, S.L</x:t>
  </x:si>
  <x:si>
    <x:t>25254218</x:t>
  </x:si>
  <x:si>
    <x:t>DIRECCIÓN DE LA FUNDACIÓN ICO</x:t>
  </x:si>
  <x:si>
    <x:t>El presente pliego tiene por objeto la contratación del servicio de transporte de la exposición Escultura con dibujo Colecciones ICO, formada por 45 dibujos y 34 esculturas de mediano y gran formato</x:t>
  </x:si>
  <x:si>
    <x:t>32/2025</x:t>
  </x:si>
  <x:si>
    <x:t>CONFEDERACIÓN ESPAÑOLA DE ASOCIACIONES DE JÓVENES EMPRESARIOS (CEAJE)</x:t>
  </x:si>
  <x:si>
    <x:t>25254229</x:t>
  </x:si>
  <x:si>
    <x:t>167-2025</x:t>
  </x:si>
  <x:si>
    <x:t>FUNDACION DEL TEATRO REAL FSP</x:t>
  </x:si>
  <x:si>
    <x:t>25254232</x:t>
  </x:si>
  <x:si>
    <x:t>EMPRESA PÚBLICA PARA LA GESTIÓN DEL TURISMO Y EL DEPORTE DE ANDALUCÍA, S.A</x:t>
  </x:si>
  <x:si>
    <x:t>Espacio para la celebración de un evento b2b en el marco de fitur 2026</x:t>
  </x:si>
  <x:si>
    <x:t>C2N07-06SK-1125-0196</x:t>
  </x:si>
  <x:si>
    <x:t>AGENCIA EUROPA PRESS, S.A</x:t>
  </x:si>
  <x:si>
    <x:t>25254271</x:t>
  </x:si>
  <x:si>
    <x:t>158-2025</x:t>
  </x:si>
  <x:si>
    <x:t>CONXEMAR</x:t>
  </x:si>
  <x:si>
    <x:t>25254278</x:t>
  </x:si>
  <x:si>
    <x:t>Reserva de espacio de Feria Conxemar 2026</x:t>
  </x:si>
  <x:si>
    <x:t>156-2025</x:t>
  </x:si>
  <x:si>
    <x:t>NICOLA GREEN LTD</x:t>
  </x:si>
  <x:si>
    <x:t>25254279</x:t>
  </x:si>
  <x:si>
    <x:t>INSTITUT DE CULTURA DE BARCELONA</x:t>
  </x:si>
  <x:si>
    <x:t>Curadoria para la exposición "Siguiendo una estrella fugaz. Khadija Saye. Un intento de retrospectiva". Que se presentará en el Real Monasterio de Santa Maria de Pedralbes</x:t>
  </x:si>
  <x:si>
    <x:t>006_25002022</x:t>
  </x:si>
  <x:si>
    <x:t>VIRTUAL REALITY SOLUTIONS SL</x:t>
  </x:si>
  <x:si>
    <x:t>25254351</x:t>
  </x:si>
  <x:si>
    <x:t>CONSELL COMARCAL DEL TARRAGONÈS (TARRAGONA)</x:t>
  </x:si>
  <x:si>
    <x:t>Acuerdo marco del suministro de sistemas de videoactos, equipos de grabación y transmisión de actas y su mantenimiento. con código del expediente del ACM 08/08/2019</x:t>
  </x:si>
  <x:si>
    <x:t>2022-0001687</x:t>
  </x:si>
  <x:si>
    <x:t>Tarragona</x:t>
  </x:si>
  <x:si>
    <x:t>CD CORDOBA FUTSAL PATRIMONIO</x:t>
  </x:si>
  <x:si>
    <x:t>25254362</x:t>
  </x:si>
  <x:si>
    <x:t>Patrocinio córdoba patrimonio de la humanidad fútbol sala temporada 2025-2026</x:t>
  </x:si>
  <x:si>
    <x:t>C2N06-05RZ-1125-0202</x:t>
  </x:si>
  <x:si>
    <x:t>----------</x:t>
  </x:si>
  <x:si>
    <x:t>DIVE (TAGSONOMY SL)</x:t>
  </x:si>
  <x:si>
    <x:t>25254585</x:t>
  </x:si>
  <x:si>
    <x:t>ÁREA DE GOBIERNO DE ECONOMÍA, INNOVACIÓN Y HACIENDA DEL AYUNTAMIENTO DE MADRID</x:t>
  </x:si>
  <x:si>
    <x:t>Asistencia técnica para el desarrollo de un proyecto de diagnóstico y caracterización de la oferta y demanda comercial y de servicios de los 131 barrios de Madrid y su evolución</x:t>
  </x:si>
  <x:si>
    <x:t>300/2024/00857/C3CE5</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</x:si>
</x:sst>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HYPERLINK("https://www.infonalia.es/adjudicaciones1225/25253513.pdf","www.infonalia.es/adjudicaciones1225/25253513.pdf")</x:f>
        <x:v>www.infonalia.es/adjudicaciones1225/25253513.pdf</x:v>
      </x:c>
      <x:c r="E2" s="8" t="s">
        <x:v>14</x:v>
      </x:c>
      <x:c r="F2" s="6" t="s">
        <x:v>15</x:v>
      </x:c>
      <x:c r="G2" s="6" t="s">
        <x:v>16</x:v>
      </x:c>
      <x:c r="H2" s="6" t="s">
        <x:v>17</x:v>
      </x:c>
      <x:c r="I2" s="6" t="s">
        <x:v>18</x:v>
      </x:c>
      <x:c r="J2" s="9" t="s">
        <x:v>19</x:v>
      </x:c>
      <x:c r="K2" s="9" t="n">
        <x:v>123830.00</x:v>
      </x:c>
    </x:row>
    <x:row r="3">
      <x:c r="A3" s="6" t="s">
        <x:v>11</x:v>
      </x:c>
      <x:c r="B3" s="6" t="s">
        <x:v>20</x:v>
      </x:c>
      <x:c r="C3" s="6" t="s">
        <x:v>13</x:v>
      </x:c>
      <x:c r="D3" s="7" t="str">
        <x:f xml:space="preserve">HYPERLINK("https://www.infonalia.es/adjudicaciones1225/25253662.pdf","www.infonalia.es/adjudicaciones1225/25253662.pdf")</x:f>
        <x:v>www.infonalia.es/adjudicaciones1225/25253662.pdf</x:v>
      </x:c>
      <x:c r="E3" s="8" t="s">
        <x:v>21</x:v>
      </x:c>
      <x:c r="F3" s="6" t="s">
        <x:v>22</x:v>
      </x:c>
      <x:c r="G3" s="6" t="s">
        <x:v>23</x:v>
      </x:c>
      <x:c r="H3" s="6" t="s">
        <x:v>24</x:v>
      </x:c>
      <x:c r="I3" s="6" t="s">
        <x:v>25</x:v>
      </x:c>
      <x:c r="J3" s="9" t="n">
        <x:v>51700.00</x:v>
      </x:c>
      <x:c r="K3" s="9" t="n">
        <x:v>75546.24</x:v>
      </x:c>
    </x:row>
    <x:row r="4">
      <x:c r="A4" s="6" t="s">
        <x:v>11</x:v>
      </x:c>
      <x:c r="B4" s="6" t="s">
        <x:v>26</x:v>
      </x:c>
      <x:c r="C4" s="6" t="s">
        <x:v>13</x:v>
      </x:c>
      <x:c r="D4" s="7" t="str">
        <x:f xml:space="preserve">HYPERLINK("https://www.infonalia.es/adjudicaciones1225/25253716.pdf","www.infonalia.es/adjudicaciones1225/25253716.pdf")</x:f>
        <x:v>www.infonalia.es/adjudicaciones1225/25253716.pdf</x:v>
      </x:c>
      <x:c r="E4" s="8" t="s">
        <x:v>27</x:v>
      </x:c>
      <x:c r="F4" s="6" t="s">
        <x:v>28</x:v>
      </x:c>
      <x:c r="G4" s="6" t="s">
        <x:v>29</x:v>
      </x:c>
      <x:c r="H4" s="6" t="s">
        <x:v>30</x:v>
      </x:c>
      <x:c r="I4" s="6" t="s">
        <x:v>18</x:v>
      </x:c>
      <x:c r="J4" s="9" t="n">
        <x:v>30000.00</x:v>
      </x:c>
      <x:c r="K4" s="9" t="n">
        <x:v>79641.19</x:v>
      </x:c>
    </x:row>
    <x:row r="5">
      <x:c r="A5" s="6" t="s">
        <x:v>11</x:v>
      </x:c>
      <x:c r="B5" s="6" t="s">
        <x:v>31</x:v>
      </x:c>
      <x:c r="C5" s="6" t="s">
        <x:v>13</x:v>
      </x:c>
      <x:c r="D5" s="7" t="str">
        <x:f xml:space="preserve">HYPERLINK("https://www.infonalia.es/adjudicaciones1225/25253872.pdf","www.infonalia.es/adjudicaciones1225/25253872.pdf")</x:f>
        <x:v>www.infonalia.es/adjudicaciones1225/25253872.pdf</x:v>
      </x:c>
      <x:c r="E5" s="8" t="s">
        <x:v>32</x:v>
      </x:c>
      <x:c r="F5" s="6" t="s">
        <x:v>33</x:v>
      </x:c>
      <x:c r="G5" s="6" t="s">
        <x:v>34</x:v>
      </x:c>
      <x:c r="H5" s="6" t="s">
        <x:v>35</x:v>
      </x:c>
      <x:c r="I5" s="6" t="s">
        <x:v>18</x:v>
      </x:c>
      <x:c r="J5" s="9" t="n">
        <x:v>218189.91</x:v>
      </x:c>
      <x:c r="K5" s="9" t="n">
        <x:v>220900.00</x:v>
      </x:c>
    </x:row>
    <x:row r="6">
      <x:c r="A6" s="6" t="s">
        <x:v>11</x:v>
      </x:c>
      <x:c r="B6" s="6" t="s">
        <x:v>36</x:v>
      </x:c>
      <x:c r="C6" s="6" t="s">
        <x:v>13</x:v>
      </x:c>
      <x:c r="D6" s="7" t="str">
        <x:f xml:space="preserve">HYPERLINK("https://www.infonalia.es/adjudicaciones1225/25253873.pdf","www.infonalia.es/adjudicaciones1225/25253873.pdf")</x:f>
        <x:v>www.infonalia.es/adjudicaciones1225/25253873.pdf</x:v>
      </x:c>
      <x:c r="E6" s="8" t="s">
        <x:v>37</x:v>
      </x:c>
      <x:c r="F6" s="6" t="s">
        <x:v>38</x:v>
      </x:c>
      <x:c r="G6" s="6" t="s">
        <x:v>39</x:v>
      </x:c>
      <x:c r="H6" s="6" t="s">
        <x:v>40</x:v>
      </x:c>
      <x:c r="I6" s="6" t="s">
        <x:v>41</x:v>
      </x:c>
      <x:c r="J6" s="9" t="n">
        <x:v>47577.82</x:v>
      </x:c>
      <x:c r="K6" s="9" t="n">
        <x:v>58917.11</x:v>
      </x:c>
    </x:row>
    <x:row r="7">
      <x:c r="A7" s="6" t="s">
        <x:v>11</x:v>
      </x:c>
      <x:c r="B7" s="6" t="s">
        <x:v>42</x:v>
      </x:c>
      <x:c r="C7" s="6" t="s">
        <x:v>13</x:v>
      </x:c>
      <x:c r="D7" s="7" t="str">
        <x:f xml:space="preserve">HYPERLINK("https://www.infonalia.es/adjudicaciones1225/25253918.pdf","www.infonalia.es/adjudicaciones1225/25253918.pdf")</x:f>
        <x:v>www.infonalia.es/adjudicaciones1225/25253918.pdf</x:v>
      </x:c>
      <x:c r="E7" s="8" t="s">
        <x:v>43</x:v>
      </x:c>
      <x:c r="F7" s="6" t="s">
        <x:v>44</x:v>
      </x:c>
      <x:c r="G7" s="6" t="s">
        <x:v>45</x:v>
      </x:c>
      <x:c r="H7" s="6" t="s">
        <x:v>46</x:v>
      </x:c>
      <x:c r="I7" s="6" t="s">
        <x:v>18</x:v>
      </x:c>
      <x:c r="J7" s="9" t="n">
        <x:v>43256.29</x:v>
      </x:c>
      <x:c r="K7" s="9" t="n">
        <x:v>46940.00</x:v>
      </x:c>
    </x:row>
    <x:row r="8">
      <x:c r="A8" s="6" t="s">
        <x:v>11</x:v>
      </x:c>
      <x:c r="B8" s="6" t="s">
        <x:v>47</x:v>
      </x:c>
      <x:c r="C8" s="6" t="s">
        <x:v>13</x:v>
      </x:c>
      <x:c r="D8" s="7" t="str">
        <x:f xml:space="preserve">HYPERLINK("https://www.infonalia.es/adjudicaciones1225/25253921.pdf","www.infonalia.es/adjudicaciones1225/25253921.pdf")</x:f>
        <x:v>www.infonalia.es/adjudicaciones1225/25253921.pdf</x:v>
      </x:c>
      <x:c r="E8" s="8" t="s">
        <x:v>48</x:v>
      </x:c>
      <x:c r="F8" s="6" t="s">
        <x:v>49</x:v>
      </x:c>
      <x:c r="G8" s="6" t="s">
        <x:v>50</x:v>
      </x:c>
      <x:c r="H8" s="6" t="s">
        <x:v>51</x:v>
      </x:c>
      <x:c r="I8" s="6" t="s">
        <x:v>52</x:v>
      </x:c>
      <x:c r="J8" s="9" t="n">
        <x:v>13200.00</x:v>
      </x:c>
      <x:c r="K8" s="9" t="n">
        <x:v>14050.00</x:v>
      </x:c>
    </x:row>
    <x:row r="9">
      <x:c r="A9" s="6" t="s">
        <x:v>11</x:v>
      </x:c>
      <x:c r="B9" s="6" t="s">
        <x:v>53</x:v>
      </x:c>
      <x:c r="C9" s="6" t="s">
        <x:v>13</x:v>
      </x:c>
      <x:c r="D9" s="7" t="str">
        <x:f xml:space="preserve">HYPERLINK("https://www.infonalia.es/adjudicaciones1225/25253930.pdf","www.infonalia.es/adjudicaciones1225/25253930.pdf")</x:f>
        <x:v>www.infonalia.es/adjudicaciones1225/25253930.pdf</x:v>
      </x:c>
      <x:c r="E9" s="8" t="s">
        <x:v>54</x:v>
      </x:c>
      <x:c r="F9" s="6" t="s">
        <x:v>49</x:v>
      </x:c>
      <x:c r="G9" s="6" t="s">
        <x:v>55</x:v>
      </x:c>
      <x:c r="H9" s="6" t="s">
        <x:v>56</x:v>
      </x:c>
      <x:c r="I9" s="6" t="s">
        <x:v>52</x:v>
      </x:c>
      <x:c r="J9" s="9" t="n">
        <x:v>19998.00</x:v>
      </x:c>
      <x:c r="K9" s="9" t="n">
        <x:v>20000.00</x:v>
      </x:c>
    </x:row>
    <x:row r="10">
      <x:c r="A10" s="6" t="s">
        <x:v>11</x:v>
      </x:c>
      <x:c r="B10" s="6" t="s">
        <x:v>57</x:v>
      </x:c>
      <x:c r="C10" s="6" t="s">
        <x:v>13</x:v>
      </x:c>
      <x:c r="D10" s="7" t="str">
        <x:f xml:space="preserve">HYPERLINK("https://www.infonalia.es/adjudicaciones1225/25254124.pdf","www.infonalia.es/adjudicaciones1225/25254124.pdf")</x:f>
        <x:v>www.infonalia.es/adjudicaciones1225/25254124.pdf</x:v>
      </x:c>
      <x:c r="E10" s="8" t="s">
        <x:v>58</x:v>
      </x:c>
      <x:c r="F10" s="6" t="s">
        <x:v>59</x:v>
      </x:c>
      <x:c r="G10" s="6" t="s">
        <x:v>60</x:v>
      </x:c>
      <x:c r="H10" s="6" t="s">
        <x:v>61</x:v>
      </x:c>
      <x:c r="I10" s="6" t="s">
        <x:v>25</x:v>
      </x:c>
      <x:c r="J10" s="9" t="n">
        <x:v>46204.56</x:v>
      </x:c>
      <x:c r="K10" s="9" t="n">
        <x:v>66006.52</x:v>
      </x:c>
    </x:row>
    <x:row r="11">
      <x:c r="A11" s="6" t="s">
        <x:v>11</x:v>
      </x:c>
      <x:c r="B11" s="6" t="s">
        <x:v>62</x:v>
      </x:c>
      <x:c r="C11" s="6" t="s">
        <x:v>13</x:v>
      </x:c>
      <x:c r="D11" s="7" t="str">
        <x:f xml:space="preserve">HYPERLINK("https://www.infonalia.es/adjudicaciones1225/25254186.pdf","www.infonalia.es/adjudicaciones1225/25254186.pdf")</x:f>
        <x:v>www.infonalia.es/adjudicaciones1225/25254186.pdf</x:v>
      </x:c>
      <x:c r="E11" s="8" t="s">
        <x:v>63</x:v>
      </x:c>
      <x:c r="F11" s="6" t="s">
        <x:v>64</x:v>
      </x:c>
      <x:c r="G11" s="6" t="s">
        <x:v>65</x:v>
      </x:c>
      <x:c r="H11" s="6" t="s">
        <x:v>66</x:v>
      </x:c>
      <x:c r="I11" s="6" t="s">
        <x:v>25</x:v>
      </x:c>
      <x:c r="J11" s="9" t="n">
        <x:v>3000.00</x:v>
      </x:c>
      <x:c r="K11" s="9" t="n">
        <x:v>3000.00</x:v>
      </x:c>
    </x:row>
    <x:row r="12">
      <x:c r="A12" s="6" t="s">
        <x:v>11</x:v>
      </x:c>
      <x:c r="B12" s="6" t="s">
        <x:v>67</x:v>
      </x:c>
      <x:c r="C12" s="6" t="s">
        <x:v>13</x:v>
      </x:c>
      <x:c r="D12" s="7" t="str">
        <x:f xml:space="preserve">HYPERLINK("https://www.infonalia.es/adjudicaciones1225/25254218.pdf","www.infonalia.es/adjudicaciones1225/25254218.pdf")</x:f>
        <x:v>www.infonalia.es/adjudicaciones1225/25254218.pdf</x:v>
      </x:c>
      <x:c r="E12" s="8" t="s">
        <x:v>68</x:v>
      </x:c>
      <x:c r="F12" s="6" t="s">
        <x:v>69</x:v>
      </x:c>
      <x:c r="G12" s="6" t="s">
        <x:v>70</x:v>
      </x:c>
      <x:c r="H12" s="6" t="s">
        <x:v>71</x:v>
      </x:c>
      <x:c r="I12" s="6" t="s">
        <x:v>25</x:v>
      </x:c>
      <x:c r="J12" s="9" t="n">
        <x:v>22650.00</x:v>
      </x:c>
      <x:c r="K12" s="9" t="n">
        <x:v>50000.00</x:v>
      </x:c>
    </x:row>
    <x:row r="13">
      <x:c r="A13" s="6" t="s">
        <x:v>11</x:v>
      </x:c>
      <x:c r="B13" s="6" t="s">
        <x:v>72</x:v>
      </x:c>
      <x:c r="C13" s="6" t="s">
        <x:v>13</x:v>
      </x:c>
      <x:c r="D13" s="7" t="str">
        <x:f xml:space="preserve">HYPERLINK("https://www.infonalia.es/adjudicaciones1225/25254229.pdf","www.infonalia.es/adjudicaciones1225/25254229.pdf")</x:f>
        <x:v>www.infonalia.es/adjudicaciones1225/25254229.pdf</x:v>
      </x:c>
      <x:c r="E13" s="8" t="s">
        <x:v>73</x:v>
      </x:c>
      <x:c r="F13" s="6" t="s">
        <x:v>64</x:v>
      </x:c>
      <x:c r="G13" s="6" t="s">
        <x:v>65</x:v>
      </x:c>
      <x:c r="H13" s="6" t="s">
        <x:v>74</x:v>
      </x:c>
      <x:c r="I13" s="6" t="s">
        <x:v>25</x:v>
      </x:c>
      <x:c r="J13" s="9" t="n">
        <x:v>4500.00</x:v>
      </x:c>
      <x:c r="K13" s="9" t="n">
        <x:v>4500.00</x:v>
      </x:c>
    </x:row>
    <x:row r="14">
      <x:c r="A14" s="6" t="s">
        <x:v>11</x:v>
      </x:c>
      <x:c r="B14" s="6" t="s">
        <x:v>75</x:v>
      </x:c>
      <x:c r="C14" s="6" t="s">
        <x:v>13</x:v>
      </x:c>
      <x:c r="D14" s="7" t="str">
        <x:f xml:space="preserve">HYPERLINK("https://www.infonalia.es/adjudicaciones1225/25254232.pdf","www.infonalia.es/adjudicaciones1225/25254232.pdf")</x:f>
        <x:v>www.infonalia.es/adjudicaciones1225/25254232.pdf</x:v>
      </x:c>
      <x:c r="E14" s="8" t="s">
        <x:v>76</x:v>
      </x:c>
      <x:c r="F14" s="6" t="s">
        <x:v>77</x:v>
      </x:c>
      <x:c r="G14" s="6" t="s">
        <x:v>78</x:v>
      </x:c>
      <x:c r="H14" s="6" t="s">
        <x:v>79</x:v>
      </x:c>
      <x:c r="I14" s="6" t="s">
        <x:v>25</x:v>
      </x:c>
      <x:c r="J14" s="9" t="n">
        <x:v>28808.00</x:v>
      </x:c>
      <x:c r="K14" s="9" t="n">
        <x:v>28808.00</x:v>
      </x:c>
    </x:row>
    <x:row r="15">
      <x:c r="A15" s="6" t="s">
        <x:v>11</x:v>
      </x:c>
      <x:c r="B15" s="6" t="s">
        <x:v>80</x:v>
      </x:c>
      <x:c r="C15" s="6" t="s">
        <x:v>13</x:v>
      </x:c>
      <x:c r="D15" s="7" t="str">
        <x:f xml:space="preserve">HYPERLINK("https://www.infonalia.es/adjudicaciones1225/25254271.pdf","www.infonalia.es/adjudicaciones1225/25254271.pdf")</x:f>
        <x:v>www.infonalia.es/adjudicaciones1225/25254271.pdf</x:v>
      </x:c>
      <x:c r="E15" s="8" t="s">
        <x:v>81</x:v>
      </x:c>
      <x:c r="F15" s="6" t="s">
        <x:v>64</x:v>
      </x:c>
      <x:c r="G15" s="6" t="s">
        <x:v>65</x:v>
      </x:c>
      <x:c r="H15" s="6" t="s">
        <x:v>82</x:v>
      </x:c>
      <x:c r="I15" s="6" t="s">
        <x:v>25</x:v>
      </x:c>
      <x:c r="J15" s="9" t="n">
        <x:v>8281.68</x:v>
      </x:c>
      <x:c r="K15" s="9" t="n">
        <x:v>8281.68</x:v>
      </x:c>
    </x:row>
    <x:row r="16">
      <x:c r="A16" s="6" t="s">
        <x:v>11</x:v>
      </x:c>
      <x:c r="B16" s="6" t="s">
        <x:v>83</x:v>
      </x:c>
      <x:c r="C16" s="6" t="s">
        <x:v>13</x:v>
      </x:c>
      <x:c r="D16" s="7" t="str">
        <x:f xml:space="preserve">HYPERLINK("https://www.infonalia.es/adjudicaciones1225/25254278.pdf","www.infonalia.es/adjudicaciones1225/25254278.pdf")</x:f>
        <x:v>www.infonalia.es/adjudicaciones1225/25254278.pdf</x:v>
      </x:c>
      <x:c r="E16" s="8" t="s">
        <x:v>84</x:v>
      </x:c>
      <x:c r="F16" s="6" t="s">
        <x:v>64</x:v>
      </x:c>
      <x:c r="G16" s="6" t="s">
        <x:v>85</x:v>
      </x:c>
      <x:c r="H16" s="6" t="s">
        <x:v>86</x:v>
      </x:c>
      <x:c r="I16" s="6" t="s">
        <x:v>25</x:v>
      </x:c>
      <x:c r="J16" s="9" t="n">
        <x:v>14000.00</x:v>
      </x:c>
      <x:c r="K16" s="9" t="n">
        <x:v>14000.00</x:v>
      </x:c>
    </x:row>
    <x:row r="17">
      <x:c r="A17" s="6" t="s">
        <x:v>11</x:v>
      </x:c>
      <x:c r="B17" s="6" t="s">
        <x:v>87</x:v>
      </x:c>
      <x:c r="C17" s="6" t="s">
        <x:v>13</x:v>
      </x:c>
      <x:c r="D17" s="7" t="str">
        <x:f xml:space="preserve">HYPERLINK("https://www.infonalia.es/adjudicaciones1225/25254279.pdf","www.infonalia.es/adjudicaciones1225/25254279.pdf")</x:f>
        <x:v>www.infonalia.es/adjudicaciones1225/25254279.pdf</x:v>
      </x:c>
      <x:c r="E17" s="8" t="s">
        <x:v>88</x:v>
      </x:c>
      <x:c r="F17" s="6" t="s">
        <x:v>89</x:v>
      </x:c>
      <x:c r="G17" s="6" t="s">
        <x:v>90</x:v>
      </x:c>
      <x:c r="H17" s="6" t="s">
        <x:v>91</x:v>
      </x:c>
      <x:c r="I17" s="6" t="s">
        <x:v>18</x:v>
      </x:c>
      <x:c r="J17" s="9" t="n">
        <x:v>19680.00</x:v>
      </x:c>
      <x:c r="K17" s="9" t="n">
        <x:v>19680.00</x:v>
      </x:c>
    </x:row>
    <x:row r="18">
      <x:c r="A18" s="6" t="s">
        <x:v>11</x:v>
      </x:c>
      <x:c r="B18" s="6" t="s">
        <x:v>92</x:v>
      </x:c>
      <x:c r="C18" s="6" t="s">
        <x:v>13</x:v>
      </x:c>
      <x:c r="D18" s="7" t="str">
        <x:f xml:space="preserve">HYPERLINK("https://www.infonalia.es/adjudicaciones1225/25254351.pdf","www.infonalia.es/adjudicaciones1225/25254351.pdf")</x:f>
        <x:v>www.infonalia.es/adjudicaciones1225/25254351.pdf</x:v>
      </x:c>
      <x:c r="E18" s="8" t="s">
        <x:v>93</x:v>
      </x:c>
      <x:c r="F18" s="6" t="s">
        <x:v>94</x:v>
      </x:c>
      <x:c r="G18" s="6" t="s">
        <x:v>95</x:v>
      </x:c>
      <x:c r="H18" s="6" t="s">
        <x:v>96</x:v>
      </x:c>
      <x:c r="I18" s="6" t="s">
        <x:v>97</x:v>
      </x:c>
      <x:c r="J18" s="9" t="n">
        <x:v>21098.88</x:v>
      </x:c>
      <x:c r="K18" s="9" t="n">
        <x:v>21098.88</x:v>
      </x:c>
    </x:row>
    <x:row r="19">
      <x:c r="A19" s="6" t="s">
        <x:v>11</x:v>
      </x:c>
      <x:c r="B19" s="6" t="s">
        <x:v>98</x:v>
      </x:c>
      <x:c r="C19" s="6" t="s">
        <x:v>13</x:v>
      </x:c>
      <x:c r="D19" s="7" t="str">
        <x:f xml:space="preserve">HYPERLINK("https://www.infonalia.es/adjudicaciones1225/25254362.pdf","www.infonalia.es/adjudicaciones1225/25254362.pdf")</x:f>
        <x:v>www.infonalia.es/adjudicaciones1225/25254362.pdf</x:v>
      </x:c>
      <x:c r="E19" s="8" t="s">
        <x:v>99</x:v>
      </x:c>
      <x:c r="F19" s="6" t="s">
        <x:v>77</x:v>
      </x:c>
      <x:c r="G19" s="6" t="s">
        <x:v>100</x:v>
      </x:c>
      <x:c r="H19" s="6" t="s">
        <x:v>101</x:v>
      </x:c>
      <x:c r="I19" s="6" t="s">
        <x:v>102</x:v>
      </x:c>
      <x:c r="J19" s="9" t="n">
        <x:v>50351.24</x:v>
      </x:c>
      <x:c r="K19" s="9" t="n">
        <x:v>50351.24</x:v>
      </x:c>
    </x:row>
    <x:row r="20">
      <x:c r="A20" s="6" t="s">
        <x:v>11</x:v>
      </x:c>
      <x:c r="B20" s="6" t="s">
        <x:v>103</x:v>
      </x:c>
      <x:c r="C20" s="6" t="s">
        <x:v>13</x:v>
      </x:c>
      <x:c r="D20" s="7" t="str">
        <x:f xml:space="preserve">HYPERLINK("https://www.infonalia.es/adjudicaciones1225/25254585.pdf","www.infonalia.es/adjudicaciones1225/25254585.pdf")</x:f>
        <x:v>www.infonalia.es/adjudicaciones1225/25254585.pdf</x:v>
      </x:c>
      <x:c r="E20" s="8" t="s">
        <x:v>104</x:v>
      </x:c>
      <x:c r="F20" s="6" t="s">
        <x:v>105</x:v>
      </x:c>
      <x:c r="G20" s="6" t="s">
        <x:v>106</x:v>
      </x:c>
      <x:c r="H20" s="6" t="s">
        <x:v>107</x:v>
      </x:c>
      <x:c r="I20" s="6" t="s">
        <x:v>25</x:v>
      </x:c>
      <x:c r="J20" s="9" t="n">
        <x:v>168800.91</x:v>
      </x:c>
      <x:c r="K20" s="9" t="n">
        <x:v>205450.00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