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<x:sst xmlns:x="http://schemas.openxmlformats.org/spreadsheetml/2006/main" count="11" uniqueCount="11">
  <x:si>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</x:si>
  <x:si>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</x:si>
  <x:si>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</x:si>
  <x:si>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</x:si>
  <x:si>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</x:si>
  <x:si>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</x:si>
  <x:si>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</x:si>
  <x:si>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</x:si>
  <x:si>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</x:si>
  <x:si>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</x:si>
  <x:si>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</x:si>
  <x:si>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</x:si>
  <x:si>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SIT PROYECTOS, DISEÑO Y CONSERVACIÓN SL</x:t>
  </x:si>
  <x:si>
    <x:t>30/12/2025 0:00:00</x:t>
  </x:si>
  <x:si>
    <x:t>25261994</x:t>
  </x:si>
  <x:si>
    <x:t>JUNTA DE CONTRATACIÓN DEL MINISTERIO DE CULTURA Y DEPORTE</x:t>
  </x:si>
  <x:si>
    <x:t>Servicio de producción, montaje y desmontaje de la exposición temporal "Ecos de la Moda Romántica" en el Museo Nacional del Romanticismo</x:t>
  </x:si>
  <x:si>
    <x:t>JS250065</x:t>
  </x:si>
  <x:si>
    <x:t>Madrid</x:t>
  </x:si>
  <x:si>
    <x:t>EDT EVENTOS SA</x:t>
  </x:si>
  <x:si>
    <x:t>25262020</x:t>
  </x:si>
  <x:si>
    <x:t>SECRETARÍA GENERAL DE UNIVERSIDADES</x:t>
  </x:si>
  <x:si>
    <x:t>Servicio para la instalación del STAND del Ministerio de Ciencia, Innovación y Universidades en la Feria Aula 2026</x:t>
  </x:si>
  <x:si>
    <x:t>202500000080</x:t>
  </x:si>
  <x:si>
    <x:t>VUELING AIRLINES, S.A</x:t>
  </x:si>
  <x:si>
    <x:t>25262081</x:t>
  </x:si>
  <x:si>
    <x:t>LA RIOJA 360 GRADOS AVANZA, SOCIEDAD DE PROMOCIÓN DE LA RIOJA, SAU</x:t>
  </x:si>
  <x:si>
    <x:t>Promoción de La Rioja como destino turístico y de negocio a través de acciones de patrocinio en el ámbito del transporte aéreo de viajeros en la ruta entre Logroño y Barcelona.</x:t>
  </x:si>
  <x:si>
    <x:t>60-7-2.01-0063/2025</x:t>
  </x:si>
  <x:si>
    <x:t>La Rioja</x:t>
  </x:si>
  <x:si>
    <x:t>LOTE 1 INSTITUTO TECNOLOGICO DE BARREDO; LOTE 2 COMETA VERDE 2007 SL</x:t>
  </x:si>
  <x:si>
    <x:t>25262126</x:t>
  </x:si>
  <x:si>
    <x:t>VICEPRESIDENCIA DE LA FUNDACIÓN MUNICIPAL DE CULTURA DE SIERO (ASTURIAS)</x:t>
  </x:si>
  <x:si>
    <x:t>Contratación para el desarrollo de actividades infantiles y juveniles en Navidad 2025 [Lote 1: NAVIDAD GAMER – Salón de Videojuegos en Lugones - Lote 2: Taller de manualidades de temática navideña]
</x:t>
  </x:si>
  <x:si>
    <x:t>48/2025</x:t>
  </x:si>
  <x:si>
    <x:t>Asturias</x:t>
  </x:si>
  <x:si>
    <x:t>Ver detalle de la adjudicación</x:t>
  </x:si>
  <x:si>
    <x:t>LOTE 1 HBS HOST BROADCAST SERVICES ; LOTE 2 HBS HOST BROADCAST SERVICES </x:t>
  </x:si>
  <x:si>
    <x:t>25262459</x:t>
  </x:si>
  <x:si>
    <x:t>DIRECCIÓN DE COMPRAS DE LA CORPORACIÓN DE RADIO Y TELEVISIÓN ESPAÑOLA S.A</x:t>
  </x:si>
  <x:si>
    <x:t>Booking - Personalización servicios in situ FIFA WORLD CUP 2026</x:t>
  </x:si>
  <x:si>
    <x:t>S-05103-2025</x:t>
  </x:si>
  <x:si>
    <x:t>Estados Unidos - Estados Unidos</x:t>
  </x:si>
  <x:si>
    <x:t>MONTCAU PRODUCCIONS, SL</x:t>
  </x:si>
  <x:si>
    <x:t>25262690</x:t>
  </x:si>
  <x:si>
    <x:t>CONSEJO DEL AUDIOVISUAL DE CATALUÑA</x:t>
  </x:si>
  <x:si>
    <x:t>Concurso público para la adjudicación de una licencia para la prestación de un servicio de comunicación audiovisual radiofónica a través de ondas hercianas terrestres con modulación de frecuencia de titularidad privada en Cataluña (91.00 MHz de El Pont de Suert)</x:t>
  </x:si>
  <x:si>
    <x:t>3-A-2024</x:t>
  </x:si>
  <x:si>
    <x:t>Lleida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</x:si>
</x:sst>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HYPERLINK("https://www.infonalia.es/adjudicaciones1225/25261994.pdf","www.infonalia.es/adjudicaciones1225/25261994.pdf")</x:f>
        <x:v>www.infonalia.es/adjudicaciones1225/25261994.pdf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67998.00</x:v>
      </x:c>
      <x:c r="K2" s="9" t="n">
        <x:v>68285.80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HYPERLINK("https://www.infonalia.es/adjudicaciones1225/25262020.pdf","www.infonalia.es/adjudicaciones1225/25262020.pdf")</x:f>
        <x:v>www.infonalia.es/adjudicaciones1225/25262020.pdf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18</x:v>
      </x:c>
      <x:c r="J3" s="9" t="n">
        <x:v>70700.00</x:v>
      </x:c>
      <x:c r="K3" s="9" t="n">
        <x:v>85625.98</x:v>
      </x:c>
    </x:row>
    <x:row r="4">
      <x:c r="A4" s="6" t="s">
        <x:v>11</x:v>
      </x:c>
      <x:c r="B4" s="6" t="s">
        <x:v>24</x:v>
      </x:c>
      <x:c r="C4" s="6" t="s">
        <x:v>13</x:v>
      </x:c>
      <x:c r="D4" s="7" t="str">
        <x:f xml:space="preserve">HYPERLINK("https://www.infonalia.es/adjudicaciones1225/25262081.pdf","www.infonalia.es/adjudicaciones1225/25262081.pdf")</x:f>
        <x:v>www.infonalia.es/adjudicaciones1225/25262081.pdf</x:v>
      </x:c>
      <x:c r="E4" s="8" t="s">
        <x:v>25</x:v>
      </x:c>
      <x:c r="F4" s="6" t="s">
        <x:v>26</x:v>
      </x:c>
      <x:c r="G4" s="6" t="s">
        <x:v>27</x:v>
      </x:c>
      <x:c r="H4" s="6" t="s">
        <x:v>28</x:v>
      </x:c>
      <x:c r="I4" s="6" t="s">
        <x:v>29</x:v>
      </x:c>
      <x:c r="J4" s="9" t="n">
        <x:v>2288000.00</x:v>
      </x:c>
      <x:c r="K4" s="9" t="n">
        <x:v>2290000.00</x:v>
      </x:c>
    </x:row>
    <x:row r="5">
      <x:c r="A5" s="6" t="s">
        <x:v>11</x:v>
      </x:c>
      <x:c r="B5" s="6" t="s">
        <x:v>30</x:v>
      </x:c>
      <x:c r="C5" s="6" t="s">
        <x:v>13</x:v>
      </x:c>
      <x:c r="D5" s="7" t="str">
        <x:f xml:space="preserve">HYPERLINK("https://www.infonalia.es/adjudicaciones1225/25262126.pdf","www.infonalia.es/adjudicaciones1225/25262126.pdf")</x:f>
        <x:v>www.infonalia.es/adjudicaciones1225/25262126.pdf</x:v>
      </x:c>
      <x:c r="E5" s="8" t="s">
        <x:v>31</x:v>
      </x:c>
      <x:c r="F5" s="6" t="s">
        <x:v>32</x:v>
      </x:c>
      <x:c r="G5" s="6" t="s">
        <x:v>33</x:v>
      </x:c>
      <x:c r="H5" s="6" t="s">
        <x:v>34</x:v>
      </x:c>
      <x:c r="I5" s="6" t="s">
        <x:v>35</x:v>
      </x:c>
      <x:c r="J5" s="9" t="s">
        <x:v>36</x:v>
      </x:c>
      <x:c r="K5" s="9" t="n">
        <x:v>6611.57</x:v>
      </x:c>
    </x:row>
    <x:row r="6">
      <x:c r="A6" s="6" t="s">
        <x:v>11</x:v>
      </x:c>
      <x:c r="B6" s="6" t="s">
        <x:v>37</x:v>
      </x:c>
      <x:c r="C6" s="6" t="s">
        <x:v>13</x:v>
      </x:c>
      <x:c r="D6" s="7" t="str">
        <x:f xml:space="preserve">HYPERLINK("https://www.infonalia.es/adjudicaciones1225/25262459.pdf","www.infonalia.es/adjudicaciones1225/25262459.pdf")</x:f>
        <x:v>www.infonalia.es/adjudicaciones1225/25262459.pdf</x:v>
      </x:c>
      <x:c r="E6" s="8" t="s">
        <x:v>38</x:v>
      </x:c>
      <x:c r="F6" s="6" t="s">
        <x:v>39</x:v>
      </x:c>
      <x:c r="G6" s="6" t="s">
        <x:v>40</x:v>
      </x:c>
      <x:c r="H6" s="6" t="s">
        <x:v>41</x:v>
      </x:c>
      <x:c r="I6" s="6" t="s">
        <x:v>42</x:v>
      </x:c>
      <x:c r="J6" s="9" t="s">
        <x:v>36</x:v>
      </x:c>
      <x:c r="K6" s="9" t="n">
        <x:v>1464353.87</x:v>
      </x:c>
    </x:row>
    <x:row r="7">
      <x:c r="A7" s="6" t="s">
        <x:v>11</x:v>
      </x:c>
      <x:c r="B7" s="6" t="s">
        <x:v>43</x:v>
      </x:c>
      <x:c r="C7" s="6" t="s">
        <x:v>13</x:v>
      </x:c>
      <x:c r="D7" s="7" t="str">
        <x:f xml:space="preserve">HYPERLINK("https://www.infonalia.es/adjudicaciones1225/25262690.pdf","www.infonalia.es/adjudicaciones1225/25262690.pdf")</x:f>
        <x:v>www.infonalia.es/adjudicaciones1225/25262690.pdf</x:v>
      </x:c>
      <x:c r="E7" s="8" t="s">
        <x:v>44</x:v>
      </x:c>
      <x:c r="F7" s="6" t="s">
        <x:v>45</x:v>
      </x:c>
      <x:c r="G7" s="6" t="s">
        <x:v>46</x:v>
      </x:c>
      <x:c r="H7" s="6" t="s">
        <x:v>47</x:v>
      </x:c>
      <x:c r="I7" s="6" t="s">
        <x:v>48</x:v>
      </x:c>
      <x:c r="J7" s="9" t="s">
        <x:v>36</x:v>
      </x:c>
      <x:c r="K7" s="9" t="s">
        <x:v>36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