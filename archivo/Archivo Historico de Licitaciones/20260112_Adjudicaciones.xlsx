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<x:sst xmlns:x="http://schemas.openxmlformats.org/spreadsheetml/2006/main" count="11" uniqueCount="11">
  <x:si>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</x:si>
  <x:si>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</x:si>
  <x:si>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</x:si>
  <x:si>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</x:si>
  <x:si>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</x:si>
  <x:si>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</x:si>
  <x:si>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</x:si>
  <x:si>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</x:si>
  <x:si>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</x:si>
  <x:si>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</x:si>
  <x:si>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</x:si>
  <x:si>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</x:si>
  <x:si>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ESFERIA 54, S.L</x:t>
  </x:si>
  <x:si>
    <x:t>12/01/2026 0:00:00</x:t>
  </x:si>
  <x:si>
    <x:t>26002984</x:t>
  </x:si>
  <x:si>
    <x:t>JUNTA DE GOBIERNO DEL AYUNTAMIENTO DE OVIEDO (ASTURIAS)</x:t>
  </x:si>
  <x:si>
    <x:t>Suministro y creatividad, diseño, decoración, producción, dinamización, montaje, limpieza, desmontaje, traslado, mantenimiento y almacenaje y servicios complementarios para espacio destinado a stand del Ayto. de Oviedo en la Feria Internacional de Turismo FITUR 2026</x:t>
  </x:si>
  <x:si>
    <x:t>CC2025/281</x:t>
  </x:si>
  <x:si>
    <x:t>Madrid</x:t>
  </x:si>
  <x:si>
    <x:t>TRANSIT PROJECTES SL</x:t>
  </x:si>
  <x:si>
    <x:t>26003001</x:t>
  </x:si>
  <x:si>
    <x:t>AYUNTAMIENTO DE BARCELONA</x:t>
  </x:si>
  <x:si>
    <x:t>Contrato de servicios para la gestión, la dinamización, la coordinación y la organización de los servicios del Centro Cívico Cotxeres Borrell del Distrito del Eixample</x:t>
  </x:si>
  <x:si>
    <x:t>001_25000094</x:t>
  </x:si>
  <x:si>
    <x:t>Barcelona</x:t>
  </x:si>
  <x:si>
    <x:t>EVÉNTURIS, EVENTOS Y COMUNICACIÓN, SL</x:t>
  </x:si>
  <x:si>
    <x:t>26003023</x:t>
  </x:si>
  <x:si>
    <x:t>MINISTERIO DE DEFENSA. CONSEJERO DELEGADO DE INGENIERÍA DE SISTEMAS PARA LA DEFENSA DE ESPAÑA S.A., S.M.E. Y M.P.</x:t>
  </x:si>
  <x:si>
    <x:t>Apoyo técnico a la planificación, coordinación y ejecución de un encuentro internacional mediante un servicio de consultoría para la organización de la III Cumbre Internacional sobre el Uso Responsable de la Inteligencia Artificial en el Ámbito Militar (REAIM)</x:t>
  </x:si>
  <x:si>
    <x:t>2025-01958</x:t>
  </x:si>
  <x:si>
    <x:t>BASQUE CULINARY CENTER FUNDAZIOA</x:t>
  </x:si>
  <x:si>
    <x:t>26003036</x:t>
  </x:si>
  <x:si>
    <x:t>PARADORES DE TURISMO DE ESPAÑA, S.M.E., S.A.</x:t>
  </x:si>
  <x:si>
    <x:t>Contratación del Servicio de consultoría y gestión de proyecto para la redefinición integral del modelo de negocio en restauración de Paradores de Turismo de España, S.M.E., S.A.</x:t>
  </x:si>
  <x:si>
    <x:t>2025-0322</x:t>
  </x:si>
  <x:si>
    <x:t>Ver pliegos</x:t>
  </x:si>
  <x:si>
    <x:t>CANDARA PUBLICIDAD S.L</x:t>
  </x:si>
  <x:si>
    <x:t>26003047</x:t>
  </x:si>
  <x:si>
    <x:t>GERENCIA DE LA FUNDACIÓN ENAIRE F.S.P.</x:t>
  </x:si>
  <x:si>
    <x:t>Servicio integral de página web y de diseño gráfico institucional de Fundación ENAIRE</x:t>
  </x:si>
  <x:si>
    <x:t>PAS FE-02/2026</x:t>
  </x:si>
  <x:si>
    <x:t>CINFO CONTENIDOS INFORMATIVOS PERSONALIZADOS SL</x:t>
  </x:si>
  <x:si>
    <x:t>26003122</x:t>
  </x:si>
  <x:si>
    <x:t>AYUNTAMIENTO DE RUBÍ (BARCELONA)</x:t>
  </x:si>
  <x:si>
    <x:t>Contrato de los servicios de retransmisión garantizada por streaming en internet de la señal de audio y vídeo proveniente del Pleno Municipal</x:t>
  </x:si>
  <x:si>
    <x:t>3/2025/CSOS</x:t>
  </x:si>
  <x:si>
    <x:t>R-MEDIA EVOLUTION TWF-C, SL</x:t>
  </x:si>
  <x:si>
    <x:t>26003138</x:t>
  </x:si>
  <x:si>
    <x:t>VALLÈS ORIENTAL TELEVISIÓ, SL</x:t>
  </x:si>
  <x:si>
    <x:t>Prestación de los servicios de mantenimiento preventivo y correctivo de los equipos e infraestructuras audiovisuales y ofimáticas con asistencia y asesoramiento para VOTV, SLU. La finalidad es garantizar un nivel óptimo de prestaciones, asegurar la continuidad del funcionamiento de los equipos e instalaciones, así como preservar su durabilidad y eficiencia.</x:t>
  </x:si>
  <x:si>
    <x:t>2025/05</x:t>
  </x:si>
  <x:si>
    <x:t>TELEFÓNICA SOLUCIONES DE INFORMÁTICA Y COMUNICACIONES DE ESPAÑA, S.A.U</x:t>
  </x:si>
  <x:si>
    <x:t>26003146</x:t>
  </x:si>
  <x:si>
    <x:t>JUNTA DE GOBIERNO DEL AYUNTAMIENTO DE GETAFE (MADRID)</x:t>
  </x:si>
  <x:si>
    <x:t>Servicio de desarrollo e implementación de una plataforma tecnológica integral de gestión turística para el Ayuntamiento de Getafe</x:t>
  </x:si>
  <x:si>
    <x:t>2025000069</x:t>
  </x:si>
  <x:si>
    <x:t>LOTE 1 ADVANTIA, COMUNICACION GRAFICA, S.A.; ASAP GLOBAL SOLUTION SL; CORRE LOLA CORRE, S.L.; ENTRE LETRAS; IPRO ORGANIZACIÓN S.L; ORMOGRAF SA; PRODUCCIONES MIC, S.L.; LOTE 2 INNOVACION Y CUALIFICACION, S.L. (PODIPRINT); NADIZA, S.L.; PRODUCCIONES MIC, S.L.     </x:t>
  </x:si>
  <x:si>
    <x:t>26003153</x:t>
  </x:si>
  <x:si>
    <x:t>JUNTA DE CONTRATACIÓN DEL MINISTERIO PARA LA TRANSICIÓN ECOLÓGICA Y EL RETO DEMOGRÁFICO</x:t>
  </x:si>
  <x:si>
    <x:t>Servicios de edición, diseño, maquetación, impresión y encuadernación de las publicaciones del Ministerio para la Transición Ecológica y el Reto Demográfico. LOTE 1 - Edición, diseño y maquetación. LOTE 2 - Preimpresión, impresión y encuadernación.</x:t>
  </x:si>
  <x:si>
    <x:t>20250000032M</x:t>
  </x:si>
  <x:si>
    <x:t>Ver detalle de la adjudicación</x:t>
  </x:si>
  <x:si>
    <x:t>MONTAJES VALMIÑOR, S.L</x:t>
  </x:si>
  <x:si>
    <x:t>26003165</x:t>
  </x:si>
  <x:si>
    <x:t>PRESIDENCIA DE LA DIPUTACIÓN PROVINCIAL DE A CORUÑA</x:t>
  </x:si>
  <x:si>
    <x:t>Servicio de diseño, montaje y desmontaje de stand para la participación de la Diputación provincial de A Coruña en "Madrid Fusión 2026"</x:t>
  </x:si>
  <x:si>
    <x:t>PCO001202500857</x:t>
  </x:si>
  <x:si>
    <x:t>VISUALMEDIA COMUNICACION AUDIOVISUAL, S.L</x:t>
  </x:si>
  <x:si>
    <x:t>26003291</x:t>
  </x:si>
  <x:si>
    <x:t>SUBDIRECCIÓN GENERAL DE MEDIOS DE ASEPEYO. MUTUA COLABORADORA CON LA SEGURIDAD SOCIAL. NUM. 151</x:t>
  </x:si>
  <x:si>
    <x:t>Servicio de producción audiovisual y reportajes fotográficos corporativos para ASEPEYO, Mutua Colaboradora con la Seguridad Social, núm. 151</x:t>
  </x:si>
  <x:si>
    <x:t>CP00125/2025</x:t>
  </x:si>
  <x:si>
    <x:t>NOE CONCEPTOS ESPECIALES, SL</x:t>
  </x:si>
  <x:si>
    <x:t>26003293</x:t>
  </x:si>
  <x:si>
    <x:t>AGÈNCIA PER A LA COMPETITIVITAT DE L'EMPRESA, ACCIÓ</x:t>
  </x:si>
  <x:si>
    <x:t>El objeto del contrato consiste en los servicios de diseño, construcción, montaje, desmontaje y supervisión del stand de la Generalitat de Catalunya en el 4YFN 2026, que se celebrará en la Feria de Barcelona del 2 al 5 de marzo de 2026.</x:t>
  </x:si>
  <x:si>
    <x:t>ACCIO-2026-18</x:t>
  </x:si>
  <x:si>
    <x:t>MONSUL COMUNICACION Y PUBLICIDAD SL</x:t>
  </x:si>
  <x:si>
    <x:t>26003464</x:t>
  </x:si>
  <x:si>
    <x:t>CONSEJERÍA DELEGADA DE GETAFE INICIATIVAS, S.A</x:t>
  </x:si>
  <x:si>
    <x:t>Publireportaje V Edición Curso Mujer Emprendedora</x:t>
  </x:si>
  <x:si>
    <x:t>118/2025</x:t>
  </x:si>
  <x:si>
    <x:t>LOTE 1 SEÑALIZACIÓN Y EQUIPAMIENTOS PARA ENTORNOS NATURALES, S.L. (PROARTE) </x:t>
  </x:si>
  <x:si>
    <x:t>26003545</x:t>
  </x:si>
  <x:si>
    <x:t>PRESIDENCIA DE LA ASOCIACIÓN CENTRO DE DESARROLLO NAVIA-PORCÍA</x:t>
  </x:si>
  <x:si>
    <x:t>Contrato de servicios para la ejecución de la actuación de herramientas de digitalización de la información y recursos turísticos del Parque Histórico del Navia. Lote 1: Señalización turística inteligente. Lote 2: Generación de contenidos de realidad virtual y audiovisuales. Lote 3: Página web y plataforma digital turística.</x:t>
  </x:si>
  <x:si>
    <x:t>C-030-2025</x:t>
  </x:si>
  <x:si>
    <x:t>Asturias</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</x:si>
</x:sst>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HYPERLINK("https://www.infonalia.es/adjudicaciones0126/26002984.pdf","www.infonalia.es/adjudicaciones0126/26002984.pdf")</x:f>
        <x:v>www.infonalia.es/adjudicaciones0126/26002984.pdf</x:v>
      </x:c>
      <x:c r="E2" s="8" t="s">
        <x:v>14</x:v>
      </x:c>
      <x:c r="F2" s="6" t="s">
        <x:v>15</x:v>
      </x:c>
      <x:c r="G2" s="6" t="s">
        <x:v>16</x:v>
      </x:c>
      <x:c r="H2" s="6" t="s">
        <x:v>17</x:v>
      </x:c>
      <x:c r="I2" s="6" t="s">
        <x:v>18</x:v>
      </x:c>
      <x:c r="J2" s="9" t="n">
        <x:v>97900.00</x:v>
      </x:c>
      <x:c r="K2" s="9" t="n">
        <x:v>99000.00</x:v>
      </x:c>
    </x:row>
    <x:row r="3">
      <x:c r="A3" s="6" t="s">
        <x:v>11</x:v>
      </x:c>
      <x:c r="B3" s="6" t="s">
        <x:v>19</x:v>
      </x:c>
      <x:c r="C3" s="6" t="s">
        <x:v>13</x:v>
      </x:c>
      <x:c r="D3" s="7" t="str">
        <x:f xml:space="preserve">HYPERLINK("https://www.infonalia.es/adjudicaciones0126/26003001.pdf","www.infonalia.es/adjudicaciones0126/26003001.pdf")</x:f>
        <x:v>www.infonalia.es/adjudicaciones0126/26003001.pdf</x:v>
      </x:c>
      <x:c r="E3" s="8" t="s">
        <x:v>20</x:v>
      </x:c>
      <x:c r="F3" s="6" t="s">
        <x:v>21</x:v>
      </x:c>
      <x:c r="G3" s="6" t="s">
        <x:v>22</x:v>
      </x:c>
      <x:c r="H3" s="6" t="s">
        <x:v>23</x:v>
      </x:c>
      <x:c r="I3" s="6" t="s">
        <x:v>24</x:v>
      </x:c>
      <x:c r="J3" s="9" t="n">
        <x:v>2215932.78</x:v>
      </x:c>
      <x:c r="K3" s="9" t="n">
        <x:v>2252463.99</x:v>
      </x:c>
    </x:row>
    <x:row r="4">
      <x:c r="A4" s="6" t="s">
        <x:v>11</x:v>
      </x:c>
      <x:c r="B4" s="6" t="s">
        <x:v>25</x:v>
      </x:c>
      <x:c r="C4" s="6" t="s">
        <x:v>13</x:v>
      </x:c>
      <x:c r="D4" s="7" t="str">
        <x:f xml:space="preserve">HYPERLINK("https://www.infonalia.es/adjudicaciones0126/26003023.pdf","www.infonalia.es/adjudicaciones0126/26003023.pdf")</x:f>
        <x:v>www.infonalia.es/adjudicaciones0126/26003023.pdf</x:v>
      </x:c>
      <x:c r="E4" s="8" t="s">
        <x:v>26</x:v>
      </x:c>
      <x:c r="F4" s="6" t="s">
        <x:v>27</x:v>
      </x:c>
      <x:c r="G4" s="6" t="s">
        <x:v>28</x:v>
      </x:c>
      <x:c r="H4" s="6" t="s">
        <x:v>29</x:v>
      </x:c>
      <x:c r="I4" s="6" t="s">
        <x:v>18</x:v>
      </x:c>
      <x:c r="J4" s="9" t="n">
        <x:v>75512.50</x:v>
      </x:c>
      <x:c r="K4" s="9" t="n">
        <x:v>83655.00</x:v>
      </x:c>
    </x:row>
    <x:row r="5">
      <x:c r="A5" s="6" t="s">
        <x:v>11</x:v>
      </x:c>
      <x:c r="B5" s="6" t="s">
        <x:v>30</x:v>
      </x:c>
      <x:c r="C5" s="6" t="s">
        <x:v>13</x:v>
      </x:c>
      <x:c r="D5" s="7" t="str">
        <x:f xml:space="preserve">HYPERLINK("https://www.infonalia.es/adjudicaciones0126/26003036.pdf","www.infonalia.es/adjudicaciones0126/26003036.pdf")</x:f>
        <x:v>www.infonalia.es/adjudicaciones0126/26003036.pdf</x:v>
      </x:c>
      <x:c r="E5" s="8" t="s">
        <x:v>31</x:v>
      </x:c>
      <x:c r="F5" s="6" t="s">
        <x:v>32</x:v>
      </x:c>
      <x:c r="G5" s="6" t="s">
        <x:v>33</x:v>
      </x:c>
      <x:c r="H5" s="6" t="s">
        <x:v>34</x:v>
      </x:c>
      <x:c r="I5" s="6" t="s">
        <x:v>35</x:v>
      </x:c>
      <x:c r="J5" s="9" t="n">
        <x:v>221727.10</x:v>
      </x:c>
      <x:c r="K5" s="9" t="n">
        <x:v>221750.00</x:v>
      </x:c>
    </x:row>
    <x:row r="6">
      <x:c r="A6" s="6" t="s">
        <x:v>11</x:v>
      </x:c>
      <x:c r="B6" s="6" t="s">
        <x:v>36</x:v>
      </x:c>
      <x:c r="C6" s="6" t="s">
        <x:v>13</x:v>
      </x:c>
      <x:c r="D6" s="7" t="str">
        <x:f xml:space="preserve">HYPERLINK("https://www.infonalia.es/adjudicaciones0126/26003047.pdf","www.infonalia.es/adjudicaciones0126/26003047.pdf")</x:f>
        <x:v>www.infonalia.es/adjudicaciones0126/26003047.pdf</x:v>
      </x:c>
      <x:c r="E6" s="8" t="s">
        <x:v>37</x:v>
      </x:c>
      <x:c r="F6" s="6" t="s">
        <x:v>38</x:v>
      </x:c>
      <x:c r="G6" s="6" t="s">
        <x:v>39</x:v>
      </x:c>
      <x:c r="H6" s="6" t="s">
        <x:v>40</x:v>
      </x:c>
      <x:c r="I6" s="6" t="s">
        <x:v>18</x:v>
      </x:c>
      <x:c r="J6" s="9" t="n">
        <x:v>45430.00</x:v>
      </x:c>
      <x:c r="K6" s="9" t="n">
        <x:v>53719.00</x:v>
      </x:c>
    </x:row>
    <x:row r="7">
      <x:c r="A7" s="6" t="s">
        <x:v>11</x:v>
      </x:c>
      <x:c r="B7" s="6" t="s">
        <x:v>41</x:v>
      </x:c>
      <x:c r="C7" s="6" t="s">
        <x:v>13</x:v>
      </x:c>
      <x:c r="D7" s="7" t="str">
        <x:f xml:space="preserve">HYPERLINK("https://www.infonalia.es/adjudicaciones0126/26003122.pdf","www.infonalia.es/adjudicaciones0126/26003122.pdf")</x:f>
        <x:v>www.infonalia.es/adjudicaciones0126/26003122.pdf</x:v>
      </x:c>
      <x:c r="E7" s="8" t="s">
        <x:v>42</x:v>
      </x:c>
      <x:c r="F7" s="6" t="s">
        <x:v>43</x:v>
      </x:c>
      <x:c r="G7" s="6" t="s">
        <x:v>44</x:v>
      </x:c>
      <x:c r="H7" s="6" t="s">
        <x:v>45</x:v>
      </x:c>
      <x:c r="I7" s="6" t="s">
        <x:v>24</x:v>
      </x:c>
      <x:c r="J7" s="9" t="n">
        <x:v>10538.64</x:v>
      </x:c>
      <x:c r="K7" s="9" t="n">
        <x:v>14051.52</x:v>
      </x:c>
    </x:row>
    <x:row r="8">
      <x:c r="A8" s="6" t="s">
        <x:v>11</x:v>
      </x:c>
      <x:c r="B8" s="6" t="s">
        <x:v>46</x:v>
      </x:c>
      <x:c r="C8" s="6" t="s">
        <x:v>13</x:v>
      </x:c>
      <x:c r="D8" s="7" t="str">
        <x:f xml:space="preserve">HYPERLINK("https://www.infonalia.es/adjudicaciones0126/26003138.pdf","www.infonalia.es/adjudicaciones0126/26003138.pdf")</x:f>
        <x:v>www.infonalia.es/adjudicaciones0126/26003138.pdf</x:v>
      </x:c>
      <x:c r="E8" s="8" t="s">
        <x:v>47</x:v>
      </x:c>
      <x:c r="F8" s="6" t="s">
        <x:v>48</x:v>
      </x:c>
      <x:c r="G8" s="6" t="s">
        <x:v>49</x:v>
      </x:c>
      <x:c r="H8" s="6" t="s">
        <x:v>50</x:v>
      </x:c>
      <x:c r="I8" s="6" t="s">
        <x:v>24</x:v>
      </x:c>
      <x:c r="J8" s="9" t="n">
        <x:v>66000.00</x:v>
      </x:c>
      <x:c r="K8" s="9" t="n">
        <x:v>66000.00</x:v>
      </x:c>
    </x:row>
    <x:row r="9">
      <x:c r="A9" s="6" t="s">
        <x:v>11</x:v>
      </x:c>
      <x:c r="B9" s="6" t="s">
        <x:v>51</x:v>
      </x:c>
      <x:c r="C9" s="6" t="s">
        <x:v>13</x:v>
      </x:c>
      <x:c r="D9" s="7" t="str">
        <x:f xml:space="preserve">HYPERLINK("https://www.infonalia.es/adjudicaciones0126/26003146.pdf","www.infonalia.es/adjudicaciones0126/26003146.pdf")</x:f>
        <x:v>www.infonalia.es/adjudicaciones0126/26003146.pdf</x:v>
      </x:c>
      <x:c r="E9" s="8" t="s">
        <x:v>52</x:v>
      </x:c>
      <x:c r="F9" s="6" t="s">
        <x:v>53</x:v>
      </x:c>
      <x:c r="G9" s="6" t="s">
        <x:v>54</x:v>
      </x:c>
      <x:c r="H9" s="6" t="s">
        <x:v>55</x:v>
      </x:c>
      <x:c r="I9" s="6" t="s">
        <x:v>18</x:v>
      </x:c>
      <x:c r="J9" s="9" t="n">
        <x:v>1089701.18</x:v>
      </x:c>
      <x:c r="K9" s="9" t="n">
        <x:v>1214876.03</x:v>
      </x:c>
    </x:row>
    <x:row r="10">
      <x:c r="A10" s="6" t="s">
        <x:v>11</x:v>
      </x:c>
      <x:c r="B10" s="6" t="s">
        <x:v>56</x:v>
      </x:c>
      <x:c r="C10" s="6" t="s">
        <x:v>13</x:v>
      </x:c>
      <x:c r="D10" s="7" t="str">
        <x:f xml:space="preserve">HYPERLINK("https://www.infonalia.es/adjudicaciones0126/26003153.pdf","www.infonalia.es/adjudicaciones0126/26003153.pdf")</x:f>
        <x:v>www.infonalia.es/adjudicaciones0126/26003153.pdf</x:v>
      </x:c>
      <x:c r="E10" s="8" t="s">
        <x:v>57</x:v>
      </x:c>
      <x:c r="F10" s="6" t="s">
        <x:v>58</x:v>
      </x:c>
      <x:c r="G10" s="6" t="s">
        <x:v>59</x:v>
      </x:c>
      <x:c r="H10" s="6" t="s">
        <x:v>60</x:v>
      </x:c>
      <x:c r="I10" s="6" t="s">
        <x:v>18</x:v>
      </x:c>
      <x:c r="J10" s="9" t="s">
        <x:v>61</x:v>
      </x:c>
      <x:c r="K10" s="9" t="n">
        <x:v>194335.34</x:v>
      </x:c>
    </x:row>
    <x:row r="11">
      <x:c r="A11" s="6" t="s">
        <x:v>11</x:v>
      </x:c>
      <x:c r="B11" s="6" t="s">
        <x:v>62</x:v>
      </x:c>
      <x:c r="C11" s="6" t="s">
        <x:v>13</x:v>
      </x:c>
      <x:c r="D11" s="7" t="str">
        <x:f xml:space="preserve">HYPERLINK("https://www.infonalia.es/adjudicaciones0126/26003165.pdf","www.infonalia.es/adjudicaciones0126/26003165.pdf")</x:f>
        <x:v>www.infonalia.es/adjudicaciones0126/26003165.pdf</x:v>
      </x:c>
      <x:c r="E11" s="8" t="s">
        <x:v>63</x:v>
      </x:c>
      <x:c r="F11" s="6" t="s">
        <x:v>64</x:v>
      </x:c>
      <x:c r="G11" s="6" t="s">
        <x:v>65</x:v>
      </x:c>
      <x:c r="H11" s="6" t="s">
        <x:v>66</x:v>
      </x:c>
      <x:c r="I11" s="6" t="s">
        <x:v>35</x:v>
      </x:c>
      <x:c r="J11" s="9" t="n">
        <x:v>16350.00</x:v>
      </x:c>
      <x:c r="K11" s="9" t="n">
        <x:v>20000.00</x:v>
      </x:c>
    </x:row>
    <x:row r="12">
      <x:c r="A12" s="6" t="s">
        <x:v>11</x:v>
      </x:c>
      <x:c r="B12" s="6" t="s">
        <x:v>67</x:v>
      </x:c>
      <x:c r="C12" s="6" t="s">
        <x:v>13</x:v>
      </x:c>
      <x:c r="D12" s="7" t="str">
        <x:f xml:space="preserve">HYPERLINK("https://www.infonalia.es/adjudicaciones0126/26003291.pdf","www.infonalia.es/adjudicaciones0126/26003291.pdf")</x:f>
        <x:v>www.infonalia.es/adjudicaciones0126/26003291.pdf</x:v>
      </x:c>
      <x:c r="E12" s="8" t="s">
        <x:v>68</x:v>
      </x:c>
      <x:c r="F12" s="6" t="s">
        <x:v>69</x:v>
      </x:c>
      <x:c r="G12" s="6" t="s">
        <x:v>70</x:v>
      </x:c>
      <x:c r="H12" s="6" t="s">
        <x:v>71</x:v>
      </x:c>
      <x:c r="I12" s="6" t="s">
        <x:v>35</x:v>
      </x:c>
      <x:c r="J12" s="9" t="n">
        <x:v>25347.13</x:v>
      </x:c>
      <x:c r="K12" s="9" t="n">
        <x:v>36400.00</x:v>
      </x:c>
    </x:row>
    <x:row r="13">
      <x:c r="A13" s="6" t="s">
        <x:v>11</x:v>
      </x:c>
      <x:c r="B13" s="6" t="s">
        <x:v>72</x:v>
      </x:c>
      <x:c r="C13" s="6" t="s">
        <x:v>13</x:v>
      </x:c>
      <x:c r="D13" s="7" t="str">
        <x:f xml:space="preserve">HYPERLINK("https://www.infonalia.es/adjudicaciones0126/26003293.pdf","www.infonalia.es/adjudicaciones0126/26003293.pdf")</x:f>
        <x:v>www.infonalia.es/adjudicaciones0126/26003293.pdf</x:v>
      </x:c>
      <x:c r="E13" s="8" t="s">
        <x:v>73</x:v>
      </x:c>
      <x:c r="F13" s="6" t="s">
        <x:v>74</x:v>
      </x:c>
      <x:c r="G13" s="6" t="s">
        <x:v>75</x:v>
      </x:c>
      <x:c r="H13" s="6" t="s">
        <x:v>76</x:v>
      </x:c>
      <x:c r="I13" s="6" t="s">
        <x:v>24</x:v>
      </x:c>
      <x:c r="J13" s="9" t="n">
        <x:v>144946.00</x:v>
      </x:c>
      <x:c r="K13" s="9" t="n">
        <x:v>150000.00</x:v>
      </x:c>
    </x:row>
    <x:row r="14">
      <x:c r="A14" s="6" t="s">
        <x:v>11</x:v>
      </x:c>
      <x:c r="B14" s="6" t="s">
        <x:v>77</x:v>
      </x:c>
      <x:c r="C14" s="6" t="s">
        <x:v>13</x:v>
      </x:c>
      <x:c r="D14" s="7" t="str">
        <x:f xml:space="preserve">HYPERLINK("https://www.infonalia.es/adjudicaciones0126/26003464.pdf","www.infonalia.es/adjudicaciones0126/26003464.pdf")</x:f>
        <x:v>www.infonalia.es/adjudicaciones0126/26003464.pdf</x:v>
      </x:c>
      <x:c r="E14" s="8" t="s">
        <x:v>78</x:v>
      </x:c>
      <x:c r="F14" s="6" t="s">
        <x:v>79</x:v>
      </x:c>
      <x:c r="G14" s="6" t="s">
        <x:v>80</x:v>
      </x:c>
      <x:c r="H14" s="6" t="s">
        <x:v>81</x:v>
      </x:c>
      <x:c r="I14" s="6" t="s">
        <x:v>18</x:v>
      </x:c>
      <x:c r="J14" s="9" t="n">
        <x:v>1975.00</x:v>
      </x:c>
      <x:c r="K14" s="9" t="n">
        <x:v>2500.00</x:v>
      </x:c>
    </x:row>
    <x:row r="15">
      <x:c r="A15" s="6" t="s">
        <x:v>11</x:v>
      </x:c>
      <x:c r="B15" s="6" t="s">
        <x:v>82</x:v>
      </x:c>
      <x:c r="C15" s="6" t="s">
        <x:v>13</x:v>
      </x:c>
      <x:c r="D15" s="7" t="str">
        <x:f xml:space="preserve">HYPERLINK("https://www.infonalia.es/adjudicaciones0126/26003545.pdf","www.infonalia.es/adjudicaciones0126/26003545.pdf")</x:f>
        <x:v>www.infonalia.es/adjudicaciones0126/26003545.pdf</x:v>
      </x:c>
      <x:c r="E15" s="8" t="s">
        <x:v>83</x:v>
      </x:c>
      <x:c r="F15" s="6" t="s">
        <x:v>84</x:v>
      </x:c>
      <x:c r="G15" s="6" t="s">
        <x:v>85</x:v>
      </x:c>
      <x:c r="H15" s="6" t="s">
        <x:v>86</x:v>
      </x:c>
      <x:c r="I15" s="6" t="s">
        <x:v>87</x:v>
      </x:c>
      <x:c r="J15" s="9" t="n">
        <x:v>64999.00</x:v>
      </x:c>
      <x:c r="K15" s="9" t="n">
        <x:v>69414.88</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