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<x:sst xmlns:x="http://schemas.openxmlformats.org/spreadsheetml/2006/main" count="11" uniqueCount="11">
  <x:si>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</x:si>
  <x:si>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</x:si>
  <x:si>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</x:si>
  <x:si>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</x:si>
  <x:si>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</x:si>
  <x:si>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</x:si>
  <x:si>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</x:si>
  <x:si>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</x:si>
  <x:si>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</x:si>
  <x:si>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</x:si>
  <x:si>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</x:si>
  <x:si>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</x:si>
  <x:si>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MANUEL ALVAREZ LLANA SL</x:t>
  </x:si>
  <x:si>
    <x:t>25/11/2025 0:00:00</x:t>
  </x:si>
  <x:si>
    <x:t>25233029</x:t>
  </x:si>
  <x:si>
    <x:t>ALCALDÍA DEL AYUNTAMIENTO DE SIERO (ASTURIAS)</x:t>
  </x:si>
  <x:si>
    <x:t>Contratación del servicio de inserción de anuncios oficiales del Ayuntamiento de Siero, Patronato Deportivo Municipal (PDM) y Fundación Municipal de Cultura (FMC),</x:t>
  </x:si>
  <x:si>
    <x:t>25119V01V</x:t>
  </x:si>
  <x:si>
    <x:t>Asturias</x:t>
  </x:si>
  <x:si>
    <x:t>MIGUEL POVEDANO, S.L</x:t>
  </x:si>
  <x:si>
    <x:t>25233122</x:t>
  </x:si>
  <x:si>
    <x:t>MESA DEL SENADO</x:t>
  </x:si>
  <x:si>
    <x:t>Servicios fotográficos para el Senado</x:t>
  </x:si>
  <x:si>
    <x:t>11/2025</x:t>
  </x:si>
  <x:si>
    <x:t>Madrid</x:t>
  </x:si>
  <x:si>
    <x:t>LOTE 2 TUCAN MEDIA LAB S.L.</x:t>
  </x:si>
  <x:si>
    <x:t>25233191</x:t>
  </x:si>
  <x:si>
    <x:t>BIBLIOTECA DE CATALUNYA</x:t>
  </x:si>
  <x:si>
    <x:t>Servicio de digitalización de documentos sonoros de la Biblioteca de Catalunya. Lote 1. Cintas magnéticas audio en rodillo abierto. Lote 2. Cintas de vídeo formato no doméstico.</x:t>
  </x:si>
  <x:si>
    <x:t>BC-2025-146</x:t>
  </x:si>
  <x:si>
    <x:t>Catalunya</x:t>
  </x:si>
  <x:si>
    <x:t>Ver detalle de la adjudicación</x:t>
  </x:si>
  <x:si>
    <x:t>VITAMINE COMMUNICATIONS, SL</x:t>
  </x:si>
  <x:si>
    <x:t>25233270</x:t>
  </x:si>
  <x:si>
    <x:t>UNIVERSITAT DE BARCELONA</x:t>
  </x:si>
  <x:si>
    <x:t>Consiste en el acompañamiento al Rectorado de la Universidad de Barcelona en relación con la proyección, comunicación, representatividad y percepción del equipo rectoral tanto por parte de los agentes internos (e.e. comunidad universitaria de la Universidad de Barcelona) como externos (instituciones, ciudadanía, red universitaria próxima e internacional, etc.). El ámbito objetivo comprende: a) el asesoramiento en el seguimiento de la ejecución del plan de comunicación de la Universidad de Barcelona; b) la mejora en la relación y presencia en los medios de comunicación y las redes sociales de la Universidad de Barcelona genera y el equipo rectoral, encabezado por el rector, en particular; y c) el acompañamiento en la estrategia comunicativa y reputacional vinculada con los proyectos estratégicos del Rectorado. Ver el alcance objetivo en detalle en los puntos 3 y 4 del pliego de prescripciones técnicas</x:t>
  </x:si>
  <x:si>
    <x:t>2025/81</x:t>
  </x:si>
  <x:si>
    <x:t>Barcelona</x:t>
  </x:si>
  <x:si>
    <x:t>LOTE 2  BYRON BOOKS, SL</x:t>
  </x:si>
  <x:si>
    <x:t>25233392</x:t>
  </x:si>
  <x:si>
    <x:t>FUNDACIÓN DEL GRAN TEATRE DEL LICEU</x:t>
  </x:si>
  <x:si>
    <x:t>Servicio de diseño gráfico y maquetación para el desarrollo de materiales editoriales y comunicativos vinculados a la actividad del Gran Teatre del Liceu. Lote 1 Incluye la conceptualización y maquetación de los programas de mano para las actividades del teatro. Lote 2 Incluye la dirección de arte, diseño y maquetación del libro de temporada, así como todos los materiales relacionados con la programación y estilo de una temporada, reflejando la línea creativa y artística de cada temporada. Lote 3 Proporciona una bolsa de horas flexible para cubrir necesidades puntuales de diseño gráfico, branding, conceptualización creativa u otras tareas relacionadas con la comunicación y el diseño gráfico durante la temporada.</x:t>
  </x:si>
  <x:si>
    <x:t>043-T2425-DEF-SE</x:t>
  </x:si>
  <x:si>
    <x:t>MOSTRA COMUNICACIÓ SL</x:t>
  </x:si>
  <x:si>
    <x:t>25233406</x:t>
  </x:si>
  <x:si>
    <x:t>AYUNTAMIENTO DE CASTELLÓ DE EMPÚRIES (GIRONA)</x:t>
  </x:si>
  <x:si>
    <x:t>Remodelación del espacio de fábrica en el Ecomuseo Farinera, financiado con fondos Next Generation.</x:t>
  </x:si>
  <x:si>
    <x:t>2025/4122</x:t>
  </x:si>
  <x:si>
    <x:t>Girona</x:t>
  </x:si>
  <x:si>
    <x:t>LOTE 1  ECOSTUDI SIMA SLP; LOTE 2  INSTITUT ILDEFONS CERDÀ, FUNDACIÓ PRIVADA</x:t>
  </x:si>
  <x:si>
    <x:t>25233457</x:t>
  </x:si>
  <x:si>
    <x:t>CONSORCI DE POLÍTIQUES AMBIENTALS DE LES TERRES DE L'EBRE (COPATE)</x:t>
  </x:si>
  <x:si>
    <x:t>El presente contrato tiene por objeto la contratación de un servicio de asistencia técnica para el diseño, planificación, ejecución, seguimiento y evaluación de un conjunto de actuaciones orientadas a la prevención de residuos y al fomento de la separación de los residuos en el ámbito territorial y competencial de la Reserva de la Biosfera de las Terres de l'Ebre. Lote 1: Actividades de fomento y sensibilización de reciclaje y prevención de residuos. Lote 2: Estudio de viabilidad para la creación de un circuito de excedentes alimenticios. 
Lote 3: Suministro de contenedores, colinas, compostadores y bolsas compostables. 
Lote 4: Desarrollo de una aplicación móvil bidireccional para empresas generadoras de 
materia orgánica.</x:t>
  </x:si>
  <x:si>
    <x:t>245/2025</x:t>
  </x:si>
  <x:si>
    <x:t>Tarragona</x:t>
  </x:si>
  <x:si>
    <x:t>LA FACTORIA DELS ANUNCIS SLU</x:t>
  </x:si>
  <x:si>
    <x:t>25233473</x:t>
  </x:si>
  <x:si>
    <x:t>INSTITUTO DE CULTURA DE BARCELONA</x:t>
  </x:si>
  <x:si>
    <x:t>Campaña del festival Danza Metropolitana 2026</x:t>
  </x:si>
  <x:si>
    <x:t>006_25001836</x:t>
  </x:si>
  <x:si>
    <x:t>INNOTUR CONSULTORÍA E INNOVACIÓN S.L</x:t>
  </x:si>
  <x:si>
    <x:t>25233486</x:t>
  </x:si>
  <x:si>
    <x:t>ALCALDÍA DEL AYUNTAMIENTO DE TEVERGA (ASTURIAS)</x:t>
  </x:si>
  <x:si>
    <x:t>Contrato de prestacion de servicios para el diseño y ejecución de la puesta en marcha de servicios turisticos en el concejo de Teverga. Financiada fondos PRTR</x:t>
  </x:si>
  <x:si>
    <x:t>DIL/2025/48</x:t>
  </x:si>
  <x:si>
    <x:t>6TEMS COMUNICACIÓ INTERACTIVA, SL</x:t>
  </x:si>
  <x:si>
    <x:t>25233502</x:t>
  </x:si>
  <x:si>
    <x:t>AYUNTAMIENTO DE LLEIDA</x:t>
  </x:si>
  <x:si>
    <x:t>Contratación de la conceptualización, servicio para el diseño, abastecimiento de imágenes, elaboración y gestión de contenidos y mantenimiento de la página web Lleida Natura.</x:t>
  </x:si>
  <x:si>
    <x:t>SER_OBEA_2025_0102-NGEU</x:t>
  </x:si>
  <x:si>
    <x:t>Lleida</x:t>
  </x:si>
  <x:si>
    <x:t>LOTE 2  INFOBIBLIOTECAS S.L.</x:t>
  </x:si>
  <x:si>
    <x:t>25233524</x:t>
  </x:si>
  <x:si>
    <x:t>AYUNTAMIENTO DE GRANOLLERS (BARCELONA)</x:t>
  </x:si>
  <x:si>
    <x:t>Suministro de fondos documentales para la red urbana de bibliotecas de Granollers. • LOTE 1: Fondo de libros • LOTE 2: Fondo audiovisual • LOTE 3: Juegos de mesa</x:t>
  </x:si>
  <x:si>
    <x:t>2025/037 (45/2025/CONT)</x:t>
  </x:si>
  <x:si>
    <x:t>LOTE 1 FUNDACIO PRIVADA PER A LA PROMOCIO DE L'AUTOOCUPACIO DE CATALUNYA; LOTE 2 SUARA SERVEIS SCCL; LOTE 3 SALESIANS SANT JORDI; LOTE 4 SUARA SERVEIS SCCL    </x:t>
  </x:si>
  <x:si>
    <x:t>25233603</x:t>
  </x:si>
  <x:si>
    <x:t>AYUNTAMIENTO DE GIRONA</x:t>
  </x:si>
  <x:si>
    <x:t>El objeto del contrato es el servicio de intervención socioeducativa en los espacios jóvenes y puntos de encuentro joven de la ciudad de Girona, que comprende las siguientes prestaciones principales: - Atención socioeducativa y dinamización grupal e individual de las personas jóvenes usuarias del servicio. - Diseño, gestión y dinamización de la programación de actividades del servicio. - Diseño, gestión y dinamización de acciones socioeducativas en coordinación con los centros educativos de la ciudad dentro y fuera de los espacios jóvenes. - Diseño, gestión y dinamización de estrategias de comunicación efectivas para difundir las acciones de los espacios jóvenes. - Establecimiento de un sistema continuo de evaluación del servicio proporcionado para poder incorporar mejoras garantizando una mejor respuesta a las cambiantes necesidades de la juventud. - Implementación de acciones y estrategias de colaboración activa con agentes del territorio para enriquecer la acción de los espacios jóvenes. Lote 1 Servicio de intervención socioeducativa en L'Estació Espai Jove. Lote 2 Servicio de intervención socioeducativa en Els Químics Espai Jove. Lote 3 Servicio de intervención socioeducativa en El Güell Espai Jove. Lote 4 Servicio de intervención socioeducativa a los jóvenes Ter (Pont Major y Esquerra del Ter).</x:t>
  </x:si>
  <x:si>
    <x:t>2025024408</x:t>
  </x:si>
  <x:si>
    <x:t>KOSMOS JOY EVENTUS, SL</x:t>
  </x:si>
  <x:si>
    <x:t>25233627</x:t>
  </x:si>
  <x:si>
    <x:t>AYUNTAMIENTO DE LLORET DE MAR (GIRONA)</x:t>
  </x:si>
  <x:si>
    <x:t>Servicio de organización y suministro del montante de la Feria de Navidad de Lloret de Mar 2025</x:t>
  </x:si>
  <x:si>
    <x:t>14032025000030 ORG. FIRA NADAL</x:t>
  </x:si>
  <x:si>
    <x:t>RUTAS TURÍSTICAS Y AVENTURA CATALUNYA SL</x:t>
  </x:si>
  <x:si>
    <x:t>25233631</x:t>
  </x:si>
  <x:si>
    <x:t>AYUNTAMIENTO DE PALAMÓS (GIRONA)</x:t>
  </x:si>
  <x:si>
    <x:t>Servicios de actividades del Parque Infantil de Navidad</x:t>
  </x:si>
  <x:si>
    <x:t>7115/2025</x:t>
  </x:si>
  <x:si>
    <x:t>LOTE 1 DIVERSPORT SL; LOTE 2 DIVERSPORT SL; LOTE 3 COMBINATS SCCL; LOTE 4 IGNACIO LASCASAS SIGNES; LOTE 5 CIA. PASSABARRET, S.L.; LOTE 6 TARRACO ADVENTURE, S.L.   </x:t>
  </x:si>
  <x:si>
    <x:t>25233638</x:t>
  </x:si>
  <x:si>
    <x:t>EMPRESA MUNICIPAL DE DESENVOLUPAMENT ECONÒMIC DE TARRAGONA SA</x:t>
  </x:si>
  <x:si>
    <x:t>El objeto del contrato se refiere a la contratación del servicio de realización del Parque de Navidad 2025-2026, denominado “Els Impossibles”, dividido en 6 lotes, los cuales comprenden diferentes trabajos que se configuran para crear un espacio lúdico, cultural y educativo, destinado al público familiar y el cual se llevará a cabo en el Recinto Firal de Tarragona con las condiciones previstas en el Pliego de Prescripciones técnicas. Lote 1 Servicio de monitorización y auxiliares del parque. Lote 2 Gestión de taquillas y control de acceso al recinto. Lote 3 Diseño gráfico, comunicación y audiovisuales. Lote 4 Decoración e iluminación parque. Lote 5 Espacio escénico y zona de descanso. Lote 6 Hinchables y atracciones.</x:t>
  </x:si>
  <x:si>
    <x:t>05MX/2025</x:t>
  </x:si>
  <x:si>
    <x:t>EL METROPOST, S.L</x:t>
  </x:si>
  <x:si>
    <x:t>25233644</x:t>
  </x:si>
  <x:si>
    <x:t>AYUNTAMIENTO DE BEGUES (BARCELONA)</x:t>
  </x:si>
  <x:si>
    <x:t>Contratación de los servicios de redacción, diseño, maquetación e impresión del boletín municipal de Begues</x:t>
  </x:si>
  <x:si>
    <x:t>1403-86-2025</x:t>
  </x:si>
  <x:si>
    <x:t>NF AGENCIA DE MEDIOS INDEPENDIENTE SLU</x:t>
  </x:si>
  <x:si>
    <x:t>25233658</x:t>
  </x:si>
  <x:si>
    <x:t>AENA. DIRECCIÓN DE CONTRATACIÓN</x:t>
  </x:si>
  <x:si>
    <x:t>Servicio de producción de eventos para Aena, S.M.E., S.A.</x:t>
  </x:si>
  <x:si>
    <x:t>DCP-283/2025</x:t>
  </x:si>
  <x:si>
    <x:t>IGNACIO LASCASAS SIGNES</x:t>
  </x:si>
  <x:si>
    <x:t>25233677</x:t>
  </x:si>
  <x:si>
    <x:t>AYUNTAMIENTO DEL VENDRELL (TARRAGONA)</x:t>
  </x:si>
  <x:si>
    <x:t>Servicios de producción, diseño, montaje, mantenimiento y desmontaje de los elementos escénicos, decorativos y de animación de la feria de Navidad del Vendrell 2025</x:t>
  </x:si>
  <x:si>
    <x:t>GCON2025000089</x:t>
  </x:si>
  <x:si>
    <x:t>TRES4TRES ARTS &amp; TECHNOLOGY SL</x:t>
  </x:si>
  <x:si>
    <x:t>25233691</x:t>
  </x:si>
  <x:si>
    <x:t>Servicios de creación del diseño y proyección de los mappings de Navidad en diferentes fachadas de Palamós</x:t>
  </x:si>
  <x:si>
    <x:t>7594-2025</x:t>
  </x:si>
  <x:si>
    <x:t>ODD SPACES SL</x:t>
  </x:si>
  <x:si>
    <x:t>25233721</x:t>
  </x:si>
  <x:si>
    <x:t>BARCELONA ACTIVA SAU SPM</x:t>
  </x:si>
  <x:si>
    <x:t>Servicios de diseño de stand, grafismo, montaje y desmontaje, coordinación técnica y transporte del stand de BARCELONA ACTIVA en la feria Integrated Systems Europe (ISE)</x:t>
  </x:si>
  <x:si>
    <x:t>49-25</x:t>
  </x:si>
  <x:si>
    <x:t>ONA BAGES SCCL</x:t>
  </x:si>
  <x:si>
    <x:t>25233726</x:t>
  </x:si>
  <x:si>
    <x:t>AYUNTAMIENTO DE SANTPEDOR (BARCELONA)</x:t>
  </x:si>
  <x:si>
    <x:t>El presente contrato tiene por objeto los servicios de producción de contenidos informativos y otros de interés local por la emisora de radio municipal del Ayuntamiento de Santpedor, situada en La Nau, en la travesía San Francisco de Asís, que emite por radiofrecuencia en el 90.0 FM, de acuerdo con las condiciones y características que figurarán en el Pliego de Claus Técnicas que se redactarán para su incorporación en el expediente de la licitación del servicio. La contratación se realiza con la voluntad de ofrecer a los vecinos y vecinas del municipio un conjunto de contenidos orientados a la satisfacción de sus necesidades democráticas, sociales, educativas y culturales, garantizar su acceso a una información veraz, objetiva y equilibrada ya las diversas expresiones sociales y culturales; proporcionar una oferta de entretenimiento de calidad, difundir y promocionar la lengua catalana y cumplir, en todo lo que corresponda al ámbito local de este servicio, las misiones de servicio público relacionadas en el artículo 26 de la Ley 22/2005, de 29 de diciembre, de la Comunicación Audiovisual en Cataluña. El objeto contractual se configura por varios programas que la empresa contratista debe emitir</x:t>
  </x:si>
  <x:si>
    <x:t>X2025003875</x:t>
  </x:si>
  <x:si>
    <x:t>EN DIRECTE-PLURALS, SL</x:t>
  </x:si>
  <x:si>
    <x:t>25233733</x:t>
  </x:si>
  <x:si>
    <x:t>AYUNTAMIENTO DE BARCELONA</x:t>
  </x:si>
  <x:si>
    <x:t>Servicio de accesibilidad comunicativa en actos públicos del Distrito de Sarrià - Sant Gervasi del Ayuntamiento de Barcelona con medidas de contratación pública sostenible</x:t>
  </x:si>
  <x:si>
    <x:t>001_25002441</x:t>
  </x:si>
  <x:si>
    <x:t>NEW MEDIA AUDIOVISUAL, S.L.U</x:t>
  </x:si>
  <x:si>
    <x:t>25233741</x:t>
  </x:si>
  <x:si>
    <x:t>Servicio de realización audiovisual y su publicación y retransmisión vía "streaming" de sesiones de los órganos de gobierno y participación del distrito de Sant Martí con medidas de contratación pública sostenible</x:t>
  </x:si>
  <x:si>
    <x:t>001_25002720</x:t>
  </x:si>
  <x:si>
    <x:t>J.D.V. IURIS &amp; CONSULTANTS S.L.P</x:t>
  </x:si>
  <x:si>
    <x:t>25233750</x:t>
  </x:si>
  <x:si>
    <x:t>DIRECCIÓN GENERAL DE LA MUTUAL MIDAT CYCLOPS, MUTUA COLABORADORA CON LA SEGURIDAD SOCIAL, Nº 1</x:t>
  </x:si>
  <x:si>
    <x:t>Elaboración Boletín mensual en materia jurídico laboral</x:t>
  </x:si>
  <x:si>
    <x:t>N202500324</x:t>
  </x:si>
  <x:si>
    <x:t>CINFO CONTENIDOS INFORMATIVOS PERSONALIZADOS, S.L</x:t>
  </x:si>
  <x:si>
    <x:t>25233770</x:t>
  </x:si>
  <x:si>
    <x:t>AYUNTAMIENTO DE IGUALADA (BARCELONA)</x:t>
  </x:si>
  <x:si>
    <x:t>Suministro y servicio de un sistema de retransmisión de eventos deportivos en las diferentes instalaciones deportivas de la ciudad de Igualada situadas en Les Comes en el marco del PLAN DE RECUPERACIÓN, TRANSFORMACIÓN Y RESILIENCIA, FINANCIADO POR LA UNIÓ EUROPEA-NEXT GENERATION EU</x:t>
  </x:si>
  <x:si>
    <x:t>47/2025</x:t>
  </x:si>
  <x:si>
    <x:t>UNIVERSAL MCANN, SA; CARAT ESPAÑA, SAU; HAVAS MEDIA GROUP SPAIN, SAU; WAVEMAKER PUBLICIDAD, SL </x:t>
  </x:si>
  <x:si>
    <x:t>25233840</x:t>
  </x:si>
  <x:si>
    <x:t>GENERALITAT DE CATALUNYA. DEPARTAMENTO DE LA PRESIDENCIA</x:t>
  </x:si>
  <x:si>
    <x:t>Acuerdo marco de servicios de gestión e inserción de publicidad institucional en los medios de comunicación que lleve a cabo la Administración de la Generalitat de Catalunya, mediante sus departamentos y organismos y entidades que dependan de la misma.</x:t>
  </x:si>
  <x:si>
    <x:t>PR-2025-556</x:t>
  </x:si>
  <x:si>
    <x:t>ACADEMIA DE LAS ARTES Y LAS CIENCIAS CINEMATOGRÁFICAS DE ESPAÑA</x:t>
  </x:si>
  <x:si>
    <x:t>25234099</x:t>
  </x:si>
  <x:si>
    <x:t>INSTITUTO CATALÁN DE LES EMPRESES CULTURALS</x:t>
  </x:si>
  <x:si>
    <x:t>Contratación de la Academia de las Artes y las Ciencias Cinematográficas de España para llevar a cabo un contrato de patrocinio publicitario</x:t>
  </x:si>
  <x:si>
    <x:t>ICEC-2025-1412</x:t>
  </x:si>
  <x:si>
    <x:t>SPAINMEDIA CONSULTING S.L</x:t>
  </x:si>
  <x:si>
    <x:t>25234163</x:t>
  </x:si>
  <x:si>
    <x:t>MADRID CULTURA Y TURISMO, S.A.U</x:t>
  </x:si>
  <x:si>
    <x:t>Patrocinio publicitario del Summit Travel 2025 de Forbes</x:t>
  </x:si>
  <x:si>
    <x:t>NSP090/2025</x:t>
  </x:si>
  <x:si>
    <x:t>REAL FEDERACION ESPAÑOLA DE FUTBOL</x:t>
  </x:si>
  <x:si>
    <x:t>25234167</x:t>
  </x:si>
  <x:si>
    <x:t>Contrato de patrocinio publicitario de la final de la UEFA Women´s Nations League</x:t>
  </x:si>
  <x:si>
    <x:t>NSP097/2025</x:t>
  </x:si>
  <x:si>
    <x:t>ROMUALDO MANUEL FAURA BERNABÉ</x:t>
  </x:si>
  <x:si>
    <x:t>25234201</x:t>
  </x:si>
  <x:si>
    <x:t>ÁREA DE GOBIERNO DE VICEALCALDÍA, PORTAVOZ, SEGURIDAD Y EMERGENCIAS DEL AYUNTAMIENTO DE MADRID</x:t>
  </x:si>
  <x:si>
    <x:t>Elementos de difusión D11 “Carabanchel es arte y cultura”</x:t>
  </x:si>
  <x:si>
    <x:t>145/2023/00612.2.62</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</x:si>
</x:sst>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HYPERLINK("https://www.infonalia.es/adjudicaciones1125/25233029.pdf","www.infonalia.es/adjudicaciones1125/25233029.pdf")</x:f>
        <x:v>www.infonalia.es/adjudicaciones1125/25233029.pdf</x:v>
      </x:c>
      <x:c r="E2" s="8" t="s">
        <x:v>14</x:v>
      </x:c>
      <x:c r="F2" s="6" t="s">
        <x:v>15</x:v>
      </x:c>
      <x:c r="G2" s="6" t="s">
        <x:v>16</x:v>
      </x:c>
      <x:c r="H2" s="6" t="s">
        <x:v>17</x:v>
      </x:c>
      <x:c r="I2" s="6" t="s">
        <x:v>18</x:v>
      </x:c>
      <x:c r="J2" s="9" t="n">
        <x:v>34710.74</x:v>
      </x:c>
      <x:c r="K2" s="9" t="n">
        <x:v>34710.74</x:v>
      </x:c>
    </x:row>
    <x:row r="3">
      <x:c r="A3" s="6" t="s">
        <x:v>11</x:v>
      </x:c>
      <x:c r="B3" s="6" t="s">
        <x:v>19</x:v>
      </x:c>
      <x:c r="C3" s="6" t="s">
        <x:v>13</x:v>
      </x:c>
      <x:c r="D3" s="7" t="str">
        <x:f xml:space="preserve">HYPERLINK("https://www.infonalia.es/adjudicaciones1125/25233122.pdf","www.infonalia.es/adjudicaciones1125/25233122.pdf")</x:f>
        <x:v>www.infonalia.es/adjudicaciones1125/25233122.pdf</x:v>
      </x:c>
      <x:c r="E3" s="8" t="s">
        <x:v>20</x:v>
      </x:c>
      <x:c r="F3" s="6" t="s">
        <x:v>21</x:v>
      </x:c>
      <x:c r="G3" s="6" t="s">
        <x:v>22</x:v>
      </x:c>
      <x:c r="H3" s="6" t="s">
        <x:v>23</x:v>
      </x:c>
      <x:c r="I3" s="6" t="s">
        <x:v>24</x:v>
      </x:c>
      <x:c r="J3" s="9" t="n">
        <x:v>81900.00</x:v>
      </x:c>
      <x:c r="K3" s="9" t="n">
        <x:v>87000.00</x:v>
      </x:c>
    </x:row>
    <x:row r="4">
      <x:c r="A4" s="6" t="s">
        <x:v>11</x:v>
      </x:c>
      <x:c r="B4" s="6" t="s">
        <x:v>25</x:v>
      </x:c>
      <x:c r="C4" s="6" t="s">
        <x:v>13</x:v>
      </x:c>
      <x:c r="D4" s="7" t="str">
        <x:f xml:space="preserve">HYPERLINK("https://www.infonalia.es/adjudicaciones1125/25233191.pdf","www.infonalia.es/adjudicaciones1125/25233191.pdf")</x:f>
        <x:v>www.infonalia.es/adjudicaciones1125/25233191.pdf</x:v>
      </x:c>
      <x:c r="E4" s="8" t="s">
        <x:v>26</x:v>
      </x:c>
      <x:c r="F4" s="6" t="s">
        <x:v>27</x:v>
      </x:c>
      <x:c r="G4" s="6" t="s">
        <x:v>28</x:v>
      </x:c>
      <x:c r="H4" s="6" t="s">
        <x:v>29</x:v>
      </x:c>
      <x:c r="I4" s="6" t="s">
        <x:v>30</x:v>
      </x:c>
      <x:c r="J4" s="9" t="s">
        <x:v>31</x:v>
      </x:c>
      <x:c r="K4" s="9" t="n">
        <x:v>38063.96</x:v>
      </x:c>
    </x:row>
    <x:row r="5">
      <x:c r="A5" s="6" t="s">
        <x:v>11</x:v>
      </x:c>
      <x:c r="B5" s="6" t="s">
        <x:v>32</x:v>
      </x:c>
      <x:c r="C5" s="6" t="s">
        <x:v>13</x:v>
      </x:c>
      <x:c r="D5" s="7" t="str">
        <x:f xml:space="preserve">HYPERLINK("https://www.infonalia.es/adjudicaciones1125/25233270.pdf","www.infonalia.es/adjudicaciones1125/25233270.pdf")</x:f>
        <x:v>www.infonalia.es/adjudicaciones1125/25233270.pdf</x:v>
      </x:c>
      <x:c r="E5" s="8" t="s">
        <x:v>33</x:v>
      </x:c>
      <x:c r="F5" s="6" t="s">
        <x:v>34</x:v>
      </x:c>
      <x:c r="G5" s="6" t="s">
        <x:v>35</x:v>
      </x:c>
      <x:c r="H5" s="6" t="s">
        <x:v>36</x:v>
      </x:c>
      <x:c r="I5" s="6" t="s">
        <x:v>37</x:v>
      </x:c>
      <x:c r="J5" s="9" t="s">
        <x:v>31</x:v>
      </x:c>
      <x:c r="K5" s="9" t="n">
        <x:v>52289.52</x:v>
      </x:c>
    </x:row>
    <x:row r="6">
      <x:c r="A6" s="6" t="s">
        <x:v>11</x:v>
      </x:c>
      <x:c r="B6" s="6" t="s">
        <x:v>38</x:v>
      </x:c>
      <x:c r="C6" s="6" t="s">
        <x:v>13</x:v>
      </x:c>
      <x:c r="D6" s="7" t="str">
        <x:f xml:space="preserve">HYPERLINK("https://www.infonalia.es/adjudicaciones1125/25233392.pdf","www.infonalia.es/adjudicaciones1125/25233392.pdf")</x:f>
        <x:v>www.infonalia.es/adjudicaciones1125/25233392.pdf</x:v>
      </x:c>
      <x:c r="E6" s="8" t="s">
        <x:v>39</x:v>
      </x:c>
      <x:c r="F6" s="6" t="s">
        <x:v>40</x:v>
      </x:c>
      <x:c r="G6" s="6" t="s">
        <x:v>41</x:v>
      </x:c>
      <x:c r="H6" s="6" t="s">
        <x:v>42</x:v>
      </x:c>
      <x:c r="I6" s="6" t="s">
        <x:v>37</x:v>
      </x:c>
      <x:c r="J6" s="9" t="s">
        <x:v>31</x:v>
      </x:c>
      <x:c r="K6" s="9" t="n">
        <x:v>77900.00</x:v>
      </x:c>
    </x:row>
    <x:row r="7">
      <x:c r="A7" s="6" t="s">
        <x:v>11</x:v>
      </x:c>
      <x:c r="B7" s="6" t="s">
        <x:v>43</x:v>
      </x:c>
      <x:c r="C7" s="6" t="s">
        <x:v>13</x:v>
      </x:c>
      <x:c r="D7" s="7" t="str">
        <x:f xml:space="preserve">HYPERLINK("https://www.infonalia.es/adjudicaciones1125/25233406.pdf","www.infonalia.es/adjudicaciones1125/25233406.pdf")</x:f>
        <x:v>www.infonalia.es/adjudicaciones1125/25233406.pdf</x:v>
      </x:c>
      <x:c r="E7" s="8" t="s">
        <x:v>44</x:v>
      </x:c>
      <x:c r="F7" s="6" t="s">
        <x:v>45</x:v>
      </x:c>
      <x:c r="G7" s="6" t="s">
        <x:v>46</x:v>
      </x:c>
      <x:c r="H7" s="6" t="s">
        <x:v>47</x:v>
      </x:c>
      <x:c r="I7" s="6" t="s">
        <x:v>48</x:v>
      </x:c>
      <x:c r="J7" s="9" t="s">
        <x:v>31</x:v>
      </x:c>
      <x:c r="K7" s="9" t="n">
        <x:v>325326.19</x:v>
      </x:c>
    </x:row>
    <x:row r="8">
      <x:c r="A8" s="6" t="s">
        <x:v>11</x:v>
      </x:c>
      <x:c r="B8" s="6" t="s">
        <x:v>49</x:v>
      </x:c>
      <x:c r="C8" s="6" t="s">
        <x:v>13</x:v>
      </x:c>
      <x:c r="D8" s="7" t="str">
        <x:f xml:space="preserve">HYPERLINK("https://www.infonalia.es/adjudicaciones1125/25233457.pdf","www.infonalia.es/adjudicaciones1125/25233457.pdf")</x:f>
        <x:v>www.infonalia.es/adjudicaciones1125/25233457.pdf</x:v>
      </x:c>
      <x:c r="E8" s="8" t="s">
        <x:v>50</x:v>
      </x:c>
      <x:c r="F8" s="6" t="s">
        <x:v>51</x:v>
      </x:c>
      <x:c r="G8" s="6" t="s">
        <x:v>52</x:v>
      </x:c>
      <x:c r="H8" s="6" t="s">
        <x:v>53</x:v>
      </x:c>
      <x:c r="I8" s="6" t="s">
        <x:v>54</x:v>
      </x:c>
      <x:c r="J8" s="9" t="s">
        <x:v>31</x:v>
      </x:c>
      <x:c r="K8" s="9" t="n">
        <x:v>410000.00</x:v>
      </x:c>
    </x:row>
    <x:row r="9">
      <x:c r="A9" s="6" t="s">
        <x:v>11</x:v>
      </x:c>
      <x:c r="B9" s="6" t="s">
        <x:v>55</x:v>
      </x:c>
      <x:c r="C9" s="6" t="s">
        <x:v>13</x:v>
      </x:c>
      <x:c r="D9" s="7" t="str">
        <x:f xml:space="preserve">HYPERLINK("https://www.infonalia.es/adjudicaciones1125/25233473.pdf","www.infonalia.es/adjudicaciones1125/25233473.pdf")</x:f>
        <x:v>www.infonalia.es/adjudicaciones1125/25233473.pdf</x:v>
      </x:c>
      <x:c r="E9" s="8" t="s">
        <x:v>56</x:v>
      </x:c>
      <x:c r="F9" s="6" t="s">
        <x:v>57</x:v>
      </x:c>
      <x:c r="G9" s="6" t="s">
        <x:v>58</x:v>
      </x:c>
      <x:c r="H9" s="6" t="s">
        <x:v>59</x:v>
      </x:c>
      <x:c r="I9" s="6" t="s">
        <x:v>37</x:v>
      </x:c>
      <x:c r="J9" s="9" t="s">
        <x:v>31</x:v>
      </x:c>
      <x:c r="K9" s="9" t="n">
        <x:v>123966.94</x:v>
      </x:c>
    </x:row>
    <x:row r="10">
      <x:c r="A10" s="6" t="s">
        <x:v>11</x:v>
      </x:c>
      <x:c r="B10" s="6" t="s">
        <x:v>60</x:v>
      </x:c>
      <x:c r="C10" s="6" t="s">
        <x:v>13</x:v>
      </x:c>
      <x:c r="D10" s="7" t="str">
        <x:f xml:space="preserve">HYPERLINK("https://www.infonalia.es/adjudicaciones1125/25233486.pdf","www.infonalia.es/adjudicaciones1125/25233486.pdf")</x:f>
        <x:v>www.infonalia.es/adjudicaciones1125/25233486.pdf</x:v>
      </x:c>
      <x:c r="E10" s="8" t="s">
        <x:v>61</x:v>
      </x:c>
      <x:c r="F10" s="6" t="s">
        <x:v>62</x:v>
      </x:c>
      <x:c r="G10" s="6" t="s">
        <x:v>63</x:v>
      </x:c>
      <x:c r="H10" s="6" t="s">
        <x:v>64</x:v>
      </x:c>
      <x:c r="I10" s="6" t="s">
        <x:v>18</x:v>
      </x:c>
      <x:c r="J10" s="9" t="n">
        <x:v>43900.00</x:v>
      </x:c>
      <x:c r="K10" s="9" t="n">
        <x:v>46694.21</x:v>
      </x:c>
    </x:row>
    <x:row r="11">
      <x:c r="A11" s="6" t="s">
        <x:v>11</x:v>
      </x:c>
      <x:c r="B11" s="6" t="s">
        <x:v>65</x:v>
      </x:c>
      <x:c r="C11" s="6" t="s">
        <x:v>13</x:v>
      </x:c>
      <x:c r="D11" s="7" t="str">
        <x:f xml:space="preserve">HYPERLINK("https://www.infonalia.es/adjudicaciones1125/25233502.pdf","www.infonalia.es/adjudicaciones1125/25233502.pdf")</x:f>
        <x:v>www.infonalia.es/adjudicaciones1125/25233502.pdf</x:v>
      </x:c>
      <x:c r="E11" s="8" t="s">
        <x:v>66</x:v>
      </x:c>
      <x:c r="F11" s="6" t="s">
        <x:v>67</x:v>
      </x:c>
      <x:c r="G11" s="6" t="s">
        <x:v>68</x:v>
      </x:c>
      <x:c r="H11" s="6" t="s">
        <x:v>69</x:v>
      </x:c>
      <x:c r="I11" s="6" t="s">
        <x:v>70</x:v>
      </x:c>
      <x:c r="J11" s="9" t="s">
        <x:v>31</x:v>
      </x:c>
      <x:c r="K11" s="9" t="n">
        <x:v>19999.99</x:v>
      </x:c>
    </x:row>
    <x:row r="12">
      <x:c r="A12" s="6" t="s">
        <x:v>11</x:v>
      </x:c>
      <x:c r="B12" s="6" t="s">
        <x:v>71</x:v>
      </x:c>
      <x:c r="C12" s="6" t="s">
        <x:v>13</x:v>
      </x:c>
      <x:c r="D12" s="7" t="str">
        <x:f xml:space="preserve">HYPERLINK("https://www.infonalia.es/adjudicaciones1125/25233524.pdf","www.infonalia.es/adjudicaciones1125/25233524.pdf")</x:f>
        <x:v>www.infonalia.es/adjudicaciones1125/25233524.pdf</x:v>
      </x:c>
      <x:c r="E12" s="8" t="s">
        <x:v>72</x:v>
      </x:c>
      <x:c r="F12" s="6" t="s">
        <x:v>73</x:v>
      </x:c>
      <x:c r="G12" s="6" t="s">
        <x:v>74</x:v>
      </x:c>
      <x:c r="H12" s="6" t="s">
        <x:v>75</x:v>
      </x:c>
      <x:c r="I12" s="6" t="s">
        <x:v>37</x:v>
      </x:c>
      <x:c r="J12" s="9" t="s">
        <x:v>31</x:v>
      </x:c>
      <x:c r="K12" s="9" t="n">
        <x:v>69802.93</x:v>
      </x:c>
    </x:row>
    <x:row r="13">
      <x:c r="A13" s="6" t="s">
        <x:v>11</x:v>
      </x:c>
      <x:c r="B13" s="6" t="s">
        <x:v>76</x:v>
      </x:c>
      <x:c r="C13" s="6" t="s">
        <x:v>13</x:v>
      </x:c>
      <x:c r="D13" s="7" t="str">
        <x:f xml:space="preserve">HYPERLINK("https://www.infonalia.es/adjudicaciones1125/25233603.pdf","www.infonalia.es/adjudicaciones1125/25233603.pdf")</x:f>
        <x:v>www.infonalia.es/adjudicaciones1125/25233603.pdf</x:v>
      </x:c>
      <x:c r="E13" s="8" t="s">
        <x:v>77</x:v>
      </x:c>
      <x:c r="F13" s="6" t="s">
        <x:v>78</x:v>
      </x:c>
      <x:c r="G13" s="6" t="s">
        <x:v>79</x:v>
      </x:c>
      <x:c r="H13" s="6" t="s">
        <x:v>80</x:v>
      </x:c>
      <x:c r="I13" s="6" t="s">
        <x:v>48</x:v>
      </x:c>
      <x:c r="J13" s="9" t="s">
        <x:v>31</x:v>
      </x:c>
      <x:c r="K13" s="9" t="n">
        <x:v>298259.91</x:v>
      </x:c>
    </x:row>
    <x:row r="14">
      <x:c r="A14" s="6" t="s">
        <x:v>11</x:v>
      </x:c>
      <x:c r="B14" s="6" t="s">
        <x:v>81</x:v>
      </x:c>
      <x:c r="C14" s="6" t="s">
        <x:v>13</x:v>
      </x:c>
      <x:c r="D14" s="7" t="str">
        <x:f xml:space="preserve">HYPERLINK("https://www.infonalia.es/adjudicaciones1125/25233627.pdf","www.infonalia.es/adjudicaciones1125/25233627.pdf")</x:f>
        <x:v>www.infonalia.es/adjudicaciones1125/25233627.pdf</x:v>
      </x:c>
      <x:c r="E14" s="8" t="s">
        <x:v>82</x:v>
      </x:c>
      <x:c r="F14" s="6" t="s">
        <x:v>83</x:v>
      </x:c>
      <x:c r="G14" s="6" t="s">
        <x:v>84</x:v>
      </x:c>
      <x:c r="H14" s="6" t="s">
        <x:v>85</x:v>
      </x:c>
      <x:c r="I14" s="6" t="s">
        <x:v>48</x:v>
      </x:c>
      <x:c r="J14" s="9" t="s">
        <x:v>31</x:v>
      </x:c>
      <x:c r="K14" s="9" t="n">
        <x:v>33057.85</x:v>
      </x:c>
    </x:row>
    <x:row r="15">
      <x:c r="A15" s="6" t="s">
        <x:v>11</x:v>
      </x:c>
      <x:c r="B15" s="6" t="s">
        <x:v>86</x:v>
      </x:c>
      <x:c r="C15" s="6" t="s">
        <x:v>13</x:v>
      </x:c>
      <x:c r="D15" s="7" t="str">
        <x:f xml:space="preserve">HYPERLINK("https://www.infonalia.es/adjudicaciones1125/25233631.pdf","www.infonalia.es/adjudicaciones1125/25233631.pdf")</x:f>
        <x:v>www.infonalia.es/adjudicaciones1125/25233631.pdf</x:v>
      </x:c>
      <x:c r="E15" s="8" t="s">
        <x:v>87</x:v>
      </x:c>
      <x:c r="F15" s="6" t="s">
        <x:v>88</x:v>
      </x:c>
      <x:c r="G15" s="6" t="s">
        <x:v>89</x:v>
      </x:c>
      <x:c r="H15" s="6" t="s">
        <x:v>90</x:v>
      </x:c>
      <x:c r="I15" s="6" t="s">
        <x:v>48</x:v>
      </x:c>
      <x:c r="J15" s="9" t="s">
        <x:v>31</x:v>
      </x:c>
      <x:c r="K15" s="9" t="n">
        <x:v>20640.62</x:v>
      </x:c>
    </x:row>
    <x:row r="16">
      <x:c r="A16" s="6" t="s">
        <x:v>11</x:v>
      </x:c>
      <x:c r="B16" s="6" t="s">
        <x:v>91</x:v>
      </x:c>
      <x:c r="C16" s="6" t="s">
        <x:v>13</x:v>
      </x:c>
      <x:c r="D16" s="7" t="str">
        <x:f xml:space="preserve">HYPERLINK("https://www.infonalia.es/adjudicaciones1125/25233638.pdf","www.infonalia.es/adjudicaciones1125/25233638.pdf")</x:f>
        <x:v>www.infonalia.es/adjudicaciones1125/25233638.pdf</x:v>
      </x:c>
      <x:c r="E16" s="8" t="s">
        <x:v>92</x:v>
      </x:c>
      <x:c r="F16" s="6" t="s">
        <x:v>93</x:v>
      </x:c>
      <x:c r="G16" s="6" t="s">
        <x:v>94</x:v>
      </x:c>
      <x:c r="H16" s="6" t="s">
        <x:v>95</x:v>
      </x:c>
      <x:c r="I16" s="6" t="s">
        <x:v>54</x:v>
      </x:c>
      <x:c r="J16" s="9" t="s">
        <x:v>31</x:v>
      </x:c>
      <x:c r="K16" s="9" t="n">
        <x:v>138106.40</x:v>
      </x:c>
    </x:row>
    <x:row r="17">
      <x:c r="A17" s="6" t="s">
        <x:v>11</x:v>
      </x:c>
      <x:c r="B17" s="6" t="s">
        <x:v>96</x:v>
      </x:c>
      <x:c r="C17" s="6" t="s">
        <x:v>13</x:v>
      </x:c>
      <x:c r="D17" s="7" t="str">
        <x:f xml:space="preserve">HYPERLINK("https://www.infonalia.es/adjudicaciones1125/25233644.pdf","www.infonalia.es/adjudicaciones1125/25233644.pdf")</x:f>
        <x:v>www.infonalia.es/adjudicaciones1125/25233644.pdf</x:v>
      </x:c>
      <x:c r="E17" s="8" t="s">
        <x:v>97</x:v>
      </x:c>
      <x:c r="F17" s="6" t="s">
        <x:v>98</x:v>
      </x:c>
      <x:c r="G17" s="6" t="s">
        <x:v>99</x:v>
      </x:c>
      <x:c r="H17" s="6" t="s">
        <x:v>100</x:v>
      </x:c>
      <x:c r="I17" s="6" t="s">
        <x:v>37</x:v>
      </x:c>
      <x:c r="J17" s="9" t="s">
        <x:v>31</x:v>
      </x:c>
      <x:c r="K17" s="9" t="n">
        <x:v>86538.46</x:v>
      </x:c>
    </x:row>
    <x:row r="18">
      <x:c r="A18" s="6" t="s">
        <x:v>11</x:v>
      </x:c>
      <x:c r="B18" s="6" t="s">
        <x:v>101</x:v>
      </x:c>
      <x:c r="C18" s="6" t="s">
        <x:v>13</x:v>
      </x:c>
      <x:c r="D18" s="7" t="str">
        <x:f xml:space="preserve">HYPERLINK("https://www.infonalia.es/adjudicaciones1125/25233658.pdf","www.infonalia.es/adjudicaciones1125/25233658.pdf")</x:f>
        <x:v>www.infonalia.es/adjudicaciones1125/25233658.pdf</x:v>
      </x:c>
      <x:c r="E18" s="8" t="s">
        <x:v>102</x:v>
      </x:c>
      <x:c r="F18" s="6" t="s">
        <x:v>103</x:v>
      </x:c>
      <x:c r="G18" s="6" t="s">
        <x:v>104</x:v>
      </x:c>
      <x:c r="H18" s="6" t="s">
        <x:v>105</x:v>
      </x:c>
      <x:c r="I18" s="6" t="s">
        <x:v>24</x:v>
      </x:c>
      <x:c r="J18" s="9" t="n">
        <x:v>1438060.00</x:v>
      </x:c>
      <x:c r="K18" s="9" t="n">
        <x:v>1500000.00</x:v>
      </x:c>
    </x:row>
    <x:row r="19">
      <x:c r="A19" s="6" t="s">
        <x:v>11</x:v>
      </x:c>
      <x:c r="B19" s="6" t="s">
        <x:v>106</x:v>
      </x:c>
      <x:c r="C19" s="6" t="s">
        <x:v>13</x:v>
      </x:c>
      <x:c r="D19" s="7" t="str">
        <x:f xml:space="preserve">HYPERLINK("https://www.infonalia.es/adjudicaciones1125/25233677.pdf","www.infonalia.es/adjudicaciones1125/25233677.pdf")</x:f>
        <x:v>www.infonalia.es/adjudicaciones1125/25233677.pdf</x:v>
      </x:c>
      <x:c r="E19" s="8" t="s">
        <x:v>107</x:v>
      </x:c>
      <x:c r="F19" s="6" t="s">
        <x:v>108</x:v>
      </x:c>
      <x:c r="G19" s="6" t="s">
        <x:v>109</x:v>
      </x:c>
      <x:c r="H19" s="6" t="s">
        <x:v>110</x:v>
      </x:c>
      <x:c r="I19" s="6" t="s">
        <x:v>54</x:v>
      </x:c>
      <x:c r="J19" s="9" t="s">
        <x:v>31</x:v>
      </x:c>
      <x:c r="K19" s="9" t="n">
        <x:v>58964.50</x:v>
      </x:c>
    </x:row>
    <x:row r="20">
      <x:c r="A20" s="6" t="s">
        <x:v>11</x:v>
      </x:c>
      <x:c r="B20" s="6" t="s">
        <x:v>111</x:v>
      </x:c>
      <x:c r="C20" s="6" t="s">
        <x:v>13</x:v>
      </x:c>
      <x:c r="D20" s="7" t="str">
        <x:f xml:space="preserve">HYPERLINK("https://www.infonalia.es/adjudicaciones1125/25233691.pdf","www.infonalia.es/adjudicaciones1125/25233691.pdf")</x:f>
        <x:v>www.infonalia.es/adjudicaciones1125/25233691.pdf</x:v>
      </x:c>
      <x:c r="E20" s="8" t="s">
        <x:v>112</x:v>
      </x:c>
      <x:c r="F20" s="6" t="s">
        <x:v>88</x:v>
      </x:c>
      <x:c r="G20" s="6" t="s">
        <x:v>113</x:v>
      </x:c>
      <x:c r="H20" s="6" t="s">
        <x:v>114</x:v>
      </x:c>
      <x:c r="I20" s="6" t="s">
        <x:v>48</x:v>
      </x:c>
      <x:c r="J20" s="9" t="s">
        <x:v>31</x:v>
      </x:c>
      <x:c r="K20" s="9" t="n">
        <x:v>31987.20</x:v>
      </x:c>
    </x:row>
    <x:row r="21">
      <x:c r="A21" s="6" t="s">
        <x:v>11</x:v>
      </x:c>
      <x:c r="B21" s="6" t="s">
        <x:v>115</x:v>
      </x:c>
      <x:c r="C21" s="6" t="s">
        <x:v>13</x:v>
      </x:c>
      <x:c r="D21" s="7" t="str">
        <x:f xml:space="preserve">HYPERLINK("https://www.infonalia.es/adjudicaciones1125/25233721.pdf","www.infonalia.es/adjudicaciones1125/25233721.pdf")</x:f>
        <x:v>www.infonalia.es/adjudicaciones1125/25233721.pdf</x:v>
      </x:c>
      <x:c r="E21" s="8" t="s">
        <x:v>116</x:v>
      </x:c>
      <x:c r="F21" s="6" t="s">
        <x:v>117</x:v>
      </x:c>
      <x:c r="G21" s="6" t="s">
        <x:v>118</x:v>
      </x:c>
      <x:c r="H21" s="6" t="s">
        <x:v>119</x:v>
      </x:c>
      <x:c r="I21" s="6" t="s">
        <x:v>37</x:v>
      </x:c>
      <x:c r="J21" s="9" t="s">
        <x:v>31</x:v>
      </x:c>
      <x:c r="K21" s="9" t="n">
        <x:v>186000.00</x:v>
      </x:c>
    </x:row>
    <x:row r="22">
      <x:c r="A22" s="6" t="s">
        <x:v>11</x:v>
      </x:c>
      <x:c r="B22" s="6" t="s">
        <x:v>120</x:v>
      </x:c>
      <x:c r="C22" s="6" t="s">
        <x:v>13</x:v>
      </x:c>
      <x:c r="D22" s="7" t="str">
        <x:f xml:space="preserve">HYPERLINK("https://www.infonalia.es/adjudicaciones1125/25233726.pdf","www.infonalia.es/adjudicaciones1125/25233726.pdf")</x:f>
        <x:v>www.infonalia.es/adjudicaciones1125/25233726.pdf</x:v>
      </x:c>
      <x:c r="E22" s="8" t="s">
        <x:v>121</x:v>
      </x:c>
      <x:c r="F22" s="6" t="s">
        <x:v>122</x:v>
      </x:c>
      <x:c r="G22" s="6" t="s">
        <x:v>123</x:v>
      </x:c>
      <x:c r="H22" s="6" t="s">
        <x:v>124</x:v>
      </x:c>
      <x:c r="I22" s="6" t="s">
        <x:v>37</x:v>
      </x:c>
      <x:c r="J22" s="9" t="s">
        <x:v>31</x:v>
      </x:c>
      <x:c r="K22" s="9" t="n">
        <x:v>12753.68</x:v>
      </x:c>
    </x:row>
    <x:row r="23">
      <x:c r="A23" s="6" t="s">
        <x:v>11</x:v>
      </x:c>
      <x:c r="B23" s="6" t="s">
        <x:v>125</x:v>
      </x:c>
      <x:c r="C23" s="6" t="s">
        <x:v>13</x:v>
      </x:c>
      <x:c r="D23" s="7" t="str">
        <x:f xml:space="preserve">HYPERLINK("https://www.infonalia.es/adjudicaciones1125/25233733.pdf","www.infonalia.es/adjudicaciones1125/25233733.pdf")</x:f>
        <x:v>www.infonalia.es/adjudicaciones1125/25233733.pdf</x:v>
      </x:c>
      <x:c r="E23" s="8" t="s">
        <x:v>126</x:v>
      </x:c>
      <x:c r="F23" s="6" t="s">
        <x:v>127</x:v>
      </x:c>
      <x:c r="G23" s="6" t="s">
        <x:v>128</x:v>
      </x:c>
      <x:c r="H23" s="6" t="s">
        <x:v>129</x:v>
      </x:c>
      <x:c r="I23" s="6" t="s">
        <x:v>37</x:v>
      </x:c>
      <x:c r="J23" s="9" t="s">
        <x:v>31</x:v>
      </x:c>
      <x:c r="K23" s="9" t="n">
        <x:v>14110.00</x:v>
      </x:c>
    </x:row>
    <x:row r="24">
      <x:c r="A24" s="6" t="s">
        <x:v>11</x:v>
      </x:c>
      <x:c r="B24" s="6" t="s">
        <x:v>130</x:v>
      </x:c>
      <x:c r="C24" s="6" t="s">
        <x:v>13</x:v>
      </x:c>
      <x:c r="D24" s="7" t="str">
        <x:f xml:space="preserve">HYPERLINK("https://www.infonalia.es/adjudicaciones1125/25233741.pdf","www.infonalia.es/adjudicaciones1125/25233741.pdf")</x:f>
        <x:v>www.infonalia.es/adjudicaciones1125/25233741.pdf</x:v>
      </x:c>
      <x:c r="E24" s="8" t="s">
        <x:v>131</x:v>
      </x:c>
      <x:c r="F24" s="6" t="s">
        <x:v>127</x:v>
      </x:c>
      <x:c r="G24" s="6" t="s">
        <x:v>132</x:v>
      </x:c>
      <x:c r="H24" s="6" t="s">
        <x:v>133</x:v>
      </x:c>
      <x:c r="I24" s="6" t="s">
        <x:v>37</x:v>
      </x:c>
      <x:c r="J24" s="9" t="s">
        <x:v>31</x:v>
      </x:c>
      <x:c r="K24" s="9" t="n">
        <x:v>24800.00</x:v>
      </x:c>
    </x:row>
    <x:row r="25">
      <x:c r="A25" s="6" t="s">
        <x:v>11</x:v>
      </x:c>
      <x:c r="B25" s="6" t="s">
        <x:v>134</x:v>
      </x:c>
      <x:c r="C25" s="6" t="s">
        <x:v>13</x:v>
      </x:c>
      <x:c r="D25" s="7" t="str">
        <x:f xml:space="preserve">HYPERLINK("https://www.infonalia.es/adjudicaciones1125/25233750.pdf","www.infonalia.es/adjudicaciones1125/25233750.pdf")</x:f>
        <x:v>www.infonalia.es/adjudicaciones1125/25233750.pdf</x:v>
      </x:c>
      <x:c r="E25" s="8" t="s">
        <x:v>135</x:v>
      </x:c>
      <x:c r="F25" s="6" t="s">
        <x:v>136</x:v>
      </x:c>
      <x:c r="G25" s="6" t="s">
        <x:v>137</x:v>
      </x:c>
      <x:c r="H25" s="6" t="s">
        <x:v>138</x:v>
      </x:c>
      <x:c r="I25" s="6" t="s">
        <x:v>37</x:v>
      </x:c>
      <x:c r="J25" s="9" t="n">
        <x:v>9600.00</x:v>
      </x:c>
      <x:c r="K25" s="9" t="n">
        <x:v>11200.00</x:v>
      </x:c>
    </x:row>
    <x:row r="26">
      <x:c r="A26" s="6" t="s">
        <x:v>11</x:v>
      </x:c>
      <x:c r="B26" s="6" t="s">
        <x:v>139</x:v>
      </x:c>
      <x:c r="C26" s="6" t="s">
        <x:v>13</x:v>
      </x:c>
      <x:c r="D26" s="7" t="str">
        <x:f xml:space="preserve">HYPERLINK("https://www.infonalia.es/adjudicaciones1125/25233770.pdf","www.infonalia.es/adjudicaciones1125/25233770.pdf")</x:f>
        <x:v>www.infonalia.es/adjudicaciones1125/25233770.pdf</x:v>
      </x:c>
      <x:c r="E26" s="8" t="s">
        <x:v>140</x:v>
      </x:c>
      <x:c r="F26" s="6" t="s">
        <x:v>141</x:v>
      </x:c>
      <x:c r="G26" s="6" t="s">
        <x:v>142</x:v>
      </x:c>
      <x:c r="H26" s="6" t="s">
        <x:v>143</x:v>
      </x:c>
      <x:c r="I26" s="6" t="s">
        <x:v>37</x:v>
      </x:c>
      <x:c r="J26" s="9" t="s">
        <x:v>31</x:v>
      </x:c>
      <x:c r="K26" s="9" t="n">
        <x:v>50000.00</x:v>
      </x:c>
    </x:row>
    <x:row r="27">
      <x:c r="A27" s="6" t="s">
        <x:v>11</x:v>
      </x:c>
      <x:c r="B27" s="6" t="s">
        <x:v>144</x:v>
      </x:c>
      <x:c r="C27" s="6" t="s">
        <x:v>13</x:v>
      </x:c>
      <x:c r="D27" s="7" t="str">
        <x:f xml:space="preserve">HYPERLINK("https://www.infonalia.es/adjudicaciones1125/25233840.pdf","www.infonalia.es/adjudicaciones1125/25233840.pdf")</x:f>
        <x:v>www.infonalia.es/adjudicaciones1125/25233840.pdf</x:v>
      </x:c>
      <x:c r="E27" s="8" t="s">
        <x:v>145</x:v>
      </x:c>
      <x:c r="F27" s="6" t="s">
        <x:v>146</x:v>
      </x:c>
      <x:c r="G27" s="6" t="s">
        <x:v>147</x:v>
      </x:c>
      <x:c r="H27" s="6" t="s">
        <x:v>148</x:v>
      </x:c>
      <x:c r="I27" s="6" t="s">
        <x:v>37</x:v>
      </x:c>
      <x:c r="J27" s="9" t="s">
        <x:v>31</x:v>
      </x:c>
      <x:c r="K27" s="9" t="n">
        <x:v>110000000.00</x:v>
      </x:c>
    </x:row>
    <x:row r="28">
      <x:c r="A28" s="6" t="s">
        <x:v>11</x:v>
      </x:c>
      <x:c r="B28" s="6" t="s">
        <x:v>149</x:v>
      </x:c>
      <x:c r="C28" s="6" t="s">
        <x:v>13</x:v>
      </x:c>
      <x:c r="D28" s="7" t="str">
        <x:f xml:space="preserve">HYPERLINK("https://www.infonalia.es/adjudicaciones1125/25234099.pdf","www.infonalia.es/adjudicaciones1125/25234099.pdf")</x:f>
        <x:v>www.infonalia.es/adjudicaciones1125/25234099.pdf</x:v>
      </x:c>
      <x:c r="E28" s="8" t="s">
        <x:v>150</x:v>
      </x:c>
      <x:c r="F28" s="6" t="s">
        <x:v>151</x:v>
      </x:c>
      <x:c r="G28" s="6" t="s">
        <x:v>152</x:v>
      </x:c>
      <x:c r="H28" s="6" t="s">
        <x:v>153</x:v>
      </x:c>
      <x:c r="I28" s="6" t="s">
        <x:v>37</x:v>
      </x:c>
      <x:c r="J28" s="9" t="n">
        <x:v>2000000.00</x:v>
      </x:c>
      <x:c r="K28" s="9" t="n">
        <x:v>2000000.00</x:v>
      </x:c>
    </x:row>
    <x:row r="29">
      <x:c r="A29" s="6" t="s">
        <x:v>11</x:v>
      </x:c>
      <x:c r="B29" s="6" t="s">
        <x:v>154</x:v>
      </x:c>
      <x:c r="C29" s="6" t="s">
        <x:v>13</x:v>
      </x:c>
      <x:c r="D29" s="7" t="str">
        <x:f xml:space="preserve">HYPERLINK("https://www.infonalia.es/adjudicaciones1125/25234163.pdf","www.infonalia.es/adjudicaciones1125/25234163.pdf")</x:f>
        <x:v>www.infonalia.es/adjudicaciones1125/25234163.pdf</x:v>
      </x:c>
      <x:c r="E29" s="8" t="s">
        <x:v>155</x:v>
      </x:c>
      <x:c r="F29" s="6" t="s">
        <x:v>156</x:v>
      </x:c>
      <x:c r="G29" s="6" t="s">
        <x:v>157</x:v>
      </x:c>
      <x:c r="H29" s="6" t="s">
        <x:v>158</x:v>
      </x:c>
      <x:c r="I29" s="6" t="s">
        <x:v>24</x:v>
      </x:c>
      <x:c r="J29" s="9" t="n">
        <x:v>30000.00</x:v>
      </x:c>
      <x:c r="K29" s="9" t="n">
        <x:v>30000.00</x:v>
      </x:c>
    </x:row>
    <x:row r="30">
      <x:c r="A30" s="6" t="s">
        <x:v>11</x:v>
      </x:c>
      <x:c r="B30" s="6" t="s">
        <x:v>159</x:v>
      </x:c>
      <x:c r="C30" s="6" t="s">
        <x:v>13</x:v>
      </x:c>
      <x:c r="D30" s="7" t="str">
        <x:f xml:space="preserve">HYPERLINK("https://www.infonalia.es/adjudicaciones1125/25234167.pdf","www.infonalia.es/adjudicaciones1125/25234167.pdf")</x:f>
        <x:v>www.infonalia.es/adjudicaciones1125/25234167.pdf</x:v>
      </x:c>
      <x:c r="E30" s="8" t="s">
        <x:v>160</x:v>
      </x:c>
      <x:c r="F30" s="6" t="s">
        <x:v>156</x:v>
      </x:c>
      <x:c r="G30" s="6" t="s">
        <x:v>161</x:v>
      </x:c>
      <x:c r="H30" s="6" t="s">
        <x:v>162</x:v>
      </x:c>
      <x:c r="I30" s="6" t="s">
        <x:v>24</x:v>
      </x:c>
      <x:c r="J30" s="9" t="n">
        <x:v>100000.00</x:v>
      </x:c>
      <x:c r="K30" s="9" t="n">
        <x:v>1000000.00</x:v>
      </x:c>
    </x:row>
    <x:row r="31">
      <x:c r="A31" s="6" t="s">
        <x:v>11</x:v>
      </x:c>
      <x:c r="B31" s="6" t="s">
        <x:v>163</x:v>
      </x:c>
      <x:c r="C31" s="6" t="s">
        <x:v>13</x:v>
      </x:c>
      <x:c r="D31" s="7" t="str">
        <x:f xml:space="preserve">HYPERLINK("https://www.infonalia.es/adjudicaciones1125/25234201.pdf","www.infonalia.es/adjudicaciones1125/25234201.pdf")</x:f>
        <x:v>www.infonalia.es/adjudicaciones1125/25234201.pdf</x:v>
      </x:c>
      <x:c r="E31" s="8" t="s">
        <x:v>164</x:v>
      </x:c>
      <x:c r="F31" s="6" t="s">
        <x:v>165</x:v>
      </x:c>
      <x:c r="G31" s="6" t="s">
        <x:v>166</x:v>
      </x:c>
      <x:c r="H31" s="6" t="s">
        <x:v>167</x:v>
      </x:c>
      <x:c r="I31" s="6" t="s">
        <x:v>24</x:v>
      </x:c>
      <x:c r="J31" s="9" t="n">
        <x:v>747.00</x:v>
      </x:c>
      <x:c r="K31" s="9" t="n">
        <x:v>747.00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