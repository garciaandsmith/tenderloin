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Adjudicaciones" sheetId="1" r:id="rId1"/>
  </x:sheets>
  <x:definedNames>
    <x:definedName name="_xlnm._FilterDatabase" localSheetId="0" hidden="1">Adjudicaciones!$A$1:$K$1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<x:sst xmlns:x="http://schemas.openxmlformats.org/spreadsheetml/2006/main" count="11" uniqueCount="11">
  <x:si>
    <x:t>Tipo Adjudicacion</x:t>
  </x:si>
  <x:si>
    <x:t>Contratista</x:t>
  </x:si>
  <x:si>
    <x:t>Fecha</x:t>
  </x:si>
  <x:si>
    <x:t>Pdf Adjudicacion</x:t>
  </x:si>
  <x:si>
    <x:t>Referencia</x:t>
  </x:si>
  <x:si>
    <x:t>Organismo Convocante</x:t>
  </x:si>
  <x:si>
    <x:t>Objeto</x:t>
  </x:si>
  <x:si>
    <x:t>Nº Expediente</x:t>
  </x:si>
  <x:si>
    <x:t>Lugar Ejecucion</x:t>
  </x:si>
  <x:si>
    <x:t>Importe Adjudicacion</x:t>
  </x:si>
  <x:si>
    <x:t>Presupuesto Licitacion</x:t>
  </x:si>
  <x:si>
    <x:t>Adjudicado</x:t>
  </x:si>
  <x:si>
    <x:t>JAIME NOVO CASADO</x:t>
  </x:si>
  <x:si>
    <x:t>19/01/2026 0:00:00</x:t>
  </x:si>
  <x:si>
    <x:t>26006731</x:t>
  </x:si>
  <x:si>
    <x:t>JUNTA DIRECTIVA DE LA ASOCIACIÓN CLUB DE PRODUCTO CICLOTURISMO EN MADRID</x:t>
  </x:si>
  <x:si>
    <x:t>Con el fin de profesionalizar su gestión y asegurar el cumplimiento de sus acciones y plazos, se contrata un servicio de apoyo técnico que permita mejorar la gestión interna, impulsar las iniciativas decididas y garantizar el cumplimiento de los acuerdos de sus órganos de gobierno, contribuyendo al logro de sus objetivos</x:t>
  </x:si>
  <x:si>
    <x:t>2026-01-APOYO-TECNICO</x:t>
  </x:si>
  <x:si>
    <x:t>Madrid</x:t>
  </x:si>
  <x:si>
    <x:t>LOBERA SERVICIOS DE IMAGEN S.L</x:t>
  </x:si>
  <x:si>
    <x:t>26006821</x:t>
  </x:si>
  <x:si>
    <x:t>CONSEJO DE ADMINISTRACIÓN DE LA COMPAÑÍA PARA LA GESTIÓN DE RESIDUOS SÓLIDOS EN ASTURIAS S.A</x:t>
  </x:si>
  <x:si>
    <x:t>Servicios de creación de contenido y difusión del Programa de Comercio Verde Asturias.</x:t>
  </x:si>
  <x:si>
    <x:t>120/2025</x:t>
  </x:si>
  <x:si>
    <x:t>Asturias</x:t>
  </x:si>
  <x:si>
    <x:t>ESTUDI DE COMUNICACIÓ INTUS S.L</x:t>
  </x:si>
  <x:si>
    <x:t>26006847</x:t>
  </x:si>
  <x:si>
    <x:t>AYUNTAMIENTO DE AITONA (LLEIDA)</x:t>
  </x:si>
  <x:si>
    <x:t>Constituye el objeto del contrato la prestación del servicio integral de gabinete de comunicación, gestión de redes sociales y relación con los medios de comunicación, con el fin de difundir de forma clara, específica y/o continua y veraz toda aquella información de interés relativa a la actualidad del municipio y a los proyectos y/o actuaciones que se llevan a cabo desde los diferentes servicios municipales, con el objetivo de difundir la imagen.</x:t>
  </x:si>
  <x:si>
    <x:t>X2025000373</x:t>
  </x:si>
  <x:si>
    <x:t>Lleida</x:t>
  </x:si>
  <x:si>
    <x:t>MEDIA SAPIENS SPAIN SLU</x:t>
  </x:si>
  <x:si>
    <x:t>26006892</x:t>
  </x:si>
  <x:si>
    <x:t>AENA. DIRECCIÓN DE CONTRATACIÓN</x:t>
  </x:si>
  <x:si>
    <x:t>Campañas de marketing y compra de medios para negocios comerciales de Aena</x:t>
  </x:si>
  <x:si>
    <x:t>DMC-225/2024</x:t>
  </x:si>
  <x:si>
    <x:t>TRES ELEFANTAS PRODUCCIONES, S.L</x:t>
  </x:si>
  <x:si>
    <x:t>26006954</x:t>
  </x:si>
  <x:si>
    <x:t>JUNTA DE GOBIERNO DEL AYUNTAMIENTO DE MÓSTOLES (MADRID)</x:t>
  </x:si>
  <x:si>
    <x:t>Espectáculo "Nuevos Horizontes" a celebrar el día 14 de Enero de 2026 en el Teatro del Bosque</x:t>
  </x:si>
  <x:si>
    <x:t>C071/CON/2025-311</x:t>
  </x:si>
  <x:si>
    <x:t>Formalizado</x:t>
  </x:si>
  <x:si>
    <x:t>INTERVENTO 2, SL</x:t>
  </x:si>
  <x:si>
    <x:t>26006991</x:t>
  </x:si>
  <x:si>
    <x:t>CENTRO DE CULTURA CONTEMPORÁNEA DE BARCELONA CCCB</x:t>
  </x:si>
  <x:si>
    <x:t>Contrato de suministro para la fabricación y suministro de los elementos expositivos y de montaje y desmontaje de la exposición “EL CULTE A LA BELLESA” que se presentará en el CCCB de mayo a noviembre de 2026. Lote 1 Elementos expositivos. Lote 2 Elementos gráficos.</x:t>
  </x:si>
  <x:si>
    <x:t>CCCB/2025/0005897</x:t>
  </x:si>
  <x:si>
    <x:t>Barcelona</x:t>
  </x:si>
  <x:si>
    <x:t>Ver detalle de la adjudicación</x:t>
  </x:si>
  <x:si>
    <x:t>ALFE TRAMESES</x:t>
  </x:si>
  <x:si>
    <x:t>26007022</x:t>
  </x:si>
  <x:si>
    <x:t>CONSORCI HOSPITAL CLÍNIC DE BARCELONA (HCB)</x:t>
  </x:si>
  <x:si>
    <x:t>Suministro de material y componentes informativos para los programas de detección precoz de cáncer colorrectal y de cáncer de mama por el Hospital Clínic de Barcelona para los pacientes de las Áreas Integrales de Salud (AIS) Barcelona Esquerra y Barcelona Nord en el HCB</x:t>
  </x:si>
  <x:si>
    <x:t>2025-130</x:t>
  </x:si>
  <x:si>
    <x:t>REFIKI S.L</x:t>
  </x:si>
  <x:si>
    <x:t>26007090</x:t>
  </x:si>
  <x:si>
    <x:t>DIRECCIÓN DE LA FUNDACIÓN ICO</x:t>
  </x:si>
  <x:si>
    <x:t>Comisariado, diseño expositivo y supervisión del montaje de la Exposición “La Escultura con dibujo en las Colecciones ICO", que tendrá lugar en el Museo ICO del 5 de febrero al 10 de mayo de 2026</x:t>
  </x:si>
  <x:si>
    <x:t>NSP29/2025</x:t>
  </x:si>
  <x:si>
    <x:t>ANUPAMA KUNDOO ARCHITECTS, S.L</x:t>
  </x:si>
  <x:si>
    <x:t>26007091</x:t>
  </x:si>
  <x:si>
    <x:t>Organización del comisariado y diseño expositivo de la exposición "Anupama Kundoo", para su exhibición en el Museo ICO del 1 de octubre al 10 de enero de 2027</x:t>
  </x:si>
  <x:si>
    <x:t>NSP26/2025</x:t>
  </x:si>
  <x:si>
    <x:t>LÚA RIBEIRA</x:t>
  </x:si>
  <x:si>
    <x:t>26007092</x:t>
  </x:si>
  <x:si>
    <x:t>Realizar el encargo "Residencia de mujeres de la tercera edad en la Costa del Sol, Baleares y Canarias" (título provisional) que se enmarca en el proyecto "20/XXI. Nuevas Imágenes de España", conceptualizado y comisariado por Jorge Ribalta y Alfredo Puente (FCAYC)</x:t>
  </x:si>
  <x:si>
    <x:t>NSP25/2025</x:t>
  </x:si>
  <x:si>
    <x:t>CATARINA BEIJA BOTELHO</x:t>
  </x:si>
  <x:si>
    <x:t>26007093</x:t>
  </x:si>
  <x:si>
    <x:t>Realizar el encargo "Políticas de trasvase de agua entre España y Portugal, río Duero" (título provisional), mediante medios audiovisuales y/o fotográficos, que se enmarca en el proyecto "20/XXI. Nuevas Imágenes de España", conceptualizado y comisariado por Jorge Ribalta y Alfredo Puente (FCAYC)</x:t>
  </x:si>
  <x:si>
    <x:t>NSP24/2025</x:t>
  </x:si>
  <x:si>
    <x:t>FUNDACIÓN CEREZALES ANTONINO Y CINIA</x:t>
  </x:si>
  <x:si>
    <x:t>26007094</x:t>
  </x:si>
  <x:si>
    <x:t>Comisariado de la segunda etapa del proyecto "20/XXI. Nuevas imágenes de España"</x:t>
  </x:si>
  <x:si>
    <x:t>NSP23/2025</x:t>
  </x:si>
  <x:si>
    <x:t>JORGE RIBALTA DELGADO</x:t>
  </x:si>
  <x:si>
    <x:t>26007095</x:t>
  </x:si>
  <x:si>
    <x:t>Comisariado de la segunda fase del proyecto "20/XXI. Nuevas imágenes de España": 4 series de obra (encargo, seguimiento y apoyo a la producción)</x:t>
  </x:si>
  <x:si>
    <x:t>NSP12/2025</x:t>
  </x:si>
  <x:si>
    <x:t>CABELLO/CARCELER</x:t>
  </x:si>
  <x:si>
    <x:t>26007096</x:t>
  </x:si>
  <x:si>
    <x:t>Realizar el encargo "Madrid, nuevo Miami", mediante medios audiovisuales y/o fotográficos, para el registro del gran crecimiento económico y expansión de Madrid de las últimas dos décadas, en el marco del proyecto "20/XXI. Nuevas imágenes de España"</x:t>
  </x:si>
  <x:si>
    <x:t>NSP22/2025</x:t>
  </x:si>
  <x:si>
    <x:t>ICEX ESPAÑA, EXPORTACION E INVERSIONES, EPE</x:t>
  </x:si>
  <x:si>
    <x:t>26007149</x:t>
  </x:si>
  <x:si>
    <x:t>EMPRESA MUNICIPAL DE TRANSPORTES DE MADRID, S.A</x:t>
  </x:si>
  <x:si>
    <x:t>Contrato patrimonial el alquiler de un espacio de 12 m² destinado a la instalación de un stand dentro del Pabellón de España en el UITP Summit 2026, que tendrá lugar en el Dubai World Trade Center del 21 al 23 de abril de 2026</x:t>
  </x:si>
  <x:si>
    <x:t>25/135/PAT</x:t>
  </x:si>
  <x:si>
    <x:t>Dubai</x:t>
  </x:si>
  <x:si>
    <x:t>INSTITUCION FERIAL DE MADRID</x:t>
  </x:si>
  <x:si>
    <x:t>26007159</x:t>
  </x:si>
  <x:si>
    <x:t>EMPRESA PÚBLICA PARA LA GESTIÓN DEL TURISMO Y EL DEPORTE DE ANDALUCÍA, S.A</x:t>
  </x:si>
  <x:si>
    <x:t>espacio para la participación de andalucía en la feria fitur 2026</x:t>
  </x:si>
  <x:si>
    <x:t>C2N07-06MC-0825-0212</x:t>
  </x:si>
  <x:si>
    <x:t>26007160</x:t>
  </x:si>
  <x:si>
    <x:t>Contratación de espacios publicitarios en Ifema durante Fitur 2026</x:t>
  </x:si>
  <x:si>
    <x:t>C2N01-06CR-1125-0187</x:t>
  </x:si>
  <x:si>
    <x:t>VUYANI DANCE THEATRE PROJECT NPO</x:t>
  </x:si>
  <x:si>
    <x:t>26007163</x:t>
  </x:si>
  <x:si>
    <x:t>MADRID CULTURA Y TURISMO, S.A.U</x:t>
  </x:si>
  <x:si>
    <x:t>Contrato de exhibición de Cion: Requiem of Ravel´s Boléro de Gregory Maqoma/Vuyani Dance Theatre, los días 5, 6 y 7 de febrero de 2026 en la Sala Roja de los Teatros del Canal como parte de la programación de la temporada 2025-2026</x:t>
  </x:si>
  <x:si>
    <x:t>NSP092/2025</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</x:si>
</x:sst>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10">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0" fontId="1" fillId="0" borderId="0" xfId="0" applyFont="1" applyAlignment="1">
      <alignment vertical="center"/>
    </xf>
    <xf numFmtId="0" fontId="1" fillId="0" borderId="1" xfId="0" applyFont="1" applyBorder="1" applyAlignment="1">
      <alignment vertical="center" wrapText="1"/>
    </xf>
    <xf numFmtId="0" fontId="4" fillId="0" borderId="1" xfId="1" applyFont="1" applyBorder="1" applyAlignment="1" applyProtection="1">
      <alignment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K2"/>
  <x:sheetViews>
    <x:sheetView showGridLines="0" tabSelected="1" zoomScaleNormal="100" workbookViewId="0">
      <x:selection sqref="A1:XFD1"/>
    </x:sheetView>
  </x:sheetViews>
  <x:sheetFormatPr baseColWidth="10" defaultColWidth="16" defaultRowHeight="12.75"/>
  <x:cols>
    <x:col min="1" max="1" width="14.42578125" style="1" customWidth="1"/>
    <x:col min="2" max="2" width="19.85546875" style="1" customWidth="1"/>
    <x:col min="3" max="3" width="11.5703125" style="1" hidden="1" customWidth="1"/>
    <x:col min="4" max="4" width="20.140625" style="1" customWidth="1"/>
    <x:col min="5" max="5" width="11.140625" style="2" customWidth="1"/>
    <x:col min="6" max="6" width="26.7109375" style="1" customWidth="1"/>
    <x:col min="7" max="7" width="47.28515625" style="1" customWidth="1"/>
    <x:col min="8" max="8" width="15.7109375" style="1" customWidth="1"/>
    <x:col min="9" max="9" width="13.42578125" style="1" customWidth="1"/>
    <x:col min="10" max="10" width="17.28515625" style="1" customWidth="1"/>
    <x:col min="11" max="11" width="18" style="1" customWidth="1"/>
    <x:col min="12" max="16384" width="16" style="1"/>
  </x:cols>
  <x:sheetData>
    <x:row r="1" spans="1:11" s="5" customFormat="1">
      <x:c r="A1" s="3" t="s">
        <x:v>0</x:v>
      </x:c>
      <x:c r="B1" s="3" t="s">
        <x:v>1</x:v>
      </x:c>
      <x:c r="C1" s="3" t="s">
        <x:v>2</x:v>
      </x:c>
      <x:c r="D1" s="3" t="s">
        <x:v>3</x:v>
      </x:c>
      <x:c r="E1" s="4" t="s">
        <x:v>4</x:v>
      </x:c>
      <x:c r="F1" s="3" t="s">
        <x:v>5</x:v>
      </x:c>
      <x:c r="G1" s="3" t="s">
        <x:v>6</x:v>
      </x:c>
      <x:c r="H1" s="3" t="s">
        <x:v>7</x:v>
      </x:c>
      <x:c r="I1" s="3" t="s">
        <x:v>8</x:v>
      </x:c>
      <x:c r="J1" s="3" t="s">
        <x:v>9</x:v>
      </x:c>
      <x:c r="K1" s="3" t="s">
        <x:v>10</x:v>
      </x:c>
    </x:row>
    <x:row r="2" spans="1:11">
      <x:c r="A2" s="6" t="s">
        <x:v>11</x:v>
      </x:c>
      <x:c r="B2" s="6" t="s">
        <x:v>12</x:v>
      </x:c>
      <x:c r="C2" s="6" t="s">
        <x:v>13</x:v>
      </x:c>
      <x:c r="D2" s="7" t="str">
        <x:f xml:space="preserve">HYPERLINK("https://www.infonalia.es/adjudicaciones0126/26006731.pdf","www.infonalia.es/adjudicaciones0126/26006731.pdf")</x:f>
        <x:v>www.infonalia.es/adjudicaciones0126/26006731.pdf</x:v>
      </x:c>
      <x:c r="E2" s="8" t="s">
        <x:v>14</x:v>
      </x:c>
      <x:c r="F2" s="6" t="s">
        <x:v>15</x:v>
      </x:c>
      <x:c r="G2" s="6" t="s">
        <x:v>16</x:v>
      </x:c>
      <x:c r="H2" s="6" t="s">
        <x:v>17</x:v>
      </x:c>
      <x:c r="I2" s="6" t="s">
        <x:v>18</x:v>
      </x:c>
      <x:c r="J2" s="9" t="n">
        <x:v>20661.16</x:v>
      </x:c>
      <x:c r="K2" s="9" t="n">
        <x:v>31157.55</x:v>
      </x:c>
    </x:row>
    <x:row r="3">
      <x:c r="A3" s="6" t="s">
        <x:v>11</x:v>
      </x:c>
      <x:c r="B3" s="6" t="s">
        <x:v>19</x:v>
      </x:c>
      <x:c r="C3" s="6" t="s">
        <x:v>13</x:v>
      </x:c>
      <x:c r="D3" s="7" t="str">
        <x:f xml:space="preserve">HYPERLINK("https://www.infonalia.es/adjudicaciones0126/26006821.pdf","www.infonalia.es/adjudicaciones0126/26006821.pdf")</x:f>
        <x:v>www.infonalia.es/adjudicaciones0126/26006821.pdf</x:v>
      </x:c>
      <x:c r="E3" s="8" t="s">
        <x:v>20</x:v>
      </x:c>
      <x:c r="F3" s="6" t="s">
        <x:v>21</x:v>
      </x:c>
      <x:c r="G3" s="6" t="s">
        <x:v>22</x:v>
      </x:c>
      <x:c r="H3" s="6" t="s">
        <x:v>23</x:v>
      </x:c>
      <x:c r="I3" s="6" t="s">
        <x:v>24</x:v>
      </x:c>
      <x:c r="J3" s="9" t="n">
        <x:v>72200.00</x:v>
      </x:c>
      <x:c r="K3" s="9" t="n">
        <x:v>94700.00</x:v>
      </x:c>
    </x:row>
    <x:row r="4">
      <x:c r="A4" s="6" t="s">
        <x:v>11</x:v>
      </x:c>
      <x:c r="B4" s="6" t="s">
        <x:v>25</x:v>
      </x:c>
      <x:c r="C4" s="6" t="s">
        <x:v>13</x:v>
      </x:c>
      <x:c r="D4" s="7" t="str">
        <x:f xml:space="preserve">HYPERLINK("https://www.infonalia.es/adjudicaciones0126/26006847.pdf","www.infonalia.es/adjudicaciones0126/26006847.pdf")</x:f>
        <x:v>www.infonalia.es/adjudicaciones0126/26006847.pdf</x:v>
      </x:c>
      <x:c r="E4" s="8" t="s">
        <x:v>26</x:v>
      </x:c>
      <x:c r="F4" s="6" t="s">
        <x:v>27</x:v>
      </x:c>
      <x:c r="G4" s="6" t="s">
        <x:v>28</x:v>
      </x:c>
      <x:c r="H4" s="6" t="s">
        <x:v>29</x:v>
      </x:c>
      <x:c r="I4" s="6" t="s">
        <x:v>30</x:v>
      </x:c>
      <x:c r="J4" s="9" t="n">
        <x:v>31680.58</x:v>
      </x:c>
      <x:c r="K4" s="9" t="n">
        <x:v>39600.72</x:v>
      </x:c>
    </x:row>
    <x:row r="5">
      <x:c r="A5" s="6" t="s">
        <x:v>11</x:v>
      </x:c>
      <x:c r="B5" s="6" t="s">
        <x:v>31</x:v>
      </x:c>
      <x:c r="C5" s="6" t="s">
        <x:v>13</x:v>
      </x:c>
      <x:c r="D5" s="7" t="str">
        <x:f xml:space="preserve">HYPERLINK("https://www.infonalia.es/adjudicaciones0126/26006892.pdf","www.infonalia.es/adjudicaciones0126/26006892.pdf")</x:f>
        <x:v>www.infonalia.es/adjudicaciones0126/26006892.pdf</x:v>
      </x:c>
      <x:c r="E5" s="8" t="s">
        <x:v>32</x:v>
      </x:c>
      <x:c r="F5" s="6" t="s">
        <x:v>33</x:v>
      </x:c>
      <x:c r="G5" s="6" t="s">
        <x:v>34</x:v>
      </x:c>
      <x:c r="H5" s="6" t="s">
        <x:v>35</x:v>
      </x:c>
      <x:c r="I5" s="6" t="s">
        <x:v>18</x:v>
      </x:c>
      <x:c r="J5" s="9" t="n">
        <x:v>2000000.00</x:v>
      </x:c>
      <x:c r="K5" s="9" t="n">
        <x:v>2100000.00</x:v>
      </x:c>
    </x:row>
    <x:row r="6">
      <x:c r="A6" s="6" t="s">
        <x:v>11</x:v>
      </x:c>
      <x:c r="B6" s="6" t="s">
        <x:v>36</x:v>
      </x:c>
      <x:c r="C6" s="6" t="s">
        <x:v>13</x:v>
      </x:c>
      <x:c r="D6" s="7" t="str">
        <x:f xml:space="preserve">HYPERLINK("https://www.infonalia.es/adjudicaciones0126/26006954.pdf","www.infonalia.es/adjudicaciones0126/26006954.pdf")</x:f>
        <x:v>www.infonalia.es/adjudicaciones0126/26006954.pdf</x:v>
      </x:c>
      <x:c r="E6" s="8" t="s">
        <x:v>37</x:v>
      </x:c>
      <x:c r="F6" s="6" t="s">
        <x:v>38</x:v>
      </x:c>
      <x:c r="G6" s="6" t="s">
        <x:v>39</x:v>
      </x:c>
      <x:c r="H6" s="6" t="s">
        <x:v>40</x:v>
      </x:c>
      <x:c r="I6" s="6" t="s">
        <x:v>18</x:v>
      </x:c>
      <x:c r="J6" s="9" t="n">
        <x:v>38850.00</x:v>
      </x:c>
      <x:c r="K6" s="9" t="n">
        <x:v>38850.00</x:v>
      </x:c>
    </x:row>
    <x:row r="7">
      <x:c r="A7" s="6" t="s">
        <x:v>41</x:v>
      </x:c>
      <x:c r="B7" s="6" t="s">
        <x:v>42</x:v>
      </x:c>
      <x:c r="C7" s="6" t="s">
        <x:v>13</x:v>
      </x:c>
      <x:c r="D7" s="7" t="str">
        <x:f xml:space="preserve">HYPERLINK("https://www.infonalia.es/adjudicaciones0126/26006991.pdf","www.infonalia.es/adjudicaciones0126/26006991.pdf")</x:f>
        <x:v>www.infonalia.es/adjudicaciones0126/26006991.pdf</x:v>
      </x:c>
      <x:c r="E7" s="8" t="s">
        <x:v>43</x:v>
      </x:c>
      <x:c r="F7" s="6" t="s">
        <x:v>44</x:v>
      </x:c>
      <x:c r="G7" s="6" t="s">
        <x:v>45</x:v>
      </x:c>
      <x:c r="H7" s="6" t="s">
        <x:v>46</x:v>
      </x:c>
      <x:c r="I7" s="6" t="s">
        <x:v>47</x:v>
      </x:c>
      <x:c r="J7" s="9" t="s">
        <x:v>48</x:v>
      </x:c>
      <x:c r="K7" s="9" t="n">
        <x:v>182500.00</x:v>
      </x:c>
    </x:row>
    <x:row r="8">
      <x:c r="A8" s="6" t="s">
        <x:v>11</x:v>
      </x:c>
      <x:c r="B8" s="6" t="s">
        <x:v>49</x:v>
      </x:c>
      <x:c r="C8" s="6" t="s">
        <x:v>13</x:v>
      </x:c>
      <x:c r="D8" s="7" t="str">
        <x:f xml:space="preserve">HYPERLINK("https://www.infonalia.es/adjudicaciones0126/26007022.pdf","www.infonalia.es/adjudicaciones0126/26007022.pdf")</x:f>
        <x:v>www.infonalia.es/adjudicaciones0126/26007022.pdf</x:v>
      </x:c>
      <x:c r="E8" s="8" t="s">
        <x:v>50</x:v>
      </x:c>
      <x:c r="F8" s="6" t="s">
        <x:v>51</x:v>
      </x:c>
      <x:c r="G8" s="6" t="s">
        <x:v>52</x:v>
      </x:c>
      <x:c r="H8" s="6" t="s">
        <x:v>53</x:v>
      </x:c>
      <x:c r="I8" s="6" t="s">
        <x:v>47</x:v>
      </x:c>
      <x:c r="J8" s="9" t="n">
        <x:v>26330.00</x:v>
      </x:c>
      <x:c r="K8" s="9" t="n">
        <x:v>34480.00</x:v>
      </x:c>
    </x:row>
    <x:row r="9">
      <x:c r="A9" s="6" t="s">
        <x:v>11</x:v>
      </x:c>
      <x:c r="B9" s="6" t="s">
        <x:v>54</x:v>
      </x:c>
      <x:c r="C9" s="6" t="s">
        <x:v>13</x:v>
      </x:c>
      <x:c r="D9" s="7" t="str">
        <x:f xml:space="preserve">HYPERLINK("https://www.infonalia.es/adjudicaciones0126/26007090.pdf","www.infonalia.es/adjudicaciones0126/26007090.pdf")</x:f>
        <x:v>www.infonalia.es/adjudicaciones0126/26007090.pdf</x:v>
      </x:c>
      <x:c r="E9" s="8" t="s">
        <x:v>55</x:v>
      </x:c>
      <x:c r="F9" s="6" t="s">
        <x:v>56</x:v>
      </x:c>
      <x:c r="G9" s="6" t="s">
        <x:v>57</x:v>
      </x:c>
      <x:c r="H9" s="6" t="s">
        <x:v>58</x:v>
      </x:c>
      <x:c r="I9" s="6" t="s">
        <x:v>18</x:v>
      </x:c>
      <x:c r="J9" s="9" t="n">
        <x:v>18181.82</x:v>
      </x:c>
      <x:c r="K9" s="9" t="n">
        <x:v>18181.82</x:v>
      </x:c>
    </x:row>
    <x:row r="10">
      <x:c r="A10" s="6" t="s">
        <x:v>11</x:v>
      </x:c>
      <x:c r="B10" s="6" t="s">
        <x:v>59</x:v>
      </x:c>
      <x:c r="C10" s="6" t="s">
        <x:v>13</x:v>
      </x:c>
      <x:c r="D10" s="7" t="str">
        <x:f xml:space="preserve">HYPERLINK("https://www.infonalia.es/adjudicaciones0126/26007091.pdf","www.infonalia.es/adjudicaciones0126/26007091.pdf")</x:f>
        <x:v>www.infonalia.es/adjudicaciones0126/26007091.pdf</x:v>
      </x:c>
      <x:c r="E10" s="8" t="s">
        <x:v>60</x:v>
      </x:c>
      <x:c r="F10" s="6" t="s">
        <x:v>56</x:v>
      </x:c>
      <x:c r="G10" s="6" t="s">
        <x:v>61</x:v>
      </x:c>
      <x:c r="H10" s="6" t="s">
        <x:v>62</x:v>
      </x:c>
      <x:c r="I10" s="6" t="s">
        <x:v>18</x:v>
      </x:c>
      <x:c r="J10" s="9" t="n">
        <x:v>28099.17</x:v>
      </x:c>
      <x:c r="K10" s="9" t="n">
        <x:v>28099.17</x:v>
      </x:c>
    </x:row>
    <x:row r="11">
      <x:c r="A11" s="6" t="s">
        <x:v>11</x:v>
      </x:c>
      <x:c r="B11" s="6" t="s">
        <x:v>63</x:v>
      </x:c>
      <x:c r="C11" s="6" t="s">
        <x:v>13</x:v>
      </x:c>
      <x:c r="D11" s="7" t="str">
        <x:f xml:space="preserve">HYPERLINK("https://www.infonalia.es/adjudicaciones0126/26007092.pdf","www.infonalia.es/adjudicaciones0126/26007092.pdf")</x:f>
        <x:v>www.infonalia.es/adjudicaciones0126/26007092.pdf</x:v>
      </x:c>
      <x:c r="E11" s="8" t="s">
        <x:v>64</x:v>
      </x:c>
      <x:c r="F11" s="6" t="s">
        <x:v>56</x:v>
      </x:c>
      <x:c r="G11" s="6" t="s">
        <x:v>65</x:v>
      </x:c>
      <x:c r="H11" s="6" t="s">
        <x:v>66</x:v>
      </x:c>
      <x:c r="I11" s="6" t="s">
        <x:v>18</x:v>
      </x:c>
      <x:c r="J11" s="9" t="n">
        <x:v>16528.93</x:v>
      </x:c>
      <x:c r="K11" s="9" t="n">
        <x:v>16528.93</x:v>
      </x:c>
    </x:row>
    <x:row r="12">
      <x:c r="A12" s="6" t="s">
        <x:v>11</x:v>
      </x:c>
      <x:c r="B12" s="6" t="s">
        <x:v>67</x:v>
      </x:c>
      <x:c r="C12" s="6" t="s">
        <x:v>13</x:v>
      </x:c>
      <x:c r="D12" s="7" t="str">
        <x:f xml:space="preserve">HYPERLINK("https://www.infonalia.es/adjudicaciones0126/26007093.pdf","www.infonalia.es/adjudicaciones0126/26007093.pdf")</x:f>
        <x:v>www.infonalia.es/adjudicaciones0126/26007093.pdf</x:v>
      </x:c>
      <x:c r="E12" s="8" t="s">
        <x:v>68</x:v>
      </x:c>
      <x:c r="F12" s="6" t="s">
        <x:v>56</x:v>
      </x:c>
      <x:c r="G12" s="6" t="s">
        <x:v>69</x:v>
      </x:c>
      <x:c r="H12" s="6" t="s">
        <x:v>70</x:v>
      </x:c>
      <x:c r="I12" s="6" t="s">
        <x:v>18</x:v>
      </x:c>
      <x:c r="J12" s="9" t="n">
        <x:v>16528.93</x:v>
      </x:c>
      <x:c r="K12" s="9" t="n">
        <x:v>16528.93</x:v>
      </x:c>
    </x:row>
    <x:row r="13">
      <x:c r="A13" s="6" t="s">
        <x:v>11</x:v>
      </x:c>
      <x:c r="B13" s="6" t="s">
        <x:v>71</x:v>
      </x:c>
      <x:c r="C13" s="6" t="s">
        <x:v>13</x:v>
      </x:c>
      <x:c r="D13" s="7" t="str">
        <x:f xml:space="preserve">HYPERLINK("https://www.infonalia.es/adjudicaciones0126/26007094.pdf","www.infonalia.es/adjudicaciones0126/26007094.pdf")</x:f>
        <x:v>www.infonalia.es/adjudicaciones0126/26007094.pdf</x:v>
      </x:c>
      <x:c r="E13" s="8" t="s">
        <x:v>72</x:v>
      </x:c>
      <x:c r="F13" s="6" t="s">
        <x:v>56</x:v>
      </x:c>
      <x:c r="G13" s="6" t="s">
        <x:v>73</x:v>
      </x:c>
      <x:c r="H13" s="6" t="s">
        <x:v>74</x:v>
      </x:c>
      <x:c r="I13" s="6" t="s">
        <x:v>18</x:v>
      </x:c>
      <x:c r="J13" s="9" t="n">
        <x:v>9917.30</x:v>
      </x:c>
      <x:c r="K13" s="9" t="n">
        <x:v>9917.30</x:v>
      </x:c>
    </x:row>
    <x:row r="14">
      <x:c r="A14" s="6" t="s">
        <x:v>11</x:v>
      </x:c>
      <x:c r="B14" s="6" t="s">
        <x:v>75</x:v>
      </x:c>
      <x:c r="C14" s="6" t="s">
        <x:v>13</x:v>
      </x:c>
      <x:c r="D14" s="7" t="str">
        <x:f xml:space="preserve">HYPERLINK("https://www.infonalia.es/adjudicaciones0126/26007095.pdf","www.infonalia.es/adjudicaciones0126/26007095.pdf")</x:f>
        <x:v>www.infonalia.es/adjudicaciones0126/26007095.pdf</x:v>
      </x:c>
      <x:c r="E14" s="8" t="s">
        <x:v>76</x:v>
      </x:c>
      <x:c r="F14" s="6" t="s">
        <x:v>56</x:v>
      </x:c>
      <x:c r="G14" s="6" t="s">
        <x:v>77</x:v>
      </x:c>
      <x:c r="H14" s="6" t="s">
        <x:v>78</x:v>
      </x:c>
      <x:c r="I14" s="6" t="s">
        <x:v>18</x:v>
      </x:c>
      <x:c r="J14" s="9" t="n">
        <x:v>9917.30</x:v>
      </x:c>
      <x:c r="K14" s="9" t="n">
        <x:v>9917.30</x:v>
      </x:c>
    </x:row>
    <x:row r="15">
      <x:c r="A15" s="6" t="s">
        <x:v>11</x:v>
      </x:c>
      <x:c r="B15" s="6" t="s">
        <x:v>79</x:v>
      </x:c>
      <x:c r="C15" s="6" t="s">
        <x:v>13</x:v>
      </x:c>
      <x:c r="D15" s="7" t="str">
        <x:f xml:space="preserve">HYPERLINK("https://www.infonalia.es/adjudicaciones0126/26007096.pdf","www.infonalia.es/adjudicaciones0126/26007096.pdf")</x:f>
        <x:v>www.infonalia.es/adjudicaciones0126/26007096.pdf</x:v>
      </x:c>
      <x:c r="E15" s="8" t="s">
        <x:v>80</x:v>
      </x:c>
      <x:c r="F15" s="6" t="s">
        <x:v>56</x:v>
      </x:c>
      <x:c r="G15" s="6" t="s">
        <x:v>81</x:v>
      </x:c>
      <x:c r="H15" s="6" t="s">
        <x:v>82</x:v>
      </x:c>
      <x:c r="I15" s="6" t="s">
        <x:v>18</x:v>
      </x:c>
      <x:c r="J15" s="9" t="n">
        <x:v>16528.93</x:v>
      </x:c>
      <x:c r="K15" s="9" t="n">
        <x:v>16528.93</x:v>
      </x:c>
    </x:row>
    <x:row r="16">
      <x:c r="A16" s="6" t="s">
        <x:v>11</x:v>
      </x:c>
      <x:c r="B16" s="6" t="s">
        <x:v>83</x:v>
      </x:c>
      <x:c r="C16" s="6" t="s">
        <x:v>13</x:v>
      </x:c>
      <x:c r="D16" s="7" t="str">
        <x:f xml:space="preserve">HYPERLINK("https://www.infonalia.es/adjudicaciones0126/26007149.pdf","www.infonalia.es/adjudicaciones0126/26007149.pdf")</x:f>
        <x:v>www.infonalia.es/adjudicaciones0126/26007149.pdf</x:v>
      </x:c>
      <x:c r="E16" s="8" t="s">
        <x:v>84</x:v>
      </x:c>
      <x:c r="F16" s="6" t="s">
        <x:v>85</x:v>
      </x:c>
      <x:c r="G16" s="6" t="s">
        <x:v>86</x:v>
      </x:c>
      <x:c r="H16" s="6" t="s">
        <x:v>87</x:v>
      </x:c>
      <x:c r="I16" s="6" t="s">
        <x:v>88</x:v>
      </x:c>
      <x:c r="J16" s="9" t="n">
        <x:v>6780.00</x:v>
      </x:c>
      <x:c r="K16" s="9" t="n">
        <x:v>6780.00</x:v>
      </x:c>
    </x:row>
    <x:row r="17">
      <x:c r="A17" s="6" t="s">
        <x:v>11</x:v>
      </x:c>
      <x:c r="B17" s="6" t="s">
        <x:v>89</x:v>
      </x:c>
      <x:c r="C17" s="6" t="s">
        <x:v>13</x:v>
      </x:c>
      <x:c r="D17" s="7" t="str">
        <x:f xml:space="preserve">HYPERLINK("https://www.infonalia.es/adjudicaciones0126/26007159.pdf","www.infonalia.es/adjudicaciones0126/26007159.pdf")</x:f>
        <x:v>www.infonalia.es/adjudicaciones0126/26007159.pdf</x:v>
      </x:c>
      <x:c r="E17" s="8" t="s">
        <x:v>90</x:v>
      </x:c>
      <x:c r="F17" s="6" t="s">
        <x:v>91</x:v>
      </x:c>
      <x:c r="G17" s="6" t="s">
        <x:v>92</x:v>
      </x:c>
      <x:c r="H17" s="6" t="s">
        <x:v>93</x:v>
      </x:c>
      <x:c r="I17" s="6" t="s">
        <x:v>18</x:v>
      </x:c>
      <x:c r="J17" s="9" t="n">
        <x:v>1544689.08</x:v>
      </x:c>
      <x:c r="K17" s="9" t="n">
        <x:v>1544689.08</x:v>
      </x:c>
    </x:row>
    <x:row r="18">
      <x:c r="A18" s="6" t="s">
        <x:v>11</x:v>
      </x:c>
      <x:c r="B18" s="6" t="s">
        <x:v>89</x:v>
      </x:c>
      <x:c r="C18" s="6" t="s">
        <x:v>13</x:v>
      </x:c>
      <x:c r="D18" s="7" t="str">
        <x:f xml:space="preserve">HYPERLINK("https://www.infonalia.es/adjudicaciones0126/26007160.pdf","www.infonalia.es/adjudicaciones0126/26007160.pdf")</x:f>
        <x:v>www.infonalia.es/adjudicaciones0126/26007160.pdf</x:v>
      </x:c>
      <x:c r="E18" s="8" t="s">
        <x:v>94</x:v>
      </x:c>
      <x:c r="F18" s="6" t="s">
        <x:v>91</x:v>
      </x:c>
      <x:c r="G18" s="6" t="s">
        <x:v>95</x:v>
      </x:c>
      <x:c r="H18" s="6" t="s">
        <x:v>96</x:v>
      </x:c>
      <x:c r="I18" s="6" t="s">
        <x:v>18</x:v>
      </x:c>
      <x:c r="J18" s="9" t="n">
        <x:v>64271.42</x:v>
      </x:c>
      <x:c r="K18" s="9" t="n">
        <x:v>64271.42</x:v>
      </x:c>
    </x:row>
    <x:row r="19">
      <x:c r="A19" s="6" t="s">
        <x:v>11</x:v>
      </x:c>
      <x:c r="B19" s="6" t="s">
        <x:v>97</x:v>
      </x:c>
      <x:c r="C19" s="6" t="s">
        <x:v>13</x:v>
      </x:c>
      <x:c r="D19" s="7" t="str">
        <x:f xml:space="preserve">HYPERLINK("https://www.infonalia.es/adjudicaciones0126/26007163.pdf","www.infonalia.es/adjudicaciones0126/26007163.pdf")</x:f>
        <x:v>www.infonalia.es/adjudicaciones0126/26007163.pdf</x:v>
      </x:c>
      <x:c r="E19" s="8" t="s">
        <x:v>98</x:v>
      </x:c>
      <x:c r="F19" s="6" t="s">
        <x:v>99</x:v>
      </x:c>
      <x:c r="G19" s="6" t="s">
        <x:v>100</x:v>
      </x:c>
      <x:c r="H19" s="6" t="s">
        <x:v>101</x:v>
      </x:c>
      <x:c r="I19" s="6" t="s">
        <x:v>18</x:v>
      </x:c>
      <x:c r="J19" s="9" t="n">
        <x:v>53960.53</x:v>
      </x:c>
      <x:c r="K19" s="9" t="n">
        <x:v>53960.53</x:v>
      </x:c>
    </x:row>
  </x:sheetData>
  <x:autoFilter ref="A1:K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Adjudicaciones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2024-12-04T08:58:32Z</dcterms:created>
  <dcterms:modified xsi:type="dcterms:W3CDTF">2025-01-20T07:55:24Z</dcterms:modified>
  <dc:language>es-ES</dc:language>
</cp:coreProperties>
</file>