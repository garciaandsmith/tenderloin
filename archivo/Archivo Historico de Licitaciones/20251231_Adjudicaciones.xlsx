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<x:sst xmlns:x="http://schemas.openxmlformats.org/spreadsheetml/2006/main" count="11" uniqueCount="11">
  <x:si>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</x:si>
  <x:si>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</x:si>
  <x:si>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</x:si>
  <x:si>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</x:si>
  <x:si>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</x:si>
  <x:si>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</x:si>
  <x:si>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</x:si>
  <x:si>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</x:si>
  <x:si>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</x:si>
  <x:si>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</x:si>
  <x:si>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</x:si>
  <x:si>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</x:si>
  <x:si>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1 VIAJES EL CORTE INGLÉS S.A.; LOTE 2 TELESONIC S.A.</x:t>
  </x:si>
  <x:si>
    <x:t>31/12/2025 0:00:00</x:t>
  </x:si>
  <x:si>
    <x:t>25262761</x:t>
  </x:si>
  <x:si>
    <x:t>DEPARTAMENTO DE MEDIO AMBIENTE Y TURISMO DEL GOBIERNO DE ARAGÓN</x:t>
  </x:si>
  <x:si>
    <x:t>Contrato stands de ferias 2026. Lote 1: Diseño, construcción, transporte, limpieza montaje y desmontaje del Stand del Gobierno de Aragón representativo de la oferta Turística Aragonesa para las Ferias de Turismo a celebrar en el año 2026: FITUR(Madrid), B-TRAVEL (Barcelona), NAVARTUR (Pamplona), EXPOVACACIONES (Bilbao), SALÓN O'CCYGENE (Toulouse), INTUR (Valladolid) Y ARATUR (Zaragoza). Lote 2: Diseño, construcción, transporte, limpieza montaje y desmontaje de la parte audiovisual expositiva del Stand del Gobierno de Aragón Representativo de la Oferta Turística Aragonesa para la Feria de Turismo: FITUR que se celebrará en Madrid.</x:t>
  </x:si>
  <x:si>
    <x:t>MAT-2026-20003</x:t>
  </x:si>
  <x:si>
    <x:t>Madrid, Barcelona, Navarra, Bizkaia, Valladolid, Zaragoza y Toulouse (Francia)</x:t>
  </x:si>
  <x:si>
    <x:t>Ver detalle de la adjudicación</x:t>
  </x:si>
  <x:si>
    <x:t>INICIA COMUNICACION S.L</x:t>
  </x:si>
  <x:si>
    <x:t>25262777</x:t>
  </x:si>
  <x:si>
    <x:t>VICEPRESIDENCIA DEL PATRONATO PROVINCIAL DE TURISMO DE GRANADA</x:t>
  </x:si>
  <x:si>
    <x:t>Servicio integral de planificación, organización y ejecución de un acto de promoción en Madrid de la "Ruta de castillos y fortalezas de Granada"</x:t>
  </x:si>
  <x:si>
    <x:t>2025/PES_01/019839</x:t>
  </x:si>
  <x:si>
    <x:t>Madrid</x:t>
  </x:si>
  <x:si>
    <x:t>UTE EVENTORGA - CIAL MAMES</x:t>
  </x:si>
  <x:si>
    <x:t>25263122</x:t>
  </x:si>
  <x:si>
    <x:t>VICEPRESIDENCIA DEL CONSEJO DE ADMINISTRACIÓN DE FIRES, CONGRESSOS I ESDEVENIMENTS D'EIVISSA, S.A.U.</x:t>
  </x:si>
  <x:si>
    <x:t>Servicio de diseño, construcción en régimen de alquiler, transporte, montaje, desmontaje y servicios complementarios del stand de Ibiza en la feria ITB 2026, del 3 al 5 de marzo de 2026 en Berlín</x:t>
  </x:si>
  <x:si>
    <x:t>62-2025 PROM</x:t>
  </x:si>
  <x:si>
    <x:t>Alemania</x:t>
  </x:si>
  <x:si>
    <x:t>VARIOS ADJUDICATARIOS. VER TEXTO ÍNTEGRO DE LA ADJUDICACIÓN</x:t>
  </x:si>
  <x:si>
    <x:t>25263155</x:t>
  </x:si>
  <x:si>
    <x:t>METRO DE MADRID, S.A.</x:t>
  </x:si>
  <x:si>
    <x:t>Acuerdo marco para servicios de para la realización de nuevos módulos formativos e-learning, modificación de los módulos formativos ya existentes y la elaboración de nuevas piezas multimedia o audiovisuales</x:t>
  </x:si>
  <x:si>
    <x:t>6012400279</x:t>
  </x:si>
  <x:si>
    <x:t>MIGUEL ÁNGEL RAMÍREZ PRADAS</x:t>
  </x:si>
  <x:si>
    <x:t>25263183</x:t>
  </x:si>
  <x:si>
    <x:t>DIRECCIÓN DE COMPRAS DE LA CORPORACIÓN DE RADIO Y TELEVISIÓN ESPAÑOLA S.A</x:t>
  </x:si>
  <x:si>
    <x:t>Renovación de licencias para automatización en la continuidad de Torrespaña</x:t>
  </x:si>
  <x:si>
    <x:t>S-05709-2025</x:t>
  </x:si>
  <x:si>
    <x:t>PRODUCCIONES MIC SL</x:t>
  </x:si>
  <x:si>
    <x:t>25263218</x:t>
  </x:si>
  <x:si>
    <x:t>DIRECTOR GERENTE DE FREMAP</x:t>
  </x:si>
  <x:si>
    <x:t>Contratación del servicio de diseño gráfico y maquetación de los Informes anuales de Sostenibilidad y Gobierno Corporativo de FREMAP, Mutua Colaboradora con la Seguridad Social nº61</x:t>
  </x:si>
  <x:si>
    <x:t>LICT/99/113/2024/0253</x:t>
  </x:si>
  <x:si>
    <x:t>Ver pliegos</x:t>
  </x:si>
  <x:si>
    <x:t>21 GRAMOS MARKETING DE PESO S.L</x:t>
  </x:si>
  <x:si>
    <x:t>25263247</x:t>
  </x:si>
  <x:si>
    <x:t>JUNTA DE CONTRATACIÓN DEL MINISTERIO DE CULTURA Y DEPORTE</x:t>
  </x:si>
  <x:si>
    <x:t>Servicio de creatividad, diseño y producción de la campaña de promoción del Bono Cultural Joven 2026 del Ministerio de Cultura</x:t>
  </x:si>
  <x:si>
    <x:t>J250061</x:t>
  </x:si>
  <x:si>
    <x:t>47 SEGUNDOS PRODUCCIONES, S.L</x:t>
  </x:si>
  <x:si>
    <x:t>25263259</x:t>
  </x:si>
  <x:si>
    <x:t>Grabación y edición de actividades formativas de la Subdirección General del Instituto del Patrimonio Cultural de España.</x:t>
  </x:si>
  <x:si>
    <x:t>JS250057</x:t>
  </x:si>
  <x:si>
    <x:t>FIRA INTERNACIONAL DE BARCELONA</x:t>
  </x:si>
  <x:si>
    <x:t>25263382</x:t>
  </x:si>
  <x:si>
    <x:t>JUNTA DE EXTREMADURA. CONSEJERÍA DE CULTURA, TURISMO, JÓVENES Y DEPORTES</x:t>
  </x:si>
  <x:si>
    <x:t>Alquiler de espacio expositivo para la participación de Extremadura en la Feria de Turismo de B-Travel 2026</x:t>
  </x:si>
  <x:si>
    <x:t>PTR/2025/0000143693</x:t>
  </x:si>
  <x:si>
    <x:t>Barcelona</x:t>
  </x:si>
  <x:si>
    <x:t>FASTFORWARD INTL</x:t>
  </x:si>
  <x:si>
    <x:t>25263461</x:t>
  </x:si>
  <x:si>
    <x:t>DIRECCIÓN DE COMPRAS DE LA CORPORACIÓN DE RADIO Y TELEVISIÓN ESPAÑOLA S.A.</x:t>
  </x:si>
  <x:si>
    <x:t>Escaneado de noticias filmadas en 16mm Archivo RTVE</x:t>
  </x:si>
  <x:si>
    <x:t>S-05237-2025</x:t>
  </x:si>
  <x:si>
    <x:t>IRISMEDIA AGENCIA DE MEDIOS S.L</x:t>
  </x:si>
  <x:si>
    <x:t>25263468</x:t>
  </x:si>
  <x:si>
    <x:t>ÁREA DE GOBIERNO DE VICEALCALDÍA, PORTAVOZ, SEGURIDAD Y EMERGENCIAS DEL AYUNTAMIENTO DE MADRID</x:t>
  </x:si>
  <x:si>
    <x:t>Difusión de la campaña Reviva Propietarios 2026</x:t>
  </x:si>
  <x:si>
    <x:t>511/2024/09993.1.57</x:t>
  </x:si>
  <x:si>
    <x:t>Desierto</x:t>
  </x:si>
  <x:si>
    <x:t>DESIERTO</x:t>
  </x:si>
  <x:si>
    <x:t>25263523</x:t>
  </x:si>
  <x:si>
    <x:t>Servicio externo postproducción programas - RTVE Catalunya</x:t>
  </x:si>
  <x:si>
    <x:t>S-01790-2025</x:t>
  </x:si>
  <x:si>
    <x:t>LOTE 1 NTT DATA SPAIN, S.L.U.</x:t>
  </x:si>
  <x:si>
    <x:t>25263598</x:t>
  </x:si>
  <x:si>
    <x:t>CONSEJERÍA DE PRESIDENCIA, RETO DEMOGRÁFICO, IGUALDAD Y TURISMO DEL PRINCIPADO DE ASTURIAS</x:t>
  </x:si>
  <x:si>
    <x:t>Servicios de comunicación y marketing digital y de apoyo a la implantación de la identidad gráfica digital. Lote 1: Servicios de comunicación y marketing digital de la Dirección General de Estrategia Digital e Inteligencia Artificial. Lote 2: Servicios de apoyo a la implantación de la identidad gráfica digital.</x:t>
  </x:si>
  <x:si>
    <x:t>2025000508</x:t>
  </x:si>
  <x:si>
    <x:t>Asturias</x:t>
  </x:si>
  <x:si>
    <x:t>Formalizado</x:t>
  </x:si>
  <x:si>
    <x:t>PROMEDIOS EXCLUSIVAS DE PUBLICIDAD SLU</x:t>
  </x:si>
  <x:si>
    <x:t>25263662</x:t>
  </x:si>
  <x:si>
    <x:t>ALCALDÍA DEL AYUNTAMIENTO DE SIERO (ASTURIAS)</x:t>
  </x:si>
  <x:si>
    <x:t>Contratación del servicio de publicidad institucional para la promoción del municipio de Siero en el Aeropuerto de Asturias, 2026</x:t>
  </x:si>
  <x:si>
    <x:t>1864/2025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</x:si>
</x:sst>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HYPERLINK("https://www.infonalia.es/adjudicaciones1225/25262761.pdf","www.infonalia.es/adjudicaciones1225/25262761.pdf")</x:f>
        <x:v>www.infonalia.es/adjudicaciones1225/25262761.pdf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522695.77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HYPERLINK("https://www.infonalia.es/adjudicaciones1225/25262777.pdf","www.infonalia.es/adjudicaciones1225/25262777.pdf")</x:f>
        <x:v>www.infonalia.es/adjudicaciones1225/25262777.pdf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40950.13</x:v>
      </x:c>
      <x:c r="K3" s="9" t="n">
        <x:v>44950.54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HYPERLINK("https://www.infonalia.es/adjudicaciones1225/25263122.pdf","www.infonalia.es/adjudicaciones1225/25263122.pdf")</x:f>
        <x:v>www.infonalia.es/adjudicaciones1225/25263122.pdf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31</x:v>
      </x:c>
      <x:c r="J4" s="9" t="n">
        <x:v>59500.00</x:v>
      </x:c>
      <x:c r="K4" s="9" t="n">
        <x:v>68000.00</x:v>
      </x:c>
    </x:row>
    <x:row r="5">
      <x:c r="A5" s="6" t="s">
        <x:v>11</x:v>
      </x:c>
      <x:c r="B5" s="6" t="s">
        <x:v>32</x:v>
      </x:c>
      <x:c r="C5" s="6" t="s">
        <x:v>13</x:v>
      </x:c>
      <x:c r="D5" s="7" t="str">
        <x:f xml:space="preserve">HYPERLINK("https://www.infonalia.es/adjudicaciones1225/25263155.pdf","www.infonalia.es/adjudicaciones1225/25263155.pdf")</x:f>
        <x:v>www.infonalia.es/adjudicaciones1225/25263155.pdf</x:v>
      </x:c>
      <x:c r="E5" s="8" t="s">
        <x:v>33</x:v>
      </x:c>
      <x:c r="F5" s="6" t="s">
        <x:v>34</x:v>
      </x:c>
      <x:c r="G5" s="6" t="s">
        <x:v>35</x:v>
      </x:c>
      <x:c r="H5" s="6" t="s">
        <x:v>36</x:v>
      </x:c>
      <x:c r="I5" s="6" t="s">
        <x:v>25</x:v>
      </x:c>
      <x:c r="J5" s="9" t="s">
        <x:v>19</x:v>
      </x:c>
      <x:c r="K5" s="9" t="n">
        <x:v>0.00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HYPERLINK("https://www.infonalia.es/adjudicaciones1225/25263183.pdf","www.infonalia.es/adjudicaciones1225/25263183.pdf")</x:f>
        <x:v>www.infonalia.es/adjudicaciones1225/25263183.pdf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25</x:v>
      </x:c>
      <x:c r="J6" s="9" t="n">
        <x:v>16500.00</x:v>
      </x:c>
      <x:c r="K6" s="9" t="n">
        <x:v>20000.00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HYPERLINK("https://www.infonalia.es/adjudicaciones1225/25263218.pdf","www.infonalia.es/adjudicaciones1225/25263218.pdf")</x:f>
        <x:v>www.infonalia.es/adjudicaciones1225/25263218.pdf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47</x:v>
      </x:c>
      <x:c r="J7" s="9" t="n">
        <x:v>11690.00</x:v>
      </x:c>
      <x:c r="K7" s="9" t="n">
        <x:v>16659.62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HYPERLINK("https://www.infonalia.es/adjudicaciones1225/25263247.pdf","www.infonalia.es/adjudicaciones1225/25263247.pdf")</x:f>
        <x:v>www.infonalia.es/adjudicaciones1225/25263247.pdf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25</x:v>
      </x:c>
      <x:c r="J8" s="9" t="n">
        <x:v>102300.00</x:v>
      </x:c>
      <x:c r="K8" s="9" t="n">
        <x:v>157337.86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HYPERLINK("https://www.infonalia.es/adjudicaciones1225/25263259.pdf","www.infonalia.es/adjudicaciones1225/25263259.pdf")</x:f>
        <x:v>www.infonalia.es/adjudicaciones1225/25263259.pdf</x:v>
      </x:c>
      <x:c r="E9" s="8" t="s">
        <x:v>54</x:v>
      </x:c>
      <x:c r="F9" s="6" t="s">
        <x:v>50</x:v>
      </x:c>
      <x:c r="G9" s="6" t="s">
        <x:v>55</x:v>
      </x:c>
      <x:c r="H9" s="6" t="s">
        <x:v>56</x:v>
      </x:c>
      <x:c r="I9" s="6" t="s">
        <x:v>25</x:v>
      </x:c>
      <x:c r="J9" s="9" t="n">
        <x:v>12180.00</x:v>
      </x:c>
      <x:c r="K9" s="9" t="n">
        <x:v>24600.00</x:v>
      </x:c>
    </x:row>
    <x:row r="10">
      <x:c r="A10" s="6" t="s">
        <x:v>11</x:v>
      </x:c>
      <x:c r="B10" s="6" t="s">
        <x:v>57</x:v>
      </x:c>
      <x:c r="C10" s="6" t="s">
        <x:v>13</x:v>
      </x:c>
      <x:c r="D10" s="7" t="str">
        <x:f xml:space="preserve">HYPERLINK("https://www.infonalia.es/adjudicaciones1225/25263382.pdf","www.infonalia.es/adjudicaciones1225/25263382.pdf")</x:f>
        <x:v>www.infonalia.es/adjudicaciones1225/25263382.pdf</x:v>
      </x:c>
      <x:c r="E10" s="8" t="s">
        <x:v>58</x:v>
      </x:c>
      <x:c r="F10" s="6" t="s">
        <x:v>59</x:v>
      </x:c>
      <x:c r="G10" s="6" t="s">
        <x:v>60</x:v>
      </x:c>
      <x:c r="H10" s="6" t="s">
        <x:v>61</x:v>
      </x:c>
      <x:c r="I10" s="6" t="s">
        <x:v>62</x:v>
      </x:c>
      <x:c r="J10" s="9" t="n">
        <x:v>10115.00</x:v>
      </x:c>
      <x:c r="K10" s="9" t="n">
        <x:v>10115.00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HYPERLINK("https://www.infonalia.es/adjudicaciones1225/25263461.pdf","www.infonalia.es/adjudicaciones1225/25263461.pdf")</x:f>
        <x:v>www.infonalia.es/adjudicaciones1225/25263461.pdf</x:v>
      </x:c>
      <x:c r="E11" s="8" t="s">
        <x:v>64</x:v>
      </x:c>
      <x:c r="F11" s="6" t="s">
        <x:v>65</x:v>
      </x:c>
      <x:c r="G11" s="6" t="s">
        <x:v>66</x:v>
      </x:c>
      <x:c r="H11" s="6" t="s">
        <x:v>67</x:v>
      </x:c>
      <x:c r="I11" s="6" t="s">
        <x:v>25</x:v>
      </x:c>
      <x:c r="J11" s="9" t="n">
        <x:v>99000.00</x:v>
      </x:c>
      <x:c r="K11" s="9" t="n">
        <x:v>99000.00</x:v>
      </x:c>
    </x:row>
    <x:row r="12">
      <x:c r="A12" s="6" t="s">
        <x:v>11</x:v>
      </x:c>
      <x:c r="B12" s="6" t="s">
        <x:v>68</x:v>
      </x:c>
      <x:c r="C12" s="6" t="s">
        <x:v>13</x:v>
      </x:c>
      <x:c r="D12" s="7" t="str">
        <x:f xml:space="preserve">HYPERLINK("https://www.infonalia.es/adjudicaciones1225/25263468.pdf","www.infonalia.es/adjudicaciones1225/25263468.pdf")</x:f>
        <x:v>www.infonalia.es/adjudicaciones1225/25263468.pdf</x:v>
      </x:c>
      <x:c r="E12" s="8" t="s">
        <x:v>69</x:v>
      </x:c>
      <x:c r="F12" s="6" t="s">
        <x:v>70</x:v>
      </x:c>
      <x:c r="G12" s="6" t="s">
        <x:v>71</x:v>
      </x:c>
      <x:c r="H12" s="6" t="s">
        <x:v>72</x:v>
      </x:c>
      <x:c r="I12" s="6" t="s">
        <x:v>25</x:v>
      </x:c>
      <x:c r="J12" s="9" t="n">
        <x:v>128099.17</x:v>
      </x:c>
      <x:c r="K12" s="9" t="n">
        <x:v>128099.17</x:v>
      </x:c>
    </x:row>
    <x:row r="13">
      <x:c r="A13" s="6" t="s">
        <x:v>73</x:v>
      </x:c>
      <x:c r="B13" s="6" t="s">
        <x:v>74</x:v>
      </x:c>
      <x:c r="C13" s="6" t="s">
        <x:v>13</x:v>
      </x:c>
      <x:c r="D13" s="7" t="str">
        <x:f xml:space="preserve">HYPERLINK("https://www.infonalia.es/adjudicaciones1225/25263523.pdf","www.infonalia.es/adjudicaciones1225/25263523.pdf")</x:f>
        <x:v>www.infonalia.es/adjudicaciones1225/25263523.pdf</x:v>
      </x:c>
      <x:c r="E13" s="8" t="s">
        <x:v>75</x:v>
      </x:c>
      <x:c r="F13" s="6" t="s">
        <x:v>65</x:v>
      </x:c>
      <x:c r="G13" s="6" t="s">
        <x:v>76</x:v>
      </x:c>
      <x:c r="H13" s="6" t="s">
        <x:v>77</x:v>
      </x:c>
      <x:c r="I13" s="6" t="s">
        <x:v>62</x:v>
      </x:c>
      <x:c r="J13" s="9" t="s">
        <x:v>19</x:v>
      </x:c>
      <x:c r="K13" s="9" t="n">
        <x:v>92750.00</x:v>
      </x:c>
    </x:row>
    <x:row r="14">
      <x:c r="A14" s="6" t="s">
        <x:v>11</x:v>
      </x:c>
      <x:c r="B14" s="6" t="s">
        <x:v>78</x:v>
      </x:c>
      <x:c r="C14" s="6" t="s">
        <x:v>13</x:v>
      </x:c>
      <x:c r="D14" s="7" t="str">
        <x:f xml:space="preserve">HYPERLINK("https://www.infonalia.es/adjudicaciones1225/25263598.pdf","www.infonalia.es/adjudicaciones1225/25263598.pdf")</x:f>
        <x:v>www.infonalia.es/adjudicaciones1225/25263598.pdf</x:v>
      </x:c>
      <x:c r="E14" s="8" t="s">
        <x:v>79</x:v>
      </x:c>
      <x:c r="F14" s="6" t="s">
        <x:v>80</x:v>
      </x:c>
      <x:c r="G14" s="6" t="s">
        <x:v>81</x:v>
      </x:c>
      <x:c r="H14" s="6" t="s">
        <x:v>82</x:v>
      </x:c>
      <x:c r="I14" s="6" t="s">
        <x:v>83</x:v>
      </x:c>
      <x:c r="J14" s="9" t="n">
        <x:v>318240.00</x:v>
      </x:c>
      <x:c r="K14" s="9" t="n">
        <x:v>489600.00</x:v>
      </x:c>
    </x:row>
    <x:row r="15">
      <x:c r="A15" s="6" t="s">
        <x:v>84</x:v>
      </x:c>
      <x:c r="B15" s="6" t="s">
        <x:v>85</x:v>
      </x:c>
      <x:c r="C15" s="6" t="s">
        <x:v>13</x:v>
      </x:c>
      <x:c r="D15" s="7" t="str">
        <x:f xml:space="preserve">HYPERLINK("https://www.infonalia.es/adjudicaciones1225/25263662.pdf","www.infonalia.es/adjudicaciones1225/25263662.pdf")</x:f>
        <x:v>www.infonalia.es/adjudicaciones1225/25263662.pdf</x:v>
      </x:c>
      <x:c r="E15" s="8" t="s">
        <x:v>86</x:v>
      </x:c>
      <x:c r="F15" s="6" t="s">
        <x:v>87</x:v>
      </x:c>
      <x:c r="G15" s="6" t="s">
        <x:v>88</x:v>
      </x:c>
      <x:c r="H15" s="6" t="s">
        <x:v>89</x:v>
      </x:c>
      <x:c r="I15" s="6" t="s">
        <x:v>83</x:v>
      </x:c>
      <x:c r="J15" s="9" t="n">
        <x:v>5075.29</x:v>
      </x:c>
      <x:c r="K15" s="9" t="n">
        <x:v>5075.69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