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<x:sst xmlns:x="http://schemas.openxmlformats.org/spreadsheetml/2006/main" count="17" uniqueCount="17">
  <x:si>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</x:si>
  <x:si>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</x:si>
  <x:si>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</x:si>
  <x:si>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</x:si>
  <x:si>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</x:si>
  <x:si>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</x:si>
  <x:si>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</x:si>
  <x:si>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</x:si>
  <x:si>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</x:si>
  <x:si>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</x:si>
  <x:si>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</x:si>
  <x:si>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</x:si>
  <x:si>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</x:si>
  <x:si>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</x:si>
  <x:si>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</x:si>
  <x:si>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</x:si>
  <x:si>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</x:si>
  <x:si>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</x:si>
  <x:si>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</x:si>
  <x:si>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26/01/2026</x:t>
  </x:si>
  <x:si>
    <x:t>2025182389</x:t>
  </x:si>
  <x:si>
    <x:t>29/12/2025</x:t>
  </x:si>
  <x:si>
    <x:t>MINISTERIO PARA LA TRANSFORMACIÓN DIGITAL Y DE LA FUNCIÓN PÚBLICA. SECRETARÍA GENERAL DE LA MUTUALIDAD DE FUNCIONARIOS CIVILES DEL ESTADO (MUFACE)</x:t>
  </x:si>
  <x:si>
    <x:t>Confección de talonarios de recetas de la Mutualidad General de Funcionarios Civiles del Estado (MUFACE), depósito y su distribución al listado de Servicios Provinciales, Oficinas Delegadas y direcciones facilitadas por MUFACE</x:t>
  </x:si>
  <x:si>
    <x:t>5/2026</x:t>
  </x:si>
  <x:si>
    <x:t>Importe sin impuestos</x:t>
  </x:si>
  <x:si>
    <x:t/>
  </x:si>
  <x:si>
    <x:t>-----</x:t>
  </x:si>
  <x:si>
    <x:t>28/12/2025</x:t>
  </x:si>
  <x:si>
    <x:t/>
  </x:si>
  <x:si>
    <x:t>Madrid</x:t>
  </x:si>
  <x:si>
    <x:t>13/01/2026</x:t>
  </x:si>
  <x:si>
    <x:t>2025182474</x:t>
  </x:si>
  <x:si>
    <x:t>COMUNIDAD DE MADRID. CONSEJERÍA DE EDUCACIÓN, CIENCIA Y UNIVERSIDADES CONSEJERÍA DE EDUCACIÓN, CIENCIA Y UNIVERSIDADES</x:t>
  </x:si>
  <x:si>
    <x:t>El objeto de este contrato es la prestación integrada de todos los servicios necesarios para la participación de la Dirección General de Educación Secundaria, Formación Profesional y Régimen Especial, la Dirección General de Universidades y la Dirección General de Enseñanzas Artísticas en la Semana de la Educación, en la Feria AULA 2026,que tendrá lugar en el municipio de Madrid del 11 al 15 de marzo de 2026, conforme a las prescripciones establecidas en el Pliego de Prescripciones Técnicas Particulares</x:t>
  </x:si>
  <x:si>
    <x:t>A/SER-055626/2025</x:t>
  </x:si>
  <x:si>
    <x:t>26/12/2025</x:t>
  </x:si>
  <x:si>
    <x:t/>
  </x:si>
  <x:si>
    <x:t>2025182513</x:t>
  </x:si>
  <x:si>
    <x:t>JUNTA DE GOBIERNO DEL AYUNTAMIENTO DE SAN MARTÍN DE LA VEGA (MADRID)</x:t>
  </x:si>
  <x:si>
    <x:t>Campaña informativa para la implantación de la recogida separada de biorresiduos en el municipio de San Martín de la Vega (Mixto suministro-servicios)</x:t>
  </x:si>
  <x:si>
    <x:t>3187/2025</x:t>
  </x:si>
  <x:si>
    <x:t/>
  </x:si>
  <x:si>
    <x:t>12/01/2026</x:t>
  </x:si>
  <x:si>
    <x:t>2025182566</x:t>
  </x:si>
  <x:si>
    <x:t>MINISTERIO DE CULTURA. DIRECCIÓN DEL MUSEO NACIONAL DEL PRADO</x:t>
  </x:si>
  <x:si>
    <x:t>Servicio de seguimiento de medios de comunicación del Museo Nacional del Prado</x:t>
  </x:si>
  <x:si>
    <x:t>25AS0470</x:t>
  </x:si>
  <x:si>
    <x:t/>
  </x:si>
  <x:si>
    <x:t>21/01/2026</x:t>
  </x:si>
  <x:si>
    <x:t>2025182596</x:t>
  </x:si>
  <x:si>
    <x:t>DIRECCION GENERAL DE LA SOCIEDAD DE PROMOCIÓN EXTERIOR DEL PRINCIPADO DE ASTURIAS, S.A. (ASTUREX)</x:t>
  </x:si>
  <x:si>
    <x:t>El objeto del contrato es la prestación de los servicios de diseño, montaje, decoración, soporte técnico, asistencia, mantenimiento y desmontaje necesarios para el stand agrupado de empresas asturianas en el stand institucional de Asturias en Salón Gourmets de Madrid 2026</x:t>
  </x:si>
  <x:si>
    <x:t>C/288/2025</x:t>
  </x:si>
  <x:si>
    <x:t/>
  </x:si>
  <x:si>
    <x:t>04/01/2026</x:t>
  </x:si>
  <x:si>
    <x:t>2025182659</x:t>
  </x:si>
  <x:si>
    <x:t>JUNTA DE GOBIERNO DEL AYUNTAMIENTO DE MÓSTOLES (MADRID)</x:t>
  </x:si>
  <x:si>
    <x:t>Servicio de adaptación y accesibilidad para personas con discapacidad auditiva y visual, para 6 obras de teatro de la programación de artes escénicas del año 2026 en los teatros municipales</x:t>
  </x:si>
  <x:si>
    <x:t>C074/CUL/2026-008</x:t>
  </x:si>
  <x:si>
    <x:t/>
  </x:si>
  <x:si>
    <x:t>2025182672</x:t>
  </x:si>
  <x:si>
    <x:t>Espectáculo "Nuevos Horizontes" a celebrar el día 14 de Enero de 2026 en el Teatro del Bosque</x:t>
  </x:si>
  <x:si>
    <x:t>C071/CON/2025-311</x:t>
  </x:si>
  <x:si>
    <x:t/>
  </x:si>
  <x:si>
    <x:t>16/01/2026</x:t>
  </x:si>
  <x:si>
    <x:t>2025182735</x:t>
  </x:si>
  <x:si>
    <x:t>MINISTERIO DE HACIENDA. FÁBRICA NACIONAL DE MONEDA Y TIMBRE - REAL CASA DE LA MONEDA</x:t>
  </x:si>
  <x:si>
    <x:t>Servicio de dinamización de redes sociales de la FNMT-RCM_2025/60161158_PA- 423179-13/1636/2025</x:t>
  </x:si>
  <x:si>
    <x:t>2025/60161158</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</x:si>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</x:sst>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610200.00</x:v>
      </x:c>
      <x:c r="J2" s="11" t="s">
        <x:v>25</x:v>
      </x:c>
      <x:c r="K2" s="11" t="s">
        <x:v>26</x:v>
      </x:c>
      <x:c r="L2" s="12" t="str">
        <x:f xml:space="preserve">HYPERLINK("https://contrataciondelestado.es/wps/poc?uri=deeplink:detalle_licitacion&amp;idEvl=bpsZ9Iq0GxRQFSeKCRun4Q%3D%3D","contrataciondelestado.es/wps/poc?uri=deeplink:detalle_licitacion&amp;idEvl=bpsZ9Iq0GxRQFSeKCRun4Q%3D%3D")</x:f>
        <x:v>contrataciondelestado.es/wps/poc?uri=deeplink:detalle_licitacion&amp;idEvl=bpsZ9Iq0GxRQFSeKCRun4Q%3D%3D</x:v>
      </x:c>
      <x:c r="M2" s="11" t="s">
        <x:v>27</x:v>
      </x:c>
      <x:c r="N2" s="13" t="s">
        <x:v>28</x:v>
      </x:c>
      <x:c r="O2" s="11" t="s">
        <x:v>29</x:v>
      </x:c>
      <x:c r="P2" s="11" t="s">
        <x:v>30</x:v>
      </x:c>
      <x:c r="Q2" s="14" t="str">
        <x:f xml:space="preserve">HYPERLINK("https://www.infonalia.es/licitaciones1225/2025182389.pdf","www.infonalia.es/licitaciones1225/2025182389.pdf")</x:f>
        <x:v>www.infonalia.es/licitaciones1225/2025182389.pdf</x:v>
      </x:c>
    </x:row>
    <x:row r="3">
      <x:c r="A3" s="6" t="s">
        <x:v>17</x:v>
      </x:c>
      <x:c r="B3" s="6" t="s">
        <x:v>18</x:v>
      </x:c>
      <x:c r="C3" s="7" t="s">
        <x:v>31</x:v>
      </x:c>
      <x:c r="D3" s="8" t="s">
        <x:v>32</x:v>
      </x:c>
      <x:c r="E3" s="9" t="s">
        <x:v>21</x:v>
      </x:c>
      <x:c r="F3" s="6" t="s">
        <x:v>33</x:v>
      </x:c>
      <x:c r="G3" s="6" t="s">
        <x:v>34</x:v>
      </x:c>
      <x:c r="H3" s="6" t="s">
        <x:v>35</x:v>
      </x:c>
      <x:c r="I3" s="10" t="n">
        <x:v>99760.23</x:v>
      </x:c>
      <x:c r="J3" s="11" t="s">
        <x:v>25</x:v>
      </x:c>
      <x:c r="K3" s="11" t="s">
        <x:v>26</x:v>
      </x:c>
      <x:c r="L3" s="12" t="str">
        <x:f xml:space="preserve">HYPERLINK("https://contratos-publicos.comunidad.madrid/contrato-publico/prestacion-servicios-necesarios-participacion-direccion-general-educacion-0","contratos-publicos.comunidad.madrid/contrato-publico/prestacion-servicios-necesarios-participacion-direccion-general-educacion-0")</x:f>
        <x:v>contratos-publicos.comunidad.madrid/contrato-publico/prestacion-servicios-necesarios-participacion-direccion-general-educacion-0</x:v>
      </x:c>
      <x:c r="M3" s="11" t="s">
        <x:v>27</x:v>
      </x:c>
      <x:c r="N3" s="13" t="s">
        <x:v>36</x:v>
      </x:c>
      <x:c r="O3" s="11" t="s">
        <x:v>37</x:v>
      </x:c>
      <x:c r="P3" s="11" t="s">
        <x:v>30</x:v>
      </x:c>
      <x:c r="Q3" s="14" t="str">
        <x:f xml:space="preserve">HYPERLINK("https://www.infonalia.es/licitaciones1225/2025182474.pdf","www.infonalia.es/licitaciones1225/2025182474.pdf")</x:f>
        <x:v>www.infonalia.es/licitaciones1225/2025182474.pdf</x:v>
      </x:c>
    </x:row>
    <x:row r="4">
      <x:c r="A4" s="6" t="s">
        <x:v>17</x:v>
      </x:c>
      <x:c r="B4" s="6" t="s">
        <x:v>18</x:v>
      </x:c>
      <x:c r="C4" s="7" t="s">
        <x:v>31</x:v>
      </x:c>
      <x:c r="D4" s="8" t="s">
        <x:v>38</x:v>
      </x:c>
      <x:c r="E4" s="9" t="s">
        <x:v>21</x:v>
      </x:c>
      <x:c r="F4" s="6" t="s">
        <x:v>39</x:v>
      </x:c>
      <x:c r="G4" s="6" t="s">
        <x:v>40</x:v>
      </x:c>
      <x:c r="H4" s="6" t="s">
        <x:v>41</x:v>
      </x:c>
      <x:c r="I4" s="10" t="n">
        <x:v>12127.02</x:v>
      </x:c>
      <x:c r="J4" s="11" t="s">
        <x:v>25</x:v>
      </x:c>
      <x:c r="K4" s="11" t="s">
        <x:v>26</x:v>
      </x:c>
      <x:c r="L4" s="12" t="str">
        <x:f xml:space="preserve">HYPERLINK("https://contrataciondelestado.es/wps/poc?uri=deeplink:detalle_licitacion&amp;idEvl=ae718iU0xhlrhBlEHQFSKA%3D%3D","contrataciondelestado.es/wps/poc?uri=deeplink:detalle_licitacion&amp;idEvl=ae718iU0xhlrhBlEHQFSKA%3D%3D")</x:f>
        <x:v>contrataciondelestado.es/wps/poc?uri=deeplink:detalle_licitacion&amp;idEvl=ae718iU0xhlrhBlEHQFSKA%3D%3D</x:v>
      </x:c>
      <x:c r="M4" s="11" t="s">
        <x:v>27</x:v>
      </x:c>
      <x:c r="N4" s="13" t="s">
        <x:v>36</x:v>
      </x:c>
      <x:c r="O4" s="11" t="s">
        <x:v>42</x:v>
      </x:c>
      <x:c r="P4" s="11" t="s">
        <x:v>30</x:v>
      </x:c>
      <x:c r="Q4" s="14" t="str">
        <x:f xml:space="preserve">HYPERLINK("https://www.infonalia.es/licitaciones1225/2025182513.pdf","www.infonalia.es/licitaciones1225/2025182513.pdf")</x:f>
        <x:v>www.infonalia.es/licitaciones1225/2025182513.pdf</x:v>
      </x:c>
    </x:row>
    <x:row r="5">
      <x:c r="A5" s="6" t="s">
        <x:v>17</x:v>
      </x:c>
      <x:c r="B5" s="6" t="s">
        <x:v>18</x:v>
      </x:c>
      <x:c r="C5" s="7" t="s">
        <x:v>43</x:v>
      </x:c>
      <x:c r="D5" s="8" t="s">
        <x:v>44</x:v>
      </x:c>
      <x:c r="E5" s="9" t="s">
        <x:v>21</x:v>
      </x:c>
      <x:c r="F5" s="6" t="s">
        <x:v>45</x:v>
      </x:c>
      <x:c r="G5" s="6" t="s">
        <x:v>46</x:v>
      </x:c>
      <x:c r="H5" s="6" t="s">
        <x:v>47</x:v>
      </x:c>
      <x:c r="I5" s="10" t="n">
        <x:v>19834.71</x:v>
      </x:c>
      <x:c r="J5" s="11" t="s">
        <x:v>25</x:v>
      </x:c>
      <x:c r="K5" s="11" t="s">
        <x:v>26</x:v>
      </x:c>
      <x:c r="L5" s="12" t="str">
        <x:f xml:space="preserve">HYPERLINK("https://contrataciondelestado.es/wps/poc?uri=deeplink:detalle_licitacion&amp;idEvl=VdfQctIaMr7XOjazN1Dw9Q%3D%3D","contrataciondelestado.es/wps/poc?uri=deeplink:detalle_licitacion&amp;idEvl=VdfQctIaMr7XOjazN1Dw9Q%3D%3D")</x:f>
        <x:v>contrataciondelestado.es/wps/poc?uri=deeplink:detalle_licitacion&amp;idEvl=VdfQctIaMr7XOjazN1Dw9Q%3D%3D</x:v>
      </x:c>
      <x:c r="M5" s="11" t="s">
        <x:v>27</x:v>
      </x:c>
      <x:c r="N5" s="13" t="s">
        <x:v>36</x:v>
      </x:c>
      <x:c r="O5" s="11" t="s">
        <x:v>48</x:v>
      </x:c>
      <x:c r="P5" s="11" t="s">
        <x:v>30</x:v>
      </x:c>
      <x:c r="Q5" s="14" t="str">
        <x:f xml:space="preserve">HYPERLINK("https://www.infonalia.es/licitaciones1225/2025182566.pdf","www.infonalia.es/licitaciones1225/2025182566.pdf")</x:f>
        <x:v>www.infonalia.es/licitaciones1225/2025182566.pdf</x:v>
      </x:c>
    </x:row>
    <x:row r="6">
      <x:c r="A6" s="6" t="s">
        <x:v>17</x:v>
      </x:c>
      <x:c r="B6" s="6" t="s">
        <x:v>18</x:v>
      </x:c>
      <x:c r="C6" s="7" t="s">
        <x:v>49</x:v>
      </x:c>
      <x:c r="D6" s="8" t="s">
        <x:v>50</x:v>
      </x:c>
      <x:c r="E6" s="9" t="s">
        <x:v>21</x:v>
      </x:c>
      <x:c r="F6" s="6" t="s">
        <x:v>51</x:v>
      </x:c>
      <x:c r="G6" s="6" t="s">
        <x:v>52</x:v>
      </x:c>
      <x:c r="H6" s="6" t="s">
        <x:v>53</x:v>
      </x:c>
      <x:c r="I6" s="10" t="n">
        <x:v>130000.00</x:v>
      </x:c>
      <x:c r="J6" s="11" t="s">
        <x:v>25</x:v>
      </x:c>
      <x:c r="K6" s="11" t="s">
        <x:v>26</x:v>
      </x:c>
      <x:c r="L6" s="12" t="str">
        <x:f xml:space="preserve">HYPERLINK("https://contrataciondelestado.es/wps/poc?uri=deeplink:detalle_licitacion&amp;idEvl=0BvbxJrV2j3gL1BHd3qjQA%3D%3D","contrataciondelestado.es/wps/poc?uri=deeplink:detalle_licitacion&amp;idEvl=0BvbxJrV2j3gL1BHd3qjQA%3D%3D")</x:f>
        <x:v>contrataciondelestado.es/wps/poc?uri=deeplink:detalle_licitacion&amp;idEvl=0BvbxJrV2j3gL1BHd3qjQA%3D%3D</x:v>
      </x:c>
      <x:c r="M6" s="11" t="s">
        <x:v>27</x:v>
      </x:c>
      <x:c r="N6" s="13" t="s">
        <x:v>36</x:v>
      </x:c>
      <x:c r="O6" s="11" t="s">
        <x:v>54</x:v>
      </x:c>
      <x:c r="P6" s="11" t="s">
        <x:v>30</x:v>
      </x:c>
      <x:c r="Q6" s="14" t="str">
        <x:f xml:space="preserve">HYPERLINK("https://www.infonalia.es/licitaciones1225/2025182596.pdf","www.infonalia.es/licitaciones1225/2025182596.pdf")</x:f>
        <x:v>www.infonalia.es/licitaciones1225/2025182596.pdf</x:v>
      </x:c>
    </x:row>
    <x:row r="7">
      <x:c r="A7" s="6" t="s">
        <x:v>17</x:v>
      </x:c>
      <x:c r="B7" s="6" t="s">
        <x:v>18</x:v>
      </x:c>
      <x:c r="C7" s="7" t="s">
        <x:v>55</x:v>
      </x:c>
      <x:c r="D7" s="8" t="s">
        <x:v>56</x:v>
      </x:c>
      <x:c r="E7" s="9" t="s">
        <x:v>21</x:v>
      </x:c>
      <x:c r="F7" s="6" t="s">
        <x:v>57</x:v>
      </x:c>
      <x:c r="G7" s="6" t="s">
        <x:v>58</x:v>
      </x:c>
      <x:c r="H7" s="6" t="s">
        <x:v>59</x:v>
      </x:c>
      <x:c r="I7" s="10" t="n">
        <x:v>3500.00</x:v>
      </x:c>
      <x:c r="J7" s="11" t="s">
        <x:v>25</x:v>
      </x:c>
      <x:c r="K7" s="11" t="s">
        <x:v>26</x:v>
      </x:c>
      <x:c r="L7" s="12" t="str">
        <x:f xml:space="preserve">HYPERLINK("https://contrataciondelestado.es/wps/poc?uri=deeplink:detalle_licitacion&amp;idEvl=kn34DBIkHr8zjChw4z%2FXvw%3D%3D","contrataciondelestado.es/wps/poc?uri=deeplink:detalle_licitacion&amp;idEvl=kn34DBIkHr8zjChw4z%2FXvw%3D%3D")</x:f>
        <x:v>contrataciondelestado.es/wps/poc?uri=deeplink:detalle_licitacion&amp;idEvl=kn34DBIkHr8zjChw4z%2FXvw%3D%3D</x:v>
      </x:c>
      <x:c r="M7" s="11" t="s">
        <x:v>27</x:v>
      </x:c>
      <x:c r="N7" s="13" t="s">
        <x:v>21</x:v>
      </x:c>
      <x:c r="O7" s="11" t="s">
        <x:v>60</x:v>
      </x:c>
      <x:c r="P7" s="11" t="s">
        <x:v>30</x:v>
      </x:c>
      <x:c r="Q7" s="14" t="str">
        <x:f xml:space="preserve">HYPERLINK("https://www.infonalia.es/licitaciones1225/2025182659.pdf","www.infonalia.es/licitaciones1225/2025182659.pdf")</x:f>
        <x:v>www.infonalia.es/licitaciones1225/2025182659.pdf</x:v>
      </x:c>
    </x:row>
    <x:row r="8">
      <x:c r="A8" s="6" t="s">
        <x:v>17</x:v>
      </x:c>
      <x:c r="B8" s="6" t="s">
        <x:v>18</x:v>
      </x:c>
      <x:c r="C8" s="7" t="s">
        <x:v>21</x:v>
      </x:c>
      <x:c r="D8" s="8" t="s">
        <x:v>61</x:v>
      </x:c>
      <x:c r="E8" s="9" t="s">
        <x:v>21</x:v>
      </x:c>
      <x:c r="F8" s="6" t="s">
        <x:v>57</x:v>
      </x:c>
      <x:c r="G8" s="6" t="s">
        <x:v>62</x:v>
      </x:c>
      <x:c r="H8" s="6" t="s">
        <x:v>63</x:v>
      </x:c>
      <x:c r="I8" s="10" t="n">
        <x:v>38850.00</x:v>
      </x:c>
      <x:c r="J8" s="11" t="s">
        <x:v>25</x:v>
      </x:c>
      <x:c r="K8" s="11" t="s">
        <x:v>26</x:v>
      </x:c>
      <x:c r="L8" s="12" t="str">
        <x:f xml:space="preserve">HYPERLINK("https://contrataciondelestado.es/wps/poc?uri=deeplink:detalle_licitacion&amp;idEvl=GyqZFiV5010ZDGvgaZEVxQ%3D%3D","contrataciondelestado.es/wps/poc?uri=deeplink:detalle_licitacion&amp;idEvl=GyqZFiV5010ZDGvgaZEVxQ%3D%3D")</x:f>
        <x:v>contrataciondelestado.es/wps/poc?uri=deeplink:detalle_licitacion&amp;idEvl=GyqZFiV5010ZDGvgaZEVxQ%3D%3D</x:v>
      </x:c>
      <x:c r="M8" s="11" t="s">
        <x:v>27</x:v>
      </x:c>
      <x:c r="N8" s="13" t="s">
        <x:v>36</x:v>
      </x:c>
      <x:c r="O8" s="11" t="s">
        <x:v>64</x:v>
      </x:c>
      <x:c r="P8" s="11" t="s">
        <x:v>30</x:v>
      </x:c>
      <x:c r="Q8" s="14" t="str">
        <x:f xml:space="preserve">HYPERLINK("https://www.infonalia.es/licitaciones1225/2025182672.pdf","www.infonalia.es/licitaciones1225/2025182672.pdf")</x:f>
        <x:v>www.infonalia.es/licitaciones1225/2025182672.pdf</x:v>
      </x:c>
    </x:row>
    <x:row r="9">
      <x:c r="A9" s="6" t="s">
        <x:v>17</x:v>
      </x:c>
      <x:c r="B9" s="6" t="s">
        <x:v>18</x:v>
      </x:c>
      <x:c r="C9" s="7" t="s">
        <x:v>65</x:v>
      </x:c>
      <x:c r="D9" s="8" t="s">
        <x:v>66</x:v>
      </x:c>
      <x:c r="E9" s="9" t="s">
        <x:v>21</x:v>
      </x:c>
      <x:c r="F9" s="6" t="s">
        <x:v>67</x:v>
      </x:c>
      <x:c r="G9" s="6" t="s">
        <x:v>68</x:v>
      </x:c>
      <x:c r="H9" s="6" t="s">
        <x:v>69</x:v>
      </x:c>
      <x:c r="I9" s="10" t="n">
        <x:v>90000.00</x:v>
      </x:c>
      <x:c r="J9" s="11" t="s">
        <x:v>25</x:v>
      </x:c>
      <x:c r="K9" s="11" t="s">
        <x:v>26</x:v>
      </x:c>
      <x:c r="L9" s="12" t="str">
        <x:f xml:space="preserve">HYPERLINK("https://contrataciondelestado.es/wps/poc?uri=deeplink:detalle_licitacion&amp;idEvl=6wzMRzeThQczjChw4z%2FXvw%3D%3D","contrataciondelestado.es/wps/poc?uri=deeplink:detalle_licitacion&amp;idEvl=6wzMRzeThQczjChw4z%2FXvw%3D%3D")</x:f>
        <x:v>contrataciondelestado.es/wps/poc?uri=deeplink:detalle_licitacion&amp;idEvl=6wzMRzeThQczjChw4z%2FXvw%3D%3D</x:v>
      </x:c>
      <x:c r="M9" s="11" t="s">
        <x:v>27</x:v>
      </x:c>
      <x:c r="N9" s="13" t="s">
        <x:v>21</x:v>
      </x:c>
      <x:c r="O9" s="11" t="s">
        <x:v>70</x:v>
      </x:c>
      <x:c r="P9" s="11" t="s">
        <x:v>30</x:v>
      </x:c>
      <x:c r="Q9" s="14" t="str">
        <x:f xml:space="preserve">HYPERLINK("https://www.infonalia.es/licitaciones1225/2025182735.pdf","www.infonalia.es/licitaciones1225/2025182735.pdf")</x:f>
        <x:v>www.infonalia.es/licitaciones1225/2025182735.pdf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