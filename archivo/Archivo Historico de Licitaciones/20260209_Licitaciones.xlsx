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<x:sst xmlns:x="http://schemas.openxmlformats.org/spreadsheetml/2006/main" count="17" uniqueCount="17">
  <x:si>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</x:si>
  <x:si>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</x:si>
  <x:si>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</x:si>
  <x:si>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</x:si>
  <x:si>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</x:si>
  <x:si>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</x:si>
  <x:si>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</x:si>
  <x:si>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</x:si>
  <x:si>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</x:si>
  <x:si>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</x:si>
  <x:si>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</x:si>
  <x:si>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</x:si>
  <x:si>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</x:si>
  <x:si>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</x:si>
  <x:si>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</x:si>
  <x:si>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</x:si>
  <x:si>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</x:si>
  <x:si>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</x:si>
  <x:si>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</x:si>
  <x:si>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06/03/2026</x:t>
  </x:si>
  <x:si>
    <x:t>2026013538</x:t>
  </x:si>
  <x:si>
    <x:t>09/02/2026</x:t>
  </x:si>
  <x:si>
    <x:t>INSTITUTO DE TURISMO DE ESPAÑA (TURESPAÑA)</x:t>
  </x:si>
  <x:si>
    <x:t>1. La prestación del servicio de organización y gestión de eventos virtuales 2. La puesta en marcha, mantenimiento y gestión de una app que sirva de apoyo al desarrollo de eventos presenciales de Turespaña en los términos establecidos en el pliego de prescripciones técnicas</x:t>
  </x:si>
  <x:si>
    <x:t>020025C00131</x:t>
  </x:si>
  <x:si>
    <x:t>Importe sin impuestos</x:t>
  </x:si>
  <x:si>
    <x:t/>
  </x:si>
  <x:si>
    <x:t>-----</x:t>
  </x:si>
  <x:si>
    <x:t>07/02/2026</x:t>
  </x:si>
  <x:si>
    <x:t/>
  </x:si>
  <x:si>
    <x:t>Madrid</x:t>
  </x:si>
  <x:si>
    <x:t>23/02/2026</x:t>
  </x:si>
  <x:si>
    <x:t>2026013593</x:t>
  </x:si>
  <x:si>
    <x:t>CONSELL COMARCAL DEL SOLSONÈS (LLEIDA)</x:t>
  </x:si>
  <x:si>
    <x:t>Contratación del arrendamiento, montaje, mantenimiento y desmontaje de los stands de la Feria del Trunfo y la Trufa de Cataluña</x:t>
  </x:si>
  <x:si>
    <x:t>38/2026</x:t>
  </x:si>
  <x:si>
    <x:t>06/02/2026</x:t>
  </x:si>
  <x:si>
    <x:t/>
  </x:si>
  <x:si>
    <x:t>Lleida</x:t>
  </x:si>
  <x:si>
    <x:t>2026013606</x:t>
  </x:si>
  <x:si>
    <x:t>MINISTERIO DE CULTURA. DIRECCIÓN GENERAL DE PATRIMONIO CULTURAL Y BELLAS ARTES</x:t>
  </x:si>
  <x:si>
    <x:t>Servicio de producción, montaje y desmontaje de la exposición temporal ‘Ingenieras domésticas: la revolución del hogar’ en el Museo Nacional de Artes Decorativas</x:t>
  </x:si>
  <x:si>
    <x:t>MSA250144</x:t>
  </x:si>
  <x:si>
    <x:t/>
  </x:si>
  <x:si>
    <x:t>2026013683</x:t>
  </x:si>
  <x:si>
    <x:t>CORPORACIÓ CATALANA DE MITJANS AUDIOVISUALS, SA (CCMA, SA)</x:t>
  </x:si>
  <x:si>
    <x:t>Gestión de la cartera de marcas</x:t>
  </x:si>
  <x:si>
    <x:t>2602OB05</x:t>
  </x:si>
  <x:si>
    <x:t/>
  </x:si>
  <x:si>
    <x:t>Catalunya</x:t>
  </x:si>
  <x:si>
    <x:t>24/02/2026</x:t>
  </x:si>
  <x:si>
    <x:t>2026013684</x:t>
  </x:si>
  <x:si>
    <x:t>El objeto del contrato es la prestación del servicio de asesoramiento para la conceptualización del proyecto de transformación organizativa de la CCMA de acuerdo con lo que prevé el Contrato programa que permita adecuar el modelo organizativo a un esquema que maximice el valor público que puede llegar a dar la empresa, de acuerdo con las necesidades actuales y futuras del sector audiovisual</x:t>
  </x:si>
  <x:si>
    <x:t>2602OB02</x:t>
  </x:si>
  <x:si>
    <x:t/>
  </x:si>
  <x:si>
    <x:t>21/02/2026</x:t>
  </x:si>
  <x:si>
    <x:t>2026013778</x:t>
  </x:si>
  <x:si>
    <x:t>MINISTERIO DE CIENCIA, INNOVACIÓN Y UNIVERSIDADES. GERENCIA DEL CENTRO DE INVESTIGACIÓN BIOMÉDICA EN RED (CIBER)</x:t>
  </x:si>
  <x:si>
    <x:t>Coordinación e implementación de campaña comunicación para el proyecto IMPaCT cohorte Financiado por ISCIII código de expediente PMP22/00003 (IP Beatriz Pérez) y cofinanciado por EU con Fondos MRR (PRTR)</x:t>
  </x:si>
  <x:si>
    <x:t>2025/PAS/005</x:t>
  </x:si>
  <x:si>
    <x:t/>
  </x:si>
  <x:si>
    <x:t>2026013821</x:t>
  </x:si>
  <x:si>
    <x:t>ALCALDÍA DEL AYUNTAMIENTO DE GRIÑÓN (MADRID)</x:t>
  </x:si>
  <x:si>
    <x:t>Contrato administrativo de servicios de mediación y distribución de campañas institucionales, publicidad y comunicación del Ayuntamiento de Griñón (Madrid) en los distintos medios de comunicación social y servicio de periódico de información local</x:t>
  </x:si>
  <x:si>
    <x:t>190/2026</x:t>
  </x:si>
  <x:si>
    <x:t/>
  </x:si>
  <x:si>
    <x:t>2026013851</x:t>
  </x:si>
  <x:si>
    <x:t>PRESIDENCIA DE LA COMPAÑÍA ESPAÑOLA DE FINANCIACIÓN DEL DESARROLLO. COFIDES S.A., S.M.E</x:t>
  </x:si>
  <x:si>
    <x:t>Asesoramiento Financiero, Técnico y Comercial para el proyecto Multiverse Computing S.L</x:t>
  </x:si>
  <x:si>
    <x:t>FOC26INV005</x:t>
  </x:si>
  <x:si>
    <x:t>No consta</x:t>
  </x:si>
  <x:si>
    <x:t/>
  </x:si>
  <x:si>
    <x:t>Barcelona. Perfil del Contratante del Ayuntamiento</x:t>
  </x:si>
  <x:si>
    <x:t>13/02/2026</x:t>
  </x:si>
  <x:si>
    <x:t>2026013917</x:t>
  </x:si>
  <x:si>
    <x:t>INSTITUTO DE CULTURA DE BARCELONA</x:t>
  </x:si>
  <x:si>
    <x:t>Producción, instalación y retirada de lonas por los centros y actividades del Museo de Historia de Barcelona.</x:t>
  </x:si>
  <x:si>
    <x:t>006_P2600278</x:t>
  </x:si>
  <x:si>
    <x:t/>
  </x:si>
  <x:si>
    <x:t/>
  </x:si>
  <x:si>
    <x:t>Barcelona</x:t>
  </x:si>
  <x:si>
    <x:t>Catalunya - Plataforma de Contratación</x:t>
  </x:si>
  <x:si>
    <x:t>2026013942</x:t>
  </x:si>
  <x:si>
    <x:t>DIPUTACIÓN DE GIRONA</x:t>
  </x:si>
  <x:si>
    <x:t>2026/1131 Servicio de dirección, coordinación y gestión de contenidos de la edición digital de la Revista de Girona</x:t>
  </x:si>
  <x:si>
    <x:t>Consulta preliminar</x:t>
  </x:si>
  <x:si>
    <x:t/>
  </x:si>
  <x:si>
    <x:t>Girona</x:t>
  </x:si>
  <x:si>
    <x:t>20/02/2026</x:t>
  </x:si>
  <x:si>
    <x:t>2026013950</x:t>
  </x:si>
  <x:si>
    <x:t>DIPUTACIÓN DE TARRAGONA</x:t>
  </x:si>
  <x:si>
    <x:t>Asistencia Técnica Jornada resolución de retos. Contratación de un servicio que lleve a cabo la preparación,
coordinación y ejecución de una jornada de resolución de retos
(Hackató) que tenga lugar aproximadamente a finales de abril, 
sobre ‘cómo una empresa puede impactar a la ciudadanía del
 2035’, enfocada al público joven de la demarcación de
Tarragona, de 16 a 35 años.</x:t>
  </x:si>
  <x:si>
    <x:t>8004330008-2026-0002057</x:t>
  </x:si>
  <x:si>
    <x:t>IVA excluido</x:t>
  </x:si>
  <x:si>
    <x:t/>
  </x:si>
  <x:si>
    <x:t/>
  </x:si>
  <x:si>
    <x:t>Tarragona</x:t>
  </x:si>
  <x:si>
    <x:t>Cámaras de Comercio. Perfil del Contratante</x:t>
  </x:si>
  <x:si>
    <x:t>2026013974</x:t>
  </x:si>
  <x:si>
    <x:t>CÁMARA OFICIAL DE COMERCIO, INDUSTRIA, SERVICIOS Y NAVEGACIÓN DE CASTELLÓN </x:t>
  </x:si>
  <x:si>
    <x:t>Contratación del diseño del espacio expositivo para la partición en CLERKENWELL DESIGN WEEK (CDW) 2026, en Londres los días 19, 20 y 21 de mayo de 2026.</x:t>
  </x:si>
  <x:si>
    <x:t>2026CA02</x:t>
  </x:si>
  <x:si>
    <x:t/>
  </x:si>
  <x:si>
    <x:t/>
  </x:si>
  <x:si>
    <x:t>Castellón</x:t>
  </x:si>
  <x:si>
    <x:t>2026014031</x:t>
  </x:si>
  <x:si>
    <x:t>CONCEJAL DE CONTRATACIÓN DEL AYUNTAMIENTO DE TORREJÓN DE ARDOZ (MADRID)</x:t>
  </x:si>
  <x:si>
    <x:t>Sesión de cine dentro del programa Jueves de cine 2026</x:t>
  </x:si>
  <x:si>
    <x:t>67/2026</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</x:si>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</x:sst>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550852.50</x:v>
      </x:c>
      <x:c r="J2" s="11" t="s">
        <x:v>25</x:v>
      </x:c>
      <x:c r="K2" s="11" t="s">
        <x:v>26</x:v>
      </x:c>
      <x:c r="L2" s="12" t="str">
        <x:f xml:space="preserve">HYPERLINK("https://contrataciondelestado.es/wps/poc?uri=deeplink:detalle_licitacion&amp;idEvl=csGqX%2FbHHZWcTfjQf3USOg%3D%3D","contrataciondelestado.es/wps/poc?uri=deeplink:detalle_licitacion&amp;idEvl=csGqX%2FbHHZWcTfjQf3USOg%3D%3D")</x:f>
        <x:v>contrataciondelestado.es/wps/poc?uri=deeplink:detalle_licitacion&amp;idEvl=csGqX%2FbHHZWcTfjQf3USOg%3D%3D</x:v>
      </x:c>
      <x:c r="M2" s="11" t="s">
        <x:v>27</x:v>
      </x:c>
      <x:c r="N2" s="13" t="s">
        <x:v>28</x:v>
      </x:c>
      <x:c r="O2" s="11" t="s">
        <x:v>29</x:v>
      </x:c>
      <x:c r="P2" s="11" t="s">
        <x:v>30</x:v>
      </x:c>
      <x:c r="Q2" s="14" t="str">
        <x:f xml:space="preserve">HYPERLINK("https://www.infonalia.es/licitaciones0226/2026013538.pdf","www.infonalia.es/licitaciones0226/2026013538.pdf")</x:f>
        <x:v>www.infonalia.es/licitaciones0226/2026013538.pdf</x:v>
      </x:c>
    </x:row>
    <x:row r="3">
      <x:c r="A3" s="6" t="s">
        <x:v>17</x:v>
      </x:c>
      <x:c r="B3" s="6" t="s">
        <x:v>18</x:v>
      </x:c>
      <x:c r="C3" s="7" t="s">
        <x:v>31</x:v>
      </x:c>
      <x:c r="D3" s="8" t="s">
        <x:v>32</x:v>
      </x:c>
      <x:c r="E3" s="9" t="s">
        <x:v>21</x:v>
      </x:c>
      <x:c r="F3" s="6" t="s">
        <x:v>33</x:v>
      </x:c>
      <x:c r="G3" s="6" t="s">
        <x:v>34</x:v>
      </x:c>
      <x:c r="H3" s="6" t="s">
        <x:v>35</x:v>
      </x:c>
      <x:c r="I3" s="10" t="n">
        <x:v>10720.00</x:v>
      </x:c>
      <x:c r="J3" s="11" t="s">
        <x:v>25</x:v>
      </x:c>
      <x:c r="K3" s="11" t="s">
        <x:v>26</x:v>
      </x:c>
      <x:c r="L3" s="12" t="str">
        <x:f xml:space="preserve">HYPERLINK("https://contractaciopublica.cat/ca/detall-publicacio/32540a48-39e6-45ed-b1c9-586b6d2c136d/300686637","contractaciopublica.cat/ca/detall-publicacio/32540a48-39e6-45ed-b1c9-586b6d2c136d/300686637")</x:f>
        <x:v>contractaciopublica.cat/ca/detall-publicacio/32540a48-39e6-45ed-b1c9-586b6d2c136d/300686637</x:v>
      </x:c>
      <x:c r="M3" s="11" t="s">
        <x:v>27</x:v>
      </x:c>
      <x:c r="N3" s="13" t="s">
        <x:v>36</x:v>
      </x:c>
      <x:c r="O3" s="11" t="s">
        <x:v>37</x:v>
      </x:c>
      <x:c r="P3" s="11" t="s">
        <x:v>38</x:v>
      </x:c>
      <x:c r="Q3" s="14" t="str">
        <x:f xml:space="preserve">HYPERLINK("https://www.infonalia.es/licitaciones0226/2026013593.pdf","www.infonalia.es/licitaciones0226/2026013593.pdf")</x:f>
        <x:v>www.infonalia.es/licitaciones0226/2026013593.pdf</x:v>
      </x:c>
    </x:row>
    <x:row r="4">
      <x:c r="A4" s="6" t="s">
        <x:v>17</x:v>
      </x:c>
      <x:c r="B4" s="6" t="s">
        <x:v>18</x:v>
      </x:c>
      <x:c r="C4" s="7" t="s">
        <x:v>31</x:v>
      </x:c>
      <x:c r="D4" s="8" t="s">
        <x:v>39</x:v>
      </x:c>
      <x:c r="E4" s="9" t="s">
        <x:v>21</x:v>
      </x:c>
      <x:c r="F4" s="6" t="s">
        <x:v>40</x:v>
      </x:c>
      <x:c r="G4" s="6" t="s">
        <x:v>41</x:v>
      </x:c>
      <x:c r="H4" s="6" t="s">
        <x:v>42</x:v>
      </x:c>
      <x:c r="I4" s="10" t="n">
        <x:v>59163.00</x:v>
      </x:c>
      <x:c r="J4" s="11" t="s">
        <x:v>25</x:v>
      </x:c>
      <x:c r="K4" s="11" t="s">
        <x:v>26</x:v>
      </x:c>
      <x:c r="L4" s="12" t="str">
        <x:f xml:space="preserve">HYPERLINK("https://contrataciondelestado.es/wps/poc?uri=deeplink:detalle_licitacion&amp;idEvl=JPaxESNtyvNVYjgxA4nMUw%3D%3D","contrataciondelestado.es/wps/poc?uri=deeplink:detalle_licitacion&amp;idEvl=JPaxESNtyvNVYjgxA4nMUw%3D%3D")</x:f>
        <x:v>contrataciondelestado.es/wps/poc?uri=deeplink:detalle_licitacion&amp;idEvl=JPaxESNtyvNVYjgxA4nMUw%3D%3D</x:v>
      </x:c>
      <x:c r="M4" s="11" t="s">
        <x:v>27</x:v>
      </x:c>
      <x:c r="N4" s="13" t="s">
        <x:v>36</x:v>
      </x:c>
      <x:c r="O4" s="11" t="s">
        <x:v>43</x:v>
      </x:c>
      <x:c r="P4" s="11" t="s">
        <x:v>30</x:v>
      </x:c>
      <x:c r="Q4" s="14" t="str">
        <x:f xml:space="preserve">HYPERLINK("https://www.infonalia.es/licitaciones0226/2026013606.pdf","www.infonalia.es/licitaciones0226/2026013606.pdf")</x:f>
        <x:v>www.infonalia.es/licitaciones0226/2026013606.pdf</x:v>
      </x:c>
    </x:row>
    <x:row r="5">
      <x:c r="A5" s="6" t="s">
        <x:v>17</x:v>
      </x:c>
      <x:c r="B5" s="6" t="s">
        <x:v>18</x:v>
      </x:c>
      <x:c r="C5" s="7" t="s">
        <x:v>31</x:v>
      </x:c>
      <x:c r="D5" s="8" t="s">
        <x:v>44</x:v>
      </x:c>
      <x:c r="E5" s="9" t="s">
        <x:v>21</x:v>
      </x:c>
      <x:c r="F5" s="6" t="s">
        <x:v>45</x:v>
      </x:c>
      <x:c r="G5" s="6" t="s">
        <x:v>46</x:v>
      </x:c>
      <x:c r="H5" s="6" t="s">
        <x:v>47</x:v>
      </x:c>
      <x:c r="I5" s="10" t="n">
        <x:v>35000.00</x:v>
      </x:c>
      <x:c r="J5" s="11" t="s">
        <x:v>25</x:v>
      </x:c>
      <x:c r="K5" s="11" t="s">
        <x:v>26</x:v>
      </x:c>
      <x:c r="L5" s="12" t="str">
        <x:f xml:space="preserve">HYPERLINK("https://contractaciopublica.cat/ca/detall-publicacio/ce02948c-8d4d-49b8-be89-e338a3213cd5/300687577","contractaciopublica.cat/ca/detall-publicacio/ce02948c-8d4d-49b8-be89-e338a3213cd5/300687577")</x:f>
        <x:v>contractaciopublica.cat/ca/detall-publicacio/ce02948c-8d4d-49b8-be89-e338a3213cd5/300687577</x:v>
      </x:c>
      <x:c r="M5" s="11" t="s">
        <x:v>27</x:v>
      </x:c>
      <x:c r="N5" s="13" t="s">
        <x:v>36</x:v>
      </x:c>
      <x:c r="O5" s="11" t="s">
        <x:v>48</x:v>
      </x:c>
      <x:c r="P5" s="11" t="s">
        <x:v>49</x:v>
      </x:c>
      <x:c r="Q5" s="14" t="str">
        <x:f xml:space="preserve">HYPERLINK("https://www.infonalia.es/licitaciones0226/2026013683.pdf","www.infonalia.es/licitaciones0226/2026013683.pdf")</x:f>
        <x:v>www.infonalia.es/licitaciones0226/2026013683.pdf</x:v>
      </x:c>
    </x:row>
    <x:row r="6">
      <x:c r="A6" s="6" t="s">
        <x:v>17</x:v>
      </x:c>
      <x:c r="B6" s="6" t="s">
        <x:v>18</x:v>
      </x:c>
      <x:c r="C6" s="7" t="s">
        <x:v>50</x:v>
      </x:c>
      <x:c r="D6" s="8" t="s">
        <x:v>51</x:v>
      </x:c>
      <x:c r="E6" s="9" t="s">
        <x:v>21</x:v>
      </x:c>
      <x:c r="F6" s="6" t="s">
        <x:v>45</x:v>
      </x:c>
      <x:c r="G6" s="6" t="s">
        <x:v>52</x:v>
      </x:c>
      <x:c r="H6" s="6" t="s">
        <x:v>53</x:v>
      </x:c>
      <x:c r="I6" s="10" t="n">
        <x:v>200000.00</x:v>
      </x:c>
      <x:c r="J6" s="11" t="s">
        <x:v>25</x:v>
      </x:c>
      <x:c r="K6" s="11" t="s">
        <x:v>26</x:v>
      </x:c>
      <x:c r="L6" s="12" t="str">
        <x:f xml:space="preserve">HYPERLINK("https://contractaciopublica.cat/ca/detall-publicacio/9425b850-4256-4e4d-9c99-313f7a2da564/300687537","contractaciopublica.cat/ca/detall-publicacio/9425b850-4256-4e4d-9c99-313f7a2da564/300687537")</x:f>
        <x:v>contractaciopublica.cat/ca/detall-publicacio/9425b850-4256-4e4d-9c99-313f7a2da564/300687537</x:v>
      </x:c>
      <x:c r="M6" s="11" t="s">
        <x:v>27</x:v>
      </x:c>
      <x:c r="N6" s="13" t="s">
        <x:v>36</x:v>
      </x:c>
      <x:c r="O6" s="11" t="s">
        <x:v>54</x:v>
      </x:c>
      <x:c r="P6" s="11" t="s">
        <x:v>49</x:v>
      </x:c>
      <x:c r="Q6" s="14" t="str">
        <x:f xml:space="preserve">HYPERLINK("https://www.infonalia.es/licitaciones0226/2026013684.pdf","www.infonalia.es/licitaciones0226/2026013684.pdf")</x:f>
        <x:v>www.infonalia.es/licitaciones0226/2026013684.pdf</x:v>
      </x:c>
    </x:row>
    <x:row r="7">
      <x:c r="A7" s="6" t="s">
        <x:v>17</x:v>
      </x:c>
      <x:c r="B7" s="6" t="s">
        <x:v>18</x:v>
      </x:c>
      <x:c r="C7" s="7" t="s">
        <x:v>55</x:v>
      </x:c>
      <x:c r="D7" s="8" t="s">
        <x:v>56</x:v>
      </x:c>
      <x:c r="E7" s="9" t="s">
        <x:v>21</x:v>
      </x:c>
      <x:c r="F7" s="6" t="s">
        <x:v>57</x:v>
      </x:c>
      <x:c r="G7" s="6" t="s">
        <x:v>58</x:v>
      </x:c>
      <x:c r="H7" s="6" t="s">
        <x:v>59</x:v>
      </x:c>
      <x:c r="I7" s="10" t="n">
        <x:v>15000.00</x:v>
      </x:c>
      <x:c r="J7" s="11" t="s">
        <x:v>25</x:v>
      </x:c>
      <x:c r="K7" s="11" t="s">
        <x:v>26</x:v>
      </x:c>
      <x:c r="L7" s="12" t="str">
        <x:f xml:space="preserve">HYPERLINK("https://contrataciondelestado.es/wps/poc?uri=deeplink:detalle_licitacion&amp;idEvl=n6ogW3Wf%2BQsZDGvgaZEVxQ%3D%3D","contrataciondelestado.es/wps/poc?uri=deeplink:detalle_licitacion&amp;idEvl=n6ogW3Wf%2BQsZDGvgaZEVxQ%3D%3D")</x:f>
        <x:v>contrataciondelestado.es/wps/poc?uri=deeplink:detalle_licitacion&amp;idEvl=n6ogW3Wf%2BQsZDGvgaZEVxQ%3D%3D</x:v>
      </x:c>
      <x:c r="M7" s="11" t="s">
        <x:v>27</x:v>
      </x:c>
      <x:c r="N7" s="13" t="s">
        <x:v>36</x:v>
      </x:c>
      <x:c r="O7" s="11" t="s">
        <x:v>60</x:v>
      </x:c>
      <x:c r="P7" s="11" t="s">
        <x:v>30</x:v>
      </x:c>
      <x:c r="Q7" s="14" t="str">
        <x:f xml:space="preserve">HYPERLINK("https://www.infonalia.es/licitaciones0226/2026013778.pdf","www.infonalia.es/licitaciones0226/2026013778.pdf")</x:f>
        <x:v>www.infonalia.es/licitaciones0226/2026013778.pdf</x:v>
      </x:c>
    </x:row>
    <x:row r="8">
      <x:c r="A8" s="6" t="s">
        <x:v>17</x:v>
      </x:c>
      <x:c r="B8" s="6" t="s">
        <x:v>18</x:v>
      </x:c>
      <x:c r="C8" s="7" t="s">
        <x:v>31</x:v>
      </x:c>
      <x:c r="D8" s="8" t="s">
        <x:v>61</x:v>
      </x:c>
      <x:c r="E8" s="9" t="s">
        <x:v>21</x:v>
      </x:c>
      <x:c r="F8" s="6" t="s">
        <x:v>62</x:v>
      </x:c>
      <x:c r="G8" s="6" t="s">
        <x:v>63</x:v>
      </x:c>
      <x:c r="H8" s="6" t="s">
        <x:v>64</x:v>
      </x:c>
      <x:c r="I8" s="10" t="n">
        <x:v>26446.28</x:v>
      </x:c>
      <x:c r="J8" s="11" t="s">
        <x:v>25</x:v>
      </x:c>
      <x:c r="K8" s="11" t="s">
        <x:v>26</x:v>
      </x:c>
      <x:c r="L8" s="12" t="str">
        <x:f xml:space="preserve">HYPERLINK("https://contrataciondelestado.es/wps/poc?uri=deeplink:detalle_licitacion&amp;idEvl=Q%2BQVAL4dJooS7pcxhTeWOg%3D%3D","contrataciondelestado.es/wps/poc?uri=deeplink:detalle_licitacion&amp;idEvl=Q%2BQVAL4dJooS7pcxhTeWOg%3D%3D")</x:f>
        <x:v>contrataciondelestado.es/wps/poc?uri=deeplink:detalle_licitacion&amp;idEvl=Q%2BQVAL4dJooS7pcxhTeWOg%3D%3D</x:v>
      </x:c>
      <x:c r="M8" s="11" t="s">
        <x:v>27</x:v>
      </x:c>
      <x:c r="N8" s="13" t="s">
        <x:v>36</x:v>
      </x:c>
      <x:c r="O8" s="11" t="s">
        <x:v>65</x:v>
      </x:c>
      <x:c r="P8" s="11" t="s">
        <x:v>30</x:v>
      </x:c>
      <x:c r="Q8" s="14" t="str">
        <x:f xml:space="preserve">HYPERLINK("https://www.infonalia.es/licitaciones0226/2026013821.pdf","www.infonalia.es/licitaciones0226/2026013821.pdf")</x:f>
        <x:v>www.infonalia.es/licitaciones0226/2026013821.pdf</x:v>
      </x:c>
    </x:row>
    <x:row r="9">
      <x:c r="A9" s="6" t="s">
        <x:v>17</x:v>
      </x:c>
      <x:c r="B9" s="6" t="s">
        <x:v>18</x:v>
      </x:c>
      <x:c r="C9" s="7" t="s">
        <x:v>26</x:v>
      </x:c>
      <x:c r="D9" s="8" t="s">
        <x:v>66</x:v>
      </x:c>
      <x:c r="E9" s="9" t="s">
        <x:v>21</x:v>
      </x:c>
      <x:c r="F9" s="6" t="s">
        <x:v>67</x:v>
      </x:c>
      <x:c r="G9" s="6" t="s">
        <x:v>68</x:v>
      </x:c>
      <x:c r="H9" s="6" t="s">
        <x:v>69</x:v>
      </x:c>
      <x:c r="I9" s="10" t="n">
        <x:v>240000.00</x:v>
      </x:c>
      <x:c r="J9" s="11" t="s">
        <x:v>25</x:v>
      </x:c>
      <x:c r="K9" s="11" t="s">
        <x:v>70</x:v>
      </x:c>
      <x:c r="L9" s="12" t="str">
        <x:f xml:space="preserve">HYPERLINK("https://contrataciondelestado.es/wps/poc?uri=deeplink:detalle_licitacion&amp;idEvl=Q%2F9uMqrBZmyOUi78BmzhOQ%3D%3D","contrataciondelestado.es/wps/poc?uri=deeplink:detalle_licitacion&amp;idEvl=Q%2F9uMqrBZmyOUi78BmzhOQ%3D%3D")</x:f>
        <x:v>contrataciondelestado.es/wps/poc?uri=deeplink:detalle_licitacion&amp;idEvl=Q%2F9uMqrBZmyOUi78BmzhOQ%3D%3D</x:v>
      </x:c>
      <x:c r="M9" s="11" t="s">
        <x:v>27</x:v>
      </x:c>
      <x:c r="N9" s="13" t="s">
        <x:v>36</x:v>
      </x:c>
      <x:c r="O9" s="11" t="s">
        <x:v>71</x:v>
      </x:c>
      <x:c r="P9" s="11" t="s">
        <x:v>30</x:v>
      </x:c>
      <x:c r="Q9" s="14" t="str">
        <x:f xml:space="preserve">HYPERLINK("https://www.infonalia.es/licitaciones0226/2026013851.pdf","www.infonalia.es/licitaciones0226/2026013851.pdf")</x:f>
        <x:v>www.infonalia.es/licitaciones0226/2026013851.pdf</x:v>
      </x:c>
    </x:row>
    <x:row r="10">
      <x:c r="A10" s="6" t="s">
        <x:v>17</x:v>
      </x:c>
      <x:c r="B10" s="6" t="s">
        <x:v>72</x:v>
      </x:c>
      <x:c r="C10" s="7" t="s">
        <x:v>73</x:v>
      </x:c>
      <x:c r="D10" s="8" t="s">
        <x:v>74</x:v>
      </x:c>
      <x:c r="E10" s="9" t="s">
        <x:v>21</x:v>
      </x:c>
      <x:c r="F10" s="6" t="s">
        <x:v>75</x:v>
      </x:c>
      <x:c r="G10" s="6" t="s">
        <x:v>76</x:v>
      </x:c>
      <x:c r="H10" s="6" t="s">
        <x:v>77</x:v>
      </x:c>
      <x:c r="I10" s="10" t="n">
        <x:v>14500.00</x:v>
      </x:c>
      <x:c r="J10" s="11" t="s">
        <x:v>25</x:v>
      </x:c>
      <x:c r="K10" s="11" t="s">
        <x:v>78</x:v>
      </x:c>
      <x:c r="L10" s="12" t="str">
        <x:f xml:space="preserve">HYPERLINK("https://licitacions.bcn.cat/licitacion/licitaciones/detalle?id=14727793","licitacions.bcn.cat/licitacion/licitaciones/detalle?id=14727793")</x:f>
        <x:v>licitacions.bcn.cat/licitacion/licitaciones/detalle?id=14727793</x:v>
      </x:c>
      <x:c r="M10" s="11" t="s">
        <x:v>27</x:v>
      </x:c>
      <x:c r="N10" s="13" t="s">
        <x:v>36</x:v>
      </x:c>
      <x:c r="O10" s="11" t="s">
        <x:v>79</x:v>
      </x:c>
      <x:c r="P10" s="11" t="s">
        <x:v>80</x:v>
      </x:c>
      <x:c r="Q10" s="14" t="str">
        <x:f xml:space="preserve">HYPERLINK("https://www.infonalia.es/licitaciones0226/2026013917.pdf","www.infonalia.es/licitaciones0226/2026013917.pdf")</x:f>
        <x:v>www.infonalia.es/licitaciones0226/2026013917.pdf</x:v>
      </x:c>
    </x:row>
    <x:row r="11">
      <x:c r="A11" s="6" t="s">
        <x:v>17</x:v>
      </x:c>
      <x:c r="B11" s="6" t="s">
        <x:v>81</x:v>
      </x:c>
      <x:c r="C11" s="7" t="s">
        <x:v>26</x:v>
      </x:c>
      <x:c r="D11" s="8" t="s">
        <x:v>82</x:v>
      </x:c>
      <x:c r="E11" s="9" t="s">
        <x:v>21</x:v>
      </x:c>
      <x:c r="F11" s="6" t="s">
        <x:v>83</x:v>
      </x:c>
      <x:c r="G11" s="6" t="s">
        <x:v>84</x:v>
      </x:c>
      <x:c r="H11" s="6" t="s">
        <x:v>85</x:v>
      </x:c>
      <x:c r="I11" s="10"/>
      <x:c r="J11" s="11" t="s">
        <x:v>70</x:v>
      </x:c>
      <x:c r="K11" s="11" t="s">
        <x:v>70</x:v>
      </x:c>
      <x:c r="L11" s="12" t="str">
        <x:f xml:space="preserve">HYPERLINK("https://contractaciopublica.cat/es/detall-publicacio/300687428","contractaciopublica.cat/es/detall-publicacio/300687428")</x:f>
        <x:v>contractaciopublica.cat/es/detall-publicacio/300687428</x:v>
      </x:c>
      <x:c r="M11" s="11" t="s">
        <x:v>27</x:v>
      </x:c>
      <x:c r="N11" s="13" t="s">
        <x:v>36</x:v>
      </x:c>
      <x:c r="O11" s="11" t="s">
        <x:v>86</x:v>
      </x:c>
      <x:c r="P11" s="11" t="s">
        <x:v>87</x:v>
      </x:c>
      <x:c r="Q11" s="14" t="str">
        <x:f xml:space="preserve">HYPERLINK("https://www.infonalia.es/licitaciones0226/2026013942.pdf","www.infonalia.es/licitaciones0226/2026013942.pdf")</x:f>
        <x:v>www.infonalia.es/licitaciones0226/2026013942.pdf</x:v>
      </x:c>
    </x:row>
    <x:row r="12">
      <x:c r="A12" s="6" t="s">
        <x:v>17</x:v>
      </x:c>
      <x:c r="B12" s="6" t="s">
        <x:v>81</x:v>
      </x:c>
      <x:c r="C12" s="7" t="s">
        <x:v>88</x:v>
      </x:c>
      <x:c r="D12" s="8" t="s">
        <x:v>89</x:v>
      </x:c>
      <x:c r="E12" s="9" t="s">
        <x:v>21</x:v>
      </x:c>
      <x:c r="F12" s="6" t="s">
        <x:v>90</x:v>
      </x:c>
      <x:c r="G12" s="6" t="s">
        <x:v>91</x:v>
      </x:c>
      <x:c r="H12" s="6" t="s">
        <x:v>92</x:v>
      </x:c>
      <x:c r="I12" s="10" t="n">
        <x:v>13000.00</x:v>
      </x:c>
      <x:c r="J12" s="11" t="s">
        <x:v>93</x:v>
      </x:c>
      <x:c r="K12" s="11" t="s">
        <x:v>94</x:v>
      </x:c>
      <x:c r="L12" s="12" t="str">
        <x:f xml:space="preserve">HYPERLINK("https://contractaciopublica.cat/es/detall-publicacio/300687850","contractaciopublica.cat/es/detall-publicacio/300687850")</x:f>
        <x:v>contractaciopublica.cat/es/detall-publicacio/300687850</x:v>
      </x:c>
      <x:c r="M12" s="11" t="s">
        <x:v>27</x:v>
      </x:c>
      <x:c r="N12" s="13" t="s">
        <x:v>36</x:v>
      </x:c>
      <x:c r="O12" s="11" t="s">
        <x:v>95</x:v>
      </x:c>
      <x:c r="P12" s="11" t="s">
        <x:v>96</x:v>
      </x:c>
      <x:c r="Q12" s="14" t="str">
        <x:f xml:space="preserve">HYPERLINK("https://www.infonalia.es/licitaciones0226/2026013950.pdf","www.infonalia.es/licitaciones0226/2026013950.pdf")</x:f>
        <x:v>www.infonalia.es/licitaciones0226/2026013950.pdf</x:v>
      </x:c>
    </x:row>
    <x:row r="13">
      <x:c r="A13" s="6" t="s">
        <x:v>17</x:v>
      </x:c>
      <x:c r="B13" s="6" t="s">
        <x:v>97</x:v>
      </x:c>
      <x:c r="C13" s="7" t="s">
        <x:v>31</x:v>
      </x:c>
      <x:c r="D13" s="8" t="s">
        <x:v>98</x:v>
      </x:c>
      <x:c r="E13" s="9" t="s">
        <x:v>21</x:v>
      </x:c>
      <x:c r="F13" s="6" t="s">
        <x:v>99</x:v>
      </x:c>
      <x:c r="G13" s="6" t="s">
        <x:v>100</x:v>
      </x:c>
      <x:c r="H13" s="6" t="s">
        <x:v>101</x:v>
      </x:c>
      <x:c r="I13" s="10" t="n">
        <x:v>30000.00</x:v>
      </x:c>
      <x:c r="J13" s="11" t="s">
        <x:v>93</x:v>
      </x:c>
      <x:c r="K13" s="11" t="s">
        <x:v>102</x:v>
      </x:c>
      <x:c r="L13" s="12" t="str">
        <x:f xml:space="preserve">HYPERLINK("https://www.camaracastellon.com/es/perfilcontratante","www.camaracastellon.com/es/perfilcontratante")</x:f>
        <x:v>www.camaracastellon.com/es/perfilcontratante</x:v>
      </x:c>
      <x:c r="M13" s="11" t="s">
        <x:v>27</x:v>
      </x:c>
      <x:c r="N13" s="13" t="s">
        <x:v>36</x:v>
      </x:c>
      <x:c r="O13" s="11" t="s">
        <x:v>103</x:v>
      </x:c>
      <x:c r="P13" s="11" t="s">
        <x:v>104</x:v>
      </x:c>
      <x:c r="Q13" s="14" t="str">
        <x:f xml:space="preserve">HYPERLINK("https://www.infonalia.es/licitaciones0226/2026013974.pdf","www.infonalia.es/licitaciones0226/2026013974.pdf")</x:f>
        <x:v>www.infonalia.es/licitaciones0226/2026013974.pdf</x:v>
      </x:c>
    </x:row>
    <x:row r="14">
      <x:c r="A14" s="6" t="s">
        <x:v>17</x:v>
      </x:c>
      <x:c r="B14" s="6" t="s">
        <x:v>18</x:v>
      </x:c>
      <x:c r="C14" s="7" t="s">
        <x:v>31</x:v>
      </x:c>
      <x:c r="D14" s="8" t="s">
        <x:v>105</x:v>
      </x:c>
      <x:c r="E14" s="9" t="s">
        <x:v>21</x:v>
      </x:c>
      <x:c r="F14" s="6" t="s">
        <x:v>106</x:v>
      </x:c>
      <x:c r="G14" s="6" t="s">
        <x:v>107</x:v>
      </x:c>
      <x:c r="H14" s="6" t="s">
        <x:v>108</x:v>
      </x:c>
      <x:c r="I14" s="10" t="n">
        <x:v>650.00</x:v>
      </x:c>
      <x:c r="J14" s="11" t="s">
        <x:v>25</x:v>
      </x:c>
      <x:c r="K14" s="11" t="s">
        <x:v>26</x:v>
      </x:c>
      <x:c r="L14" s="12" t="str">
        <x:f xml:space="preserve">HYPERLINK("https://contrataciondelestado.es/wps/poc?uri=deeplink:detalle_licitacion&amp;idEvl=lnJkhk2GHSmcCF8sV%2BqtYA%3D%3D","contrataciondelestado.es/wps/poc?uri=deeplink:detalle_licitacion&amp;idEvl=lnJkhk2GHSmcCF8sV%2BqtYA%3D%3D")</x:f>
        <x:v>contrataciondelestado.es/wps/poc?uri=deeplink:detalle_licitacion&amp;idEvl=lnJkhk2GHSmcCF8sV%2BqtYA%3D%3D</x:v>
      </x:c>
      <x:c r="M14" s="11" t="s">
        <x:v>27</x:v>
      </x:c>
      <x:c r="N14" s="13" t="s">
        <x:v>21</x:v>
      </x:c>
      <x:c r="O14" s="11" t="s">
        <x:v>109</x:v>
      </x:c>
      <x:c r="P14" s="11" t="s">
        <x:v>30</x:v>
      </x:c>
      <x:c r="Q14" s="14" t="str">
        <x:f xml:space="preserve">HYPERLINK("https://www.infonalia.es/licitaciones0226/2026014031.pdf","www.infonalia.es/licitaciones0226/2026014031.pdf")</x:f>
        <x:v>www.infonalia.es/licitaciones0226/2026014031.pdf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