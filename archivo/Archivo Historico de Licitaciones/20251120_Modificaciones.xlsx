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<x:sst xmlns:x="http://schemas.openxmlformats.org/spreadsheetml/2006/main" count="6" uniqueCount="6">
  <x:si>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</x:si>
  <x:si>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</x:si>
  <x:si>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</x:si>
  <x:si>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</x:si>
  <x:si>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</x:si>
  <x:si>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</x:si>
  <x:si>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2025158728</x:t>
  </x:si>
  <x:si>
    <x:t>Corrección de errores</x:t>
  </x:si>
  <x:si>
    <x:t>MINISTERIO DE HACIENDA. DIRECCIÓN DEL SERVICIO DE GESTIÓN ECONÓMICA DE LA AGENCIA ESTATAL DE LA ADMINISTRACIÓN TRIBUTARIA</x:t>
  </x:si>
  <x:si>
    <x:t>Creatividad, diseño y producción de una campaña de publicidad de sensibilización sobre la necesidad de cumplir con las obligaciones fiscales y asistencia a la ciudadanía en el cumplimiento de sus obligaciones fiscales.</x:t>
  </x:si>
  <x:si>
    <x:t>2025162619</x:t>
  </x:si>
  <x:si>
    <x:t>Aclaración / Ampliación de pliegos</x:t>
  </x:si>
  <x:si>
    <x:t>AGENCIA DE CONTRATACIÓN SANITARIA DE LA COMUNIDAD DE MADRID</x:t>
  </x:si>
  <x:si>
    <x:t>El objeto del presente contrato es proporcionar un servicio de apoyo a la gestión de pruebas selectivas para acceso a la condición de personal estatutario fijo, que comprende la maquetación y edición de hojas de respuesta múltiple y cuestionarios de examen, servicio de consulta on line para información de los lugares de examen, procesamiento y corrección de las hojas de respuesta y emisión de listados de calificación, distribución y recogida de cuadernillos y hojas de respuesta, con el alcance y contenido que se detalla en el presente pliego y en los pliegos de prescripciones técnicas.</x:t>
  </x:si>
  <x:si>
    <x:t>2025162959</x:t>
  </x:si>
  <x:si>
    <x:t>CONSEJO DE ADMINISTRACIÓN DE ICEX ESPAÑA EXPORTACIÓN E INVERSIONES, E.P.E</x:t>
  </x:si>
  <x:si>
    <x:t>Servicios para la realización y producción de tres fashion films (dividido en 3 lotes). Lote 1: Producción del fashion film 2: audiovisual y moda. Lote 2: Producción del fashion film 2: audiovisual y música. Lote 3: Producción del fashion film 3: audiovisual y hábitat.</x:t>
  </x:si>
  <x:si>
    <x:t>2025163052</x:t>
  </x:si>
  <x:si>
    <x:t>Contratación de servicios de comunicación y relaciones públicas para la realización de una campaña de branded content.</x:t>
  </x:si>
  <x:si>
    <x:t>2025165043</x:t>
  </x:si>
  <x:si>
    <x:t>AENA. DIRECCIÓN DE CONTRATACIÓN</x:t>
  </x:si>
  <x:si>
    <x:t>Servicios de A.T. y arquitectónica para el desarrollo del diseño y proyectos de ejecución de salas vip, plazas comerciales y fast lane/fast track en Aena</x:t>
  </x:si>
  <x:si>
    <x:t>2025165045</x:t>
  </x:si>
  <x:si>
    <x:t>AENA. PRESIDENCIA. CONSEJERO DELEGADO</x:t>
  </x:si>
  <x:si>
    <x:t>A.T. redacción de proyectos de obra civil en varios Aeropuertos - Fase VII. Lote - 1 Aptos Zonas
Norte, Este y Baleares. Lote - 2 Aptos Zonas Centro, Sur y Canarias. 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</x:si>
</x:sst>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HYPERLINK("https://www.infonalia.es/modificaciones1125/2025158728.pdf","www.infonalia.es/modificaciones1125/2025158728.pdf")</x:f>
        <x:v>www.infonalia.es/modificaciones1125/2025158728.pdf</x:v>
      </x:c>
      <x:c r="F2" s="5" t="str">
        <x:f xml:space="preserve">HYPERLINK("https://www.infonalia.es/licitaciones1125/2025158728.pdf","www.infonalia.es/licitaciones1125/2025158728.pdf")</x:f>
        <x:v>www.infonalia.es/licitaciones1125/2025158728.pdf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HYPERLINK("https://www.infonalia.es/modificaciones1125/2025162619.pdf","www.infonalia.es/modificaciones1125/2025162619.pdf")</x:f>
        <x:v>www.infonalia.es/modificaciones1125/2025162619.pdf</x:v>
      </x:c>
      <x:c r="F3" s="5" t="str">
        <x:f xml:space="preserve">HYPERLINK("https://www.infonalia.es/licitaciones1125/2025162619.pdf","www.infonalia.es/licitaciones1125/2025162619.pdf")</x:f>
        <x:v>www.infonalia.es/licitaciones1125/2025162619.pdf</x:v>
      </x:c>
    </x:row>
    <x:row r="4">
      <x:c r="A4" s="3" t="s">
        <x:v>14</x:v>
      </x:c>
      <x:c r="B4" s="4" t="s">
        <x:v>7</x:v>
      </x:c>
      <x:c r="C4" s="4" t="s">
        <x:v>15</x:v>
      </x:c>
      <x:c r="D4" s="4" t="s">
        <x:v>16</x:v>
      </x:c>
      <x:c r="E4" s="5" t="str">
        <x:f xml:space="preserve">HYPERLINK("https://www.infonalia.es/modificaciones1125/2025162959.pdf","www.infonalia.es/modificaciones1125/2025162959.pdf")</x:f>
        <x:v>www.infonalia.es/modificaciones1125/2025162959.pdf</x:v>
      </x:c>
      <x:c r="F4" s="5" t="str">
        <x:f xml:space="preserve">HYPERLINK("https://www.infonalia.es/licitaciones1125/2025162959.pdf","www.infonalia.es/licitaciones1125/2025162959.pdf")</x:f>
        <x:v>www.infonalia.es/licitaciones1125/2025162959.pdf</x:v>
      </x:c>
    </x:row>
    <x:row r="5">
      <x:c r="A5" s="3" t="s">
        <x:v>17</x:v>
      </x:c>
      <x:c r="B5" s="4" t="s">
        <x:v>7</x:v>
      </x:c>
      <x:c r="C5" s="4" t="s">
        <x:v>15</x:v>
      </x:c>
      <x:c r="D5" s="4" t="s">
        <x:v>18</x:v>
      </x:c>
      <x:c r="E5" s="5" t="str">
        <x:f xml:space="preserve">HYPERLINK("https://www.infonalia.es/modificaciones1125/2025163052.pdf","www.infonalia.es/modificaciones1125/2025163052.pdf")</x:f>
        <x:v>www.infonalia.es/modificaciones1125/2025163052.pdf</x:v>
      </x:c>
      <x:c r="F5" s="5" t="str">
        <x:f xml:space="preserve">HYPERLINK("https://www.infonalia.es/licitaciones1125/2025163052.pdf","www.infonalia.es/licitaciones1125/2025163052.pdf")</x:f>
        <x:v>www.infonalia.es/licitaciones1125/2025163052.pdf</x:v>
      </x:c>
    </x:row>
    <x:row r="6">
      <x:c r="A6" s="3" t="s">
        <x:v>19</x:v>
      </x:c>
      <x:c r="B6" s="4" t="s">
        <x:v>11</x:v>
      </x:c>
      <x:c r="C6" s="4" t="s">
        <x:v>20</x:v>
      </x:c>
      <x:c r="D6" s="4" t="s">
        <x:v>21</x:v>
      </x:c>
      <x:c r="E6" s="5" t="str">
        <x:f xml:space="preserve">HYPERLINK("https://www.infonalia.es/modificaciones1125/2025165043.pdf","www.infonalia.es/modificaciones1125/2025165043.pdf")</x:f>
        <x:v>www.infonalia.es/modificaciones1125/2025165043.pdf</x:v>
      </x:c>
      <x:c r="F6" s="5" t="str">
        <x:f xml:space="preserve">HYPERLINK("https://www.infonalia.es/licitaciones1125/2025165043.pdf","www.infonalia.es/licitaciones1125/2025165043.pdf")</x:f>
        <x:v>www.infonalia.es/licitaciones1125/2025165043.pdf</x:v>
      </x:c>
    </x:row>
    <x:row r="7">
      <x:c r="A7" s="3" t="s">
        <x:v>22</x:v>
      </x:c>
      <x:c r="B7" s="4" t="s">
        <x:v>11</x:v>
      </x:c>
      <x:c r="C7" s="4" t="s">
        <x:v>23</x:v>
      </x:c>
      <x:c r="D7" s="4" t="s">
        <x:v>24</x:v>
      </x:c>
      <x:c r="E7" s="5" t="str">
        <x:f xml:space="preserve">HYPERLINK("https://www.infonalia.es/modificaciones1125/2025165045.pdf","www.infonalia.es/modificaciones1125/2025165045.pdf")</x:f>
        <x:v>www.infonalia.es/modificaciones1125/2025165045.pdf</x:v>
      </x:c>
      <x:c r="F7" s="5" t="str">
        <x:f xml:space="preserve">HYPERLINK("https://www.infonalia.es/licitaciones1125/2025165045.pdf","www.infonalia.es/licitaciones1125/2025165045.pdf")</x:f>
        <x:v>www.infonalia.es/licitaciones1125/2025165045.pdf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