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<x:sst xmlns:x="http://schemas.openxmlformats.org/spreadsheetml/2006/main" count="6" uniqueCount="6">
  <x:si>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</x:si>
  <x:si>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</x:si>
  <x:si>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</x:si>
  <x:si>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</x:si>
  <x:si>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</x:si>
  <x:si>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</x:si>
  <x:si>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2026004446</x:t>
  </x:si>
  <x:si>
    <x:t>Aclaración / Ampliación de pliegos</x:t>
  </x:si>
  <x:si>
    <x:t>AYUNTAMIENTO DE TARRAGONA</x:t>
  </x:si>
  <x:si>
    <x:t>Implica la elaboración y gestión del proyecto de Mediación y desarrollar la coordinación de la producción artística y la planificación y coordinación de las acciones de comunicación. Lote 1 Elaborar y desarrollar el Plan Director y Proyecto Expositivo de Mèdol, Centro de Artes Contemporáneas, lote 2 Mediación y coordinación de la producción artística y de la comunicación: Implica la elaboración y gestión del proyecto de Mediación y desarrollar la coordinación de la producción artística y la planificación y coordinación de las acciones de comunicación.</x:t>
  </x:si>
  <x:si>
    <x:t>2026007420</x:t>
  </x:si>
  <x:si>
    <x:t>FUNDACIÓ PRIVADA INSTITUT DE RECERCA DE L'HOSPITAL DE LA SANTA CREU I SANT PAU</x:t>
  </x:si>
  <x:si>
    <x:t>El objeto del presente contrato consiste en la contratación de los “Servicios de diseño y creación web de la memoria anual de 2025 para la Fundación Instituto de Investigación del Hospital de Santa Cruz y San Pablo en versión web y papel”</x:t>
  </x:si>
  <x:si>
    <x:t>2026007888</x:t>
  </x:si>
  <x:si>
    <x:t>Corrección de errores</x:t>
  </x:si>
  <x:si>
    <x:t>SECRETARÍA GENERAL DE LA FUNDACIÓN INTERNACIONAL Y PARA IBEROAMÉRICA DE ADMINISTRACIÓN POLÍTICAS PÚBLICAS</x:t>
  </x:si>
  <x:si>
    <x:t>Establecimiento de Acuerdo Marco para la contratación de los servicios de apoyo en 1) enfoque de Manejo Integral del Fuego (MIF) y 2) Restauración, protección y uso sostenible de los bosques para las acciones desarrolladas en el marco del programa Amazonía. Lote 1 Servicios de apoyo en enfoque Manejo Integral del Fuego. Lote 2 Servicios de apoyo en bioeconomía y producción sostenible.</x:t>
  </x:si>
  <x:si>
    <x:t>2026013538</x:t>
  </x:si>
  <x:si>
    <x:t>INSTITUTO DE TURISMO DE ESPAÑA (TURESPAÑA)</x:t>
  </x:si>
  <x:si>
    <x:t>1. La prestación del servicio de organización y gestión de eventos virtuales 2. La puesta en marcha, mantenimiento y gestión de una app que sirva de apoyo al desarrollo de eventos presenciales de Turespaña en los términos establecidos en el pliego de prescripciones técnicas</x:t>
  </x:si>
  <x:si>
    <x:t>2026014031</x:t>
  </x:si>
  <x:si>
    <x:t>CONCEJAL DE CONTRATACIÓN DEL AYUNTAMIENTO DE TORREJÓN DE ARDOZ (MADRID)</x:t>
  </x:si>
  <x:si>
    <x:t>Sesión de cine dentro del programa Jueves de cine 2026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</x:si>
</x:sst>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HYPERLINK("https://www.infonalia.es/modificaciones0226/2026004446.pdf","www.infonalia.es/modificaciones0226/2026004446.pdf")</x:f>
        <x:v>www.infonalia.es/modificaciones0226/2026004446.pdf</x:v>
      </x:c>
      <x:c r="F2" s="5" t="str">
        <x:f xml:space="preserve">HYPERLINK("https://www.infonalia.es/licitaciones0126/2026004446.pdf","www.infonalia.es/licitaciones0126/2026004446.pdf")</x:f>
        <x:v>www.infonalia.es/licitaciones0126/2026004446.pdf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HYPERLINK("https://www.infonalia.es/modificaciones0226/2026007420.pdf","www.infonalia.es/modificaciones0226/2026007420.pdf")</x:f>
        <x:v>www.infonalia.es/modificaciones0226/2026007420.pdf</x:v>
      </x:c>
      <x:c r="F3" s="5" t="str">
        <x:f xml:space="preserve">HYPERLINK("https://www.infonalia.es/licitaciones0126/2026007420.pdf","www.infonalia.es/licitaciones0126/2026007420.pdf")</x:f>
        <x:v>www.infonalia.es/licitaciones0126/2026007420.pdf</x:v>
      </x:c>
    </x:row>
    <x:row r="4">
      <x:c r="A4" s="3" t="s">
        <x:v>13</x:v>
      </x:c>
      <x:c r="B4" s="4" t="s">
        <x:v>14</x:v>
      </x:c>
      <x:c r="C4" s="4" t="s">
        <x:v>15</x:v>
      </x:c>
      <x:c r="D4" s="4" t="s">
        <x:v>16</x:v>
      </x:c>
      <x:c r="E4" s="5" t="str">
        <x:f xml:space="preserve">HYPERLINK("https://www.infonalia.es/modificaciones0226/2026007888.pdf","www.infonalia.es/modificaciones0226/2026007888.pdf")</x:f>
        <x:v>www.infonalia.es/modificaciones0226/2026007888.pdf</x:v>
      </x:c>
      <x:c r="F4" s="5" t="str">
        <x:f xml:space="preserve">HYPERLINK("https://www.infonalia.es/licitaciones0126/2026007888.pdf","www.infonalia.es/licitaciones0126/2026007888.pdf")</x:f>
        <x:v>www.infonalia.es/licitaciones0126/2026007888.pdf</x:v>
      </x:c>
    </x:row>
    <x:row r="5">
      <x:c r="A5" s="3" t="s">
        <x:v>17</x:v>
      </x:c>
      <x:c r="B5" s="4" t="s">
        <x:v>7</x:v>
      </x:c>
      <x:c r="C5" s="4" t="s">
        <x:v>18</x:v>
      </x:c>
      <x:c r="D5" s="4" t="s">
        <x:v>19</x:v>
      </x:c>
      <x:c r="E5" s="5" t="str">
        <x:f xml:space="preserve">HYPERLINK("https://www.infonalia.es/modificaciones0226/2026013538.pdf","www.infonalia.es/modificaciones0226/2026013538.pdf")</x:f>
        <x:v>www.infonalia.es/modificaciones0226/2026013538.pdf</x:v>
      </x:c>
      <x:c r="F5" s="5" t="str">
        <x:f xml:space="preserve">HYPERLINK("https://www.infonalia.es/licitaciones0226/2026013538.pdf","www.infonalia.es/licitaciones0226/2026013538.pdf")</x:f>
        <x:v>www.infonalia.es/licitaciones0226/2026013538.pdf</x:v>
      </x:c>
    </x:row>
    <x:row r="6">
      <x:c r="A6" s="3" t="s">
        <x:v>20</x:v>
      </x:c>
      <x:c r="B6" s="4" t="s">
        <x:v>14</x:v>
      </x:c>
      <x:c r="C6" s="4" t="s">
        <x:v>21</x:v>
      </x:c>
      <x:c r="D6" s="4" t="s">
        <x:v>22</x:v>
      </x:c>
      <x:c r="E6" s="5" t="str">
        <x:f xml:space="preserve">HYPERLINK("https://www.infonalia.es/modificaciones0226/2026014031.pdf","www.infonalia.es/modificaciones0226/2026014031.pdf")</x:f>
        <x:v>www.infonalia.es/modificaciones0226/2026014031.pdf</x:v>
      </x:c>
      <x:c r="F6" s="5" t="str">
        <x:f xml:space="preserve">HYPERLINK("https://www.infonalia.es/licitaciones0226/2026014031.pdf","www.infonalia.es/licitaciones0226/2026014031.pdf")</x:f>
        <x:v>www.infonalia.es/licitaciones0226/2026014031.pdf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