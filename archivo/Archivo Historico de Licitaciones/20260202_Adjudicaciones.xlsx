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<x:sst xmlns:x="http://schemas.openxmlformats.org/spreadsheetml/2006/main" count="11" uniqueCount="11">
  <x:si>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</x:si>
  <x:si>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</x:si>
  <x:si>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</x:si>
  <x:si>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</x:si>
  <x:si>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</x:si>
  <x:si>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</x:si>
  <x:si>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</x:si>
  <x:si>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</x:si>
  <x:si>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</x:si>
  <x:si>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</x:si>
  <x:si>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</x:si>
  <x:si>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</x:si>
  <x:si>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AVUI NO CUINO ESPAI GASTRONOMIC SLU</x:t>
  </x:si>
  <x:si>
    <x:t>02/02/2026 0:00:00</x:t>
  </x:si>
  <x:si>
    <x:t>26014716</x:t>
  </x:si>
  <x:si>
    <x:t>AYUNTAMIENTO DE VILADECANS (BARCELONA)</x:t>
  </x:si>
  <x:si>
    <x:t>Servicio de gestión y organización general de la comida de la gente mayor de Viladecans para los años 2026 y 2027.</x:t>
  </x:si>
  <x:si>
    <x:t>ASS/AGI/Contractació/2025/80 -43/2025/CSERV</x:t>
  </x:si>
  <x:si>
    <x:t>Barcelona</x:t>
  </x:si>
  <x:si>
    <x:t>CHECKMATE SERVEIS ESTRATÈGICS, SL</x:t>
  </x:si>
  <x:si>
    <x:t>26014782</x:t>
  </x:si>
  <x:si>
    <x:t>BARCELONA D'INFRAESTRUCTURES MUNICIPALS SA</x:t>
  </x:si>
  <x:si>
    <x:t>El objeto del presente contrato comprende las labores de análisis, elaboración e implantación de los planes de información y movilidad alternativa, así como el diseño y seguimiento de la producción y la implantación de los elementos gráficos y señalética necesaria. El seguimiento y control de la implantación y la imagen de las obras, que incluirá las tareas de recogida de datos e imágenes “in situ” en la misma obra, la integración de estos datos en el sistema informático de BIMSA y la gestión de las acciones correctivas derivadas de este seguimiento y el asesoramiento en materia de comunicación de obras y estrategia comunicativa</x:t>
  </x:si>
  <x:si>
    <x:t>999.2025.050</x:t>
  </x:si>
  <x:si>
    <x:t>SEIDOR CONSULTING SL</x:t>
  </x:si>
  <x:si>
    <x:t>26014789</x:t>
  </x:si>
  <x:si>
    <x:t>INSTITUTO MUNICIPAL DE INFORMÁTICA DE BARCELONA</x:t>
  </x:si>
  <x:si>
    <x:t>Servicios de Comunicación Interna del Instituto Municipal de Informática de Barcelona con medidas de contratación pública sostenible.</x:t>
  </x:si>
  <x:si>
    <x:t>002_25000083</x:t>
  </x:si>
  <x:si>
    <x:t>GHESA INGENIERÍA Y TECNOLOGÍA, S.A</x:t>
  </x:si>
  <x:si>
    <x:t>26014838</x:t>
  </x:si>
  <x:si>
    <x:t>CONSEJERO DELEGADO DE INGENIERÍA DE SISTEMAS PARA LA DEFENSA DE ESPAÑA S.A., S.M.E. Y M.P</x:t>
  </x:si>
  <x:si>
    <x:t>Servicio de Apoyo a la Consultoría y Gestión de Comunicaciones en el ámbito Aeroportuario</x:t>
  </x:si>
  <x:si>
    <x:t>2025-01854</x:t>
  </x:si>
  <x:si>
    <x:t>Madrid</x:t>
  </x:si>
  <x:si>
    <x:t>LOTE 1 NOV25STUDIO SL.</x:t>
  </x:si>
  <x:si>
    <x:t>26015110</x:t>
  </x:si>
  <x:si>
    <x:t>ÀREA METROPOLITANA DE BARCELONA</x:t>
  </x:si>
  <x:si>
    <x:t>Servicio consistente en la creación de las piezas audiovisuales de la exposición 2026 de la Dirección de Servicios del Espacio Público del AMB. Lote 1: Audiovisual «Territorio AMB». Lote 2: Audiovisual «Passejades». Lote 3: Audiovisual «Making-of».</x:t>
  </x:si>
  <x:si>
    <x:t>902133/25</x:t>
  </x:si>
  <x:si>
    <x:t>Ver detalle de la adjudicación</x:t>
  </x:si>
  <x:si>
    <x:t>JCDECAUX ESPAÑA, S.L.U</x:t>
  </x:si>
  <x:si>
    <x:t>26015173</x:t>
  </x:si>
  <x:si>
    <x:t>PRESIDENCIA DEL ORGANISMO PÚBLICO PUERTOS DEL ESTADO</x:t>
  </x:si>
  <x:si>
    <x:t>Servicios de producción de materiales y vinilado de cinco marquesinas situadas en el centro de Madrid. Campaña de publicidad exterior</x:t>
  </x:si>
  <x:si>
    <x:t>E/058/25</x:t>
  </x:si>
  <x:si>
    <x:t>IFEMA</x:t>
  </x:si>
  <x:si>
    <x:t>26015202</x:t>
  </x:si>
  <x:si>
    <x:t>MINISTERIO DE TRABAJO Y ECONOMÍA SOCIAL. DIRECCIÓN GENERAL DEL SERVICIO PÚBLICO DE EMPLEO ESTATAL</x:t>
  </x:si>
  <x:si>
    <x:t>Servicio de contratación del alquiler del espacio, servicio de diseño y realización del stand del Servicio Público de Empleo Estatal en el salón AULA 2026, incluyendo los servicios necesarios para su puesta en marcha y funcionamiento</x:t>
  </x:si>
  <x:si>
    <x:t>PN 4/26</x:t>
  </x:si>
  <x:si>
    <x:t>MBRAND CONSULTING, SL</x:t>
  </x:si>
  <x:si>
    <x:t>26015261</x:t>
  </x:si>
  <x:si>
    <x:t>ÁREA DE GOBIERNO DE VICEALCALDÍA, PORTAVOZ, SEGURIDAD Y EMERGENCIAS DEL AYUNTAMIENTO DE MADRID</x:t>
  </x:si>
  <x:si>
    <x:t>Creación de logo conmemorativo de los 75.º años de anexión de El Pardo y Fuencarral a la Villa de Madrid</x:t>
  </x:si>
  <x:si>
    <x:t>145/2023/00612.1.27</x:t>
  </x:si>
  <x:si>
    <x:t>KHORA URBAN CONSULTING, S.L</x:t>
  </x:si>
  <x:si>
    <x:t>26015264</x:t>
  </x:si>
  <x:si>
    <x:t>JUNTA DE GOBIERNO LOCAL DEL AYUNTAMIENTO DE FUENLABRADA (MADRID)</x:t>
  </x:si>
  <x:si>
    <x:t>Contrato basado en el Acuerdo Marco exp. 2021/001414: acceso a la Segunda fase Premios a las Capitales Europeas del Pequeño Comercio 2026</x:t>
  </x:si>
  <x:si>
    <x:t>2025/BAS/001705</x:t>
  </x:si>
  <x:si>
    <x:t>DEUTSCHER FACHVERLAG GMBH</x:t>
  </x:si>
  <x:si>
    <x:t>26015278</x:t>
  </x:si>
  <x:si>
    <x:t>MADRID CULTURA Y TURISMO, S.A.U</x:t>
  </x:si>
  <x:si>
    <x:t>Patrocinio publicitario de European Foodservice Summit los días 16 y 17 de septiembre de 2026</x:t>
  </x:si>
  <x:si>
    <x:t>NSP011-2026</x:t>
  </x:si>
  <x:si>
    <x:t>INSTITUCION FERIAL DE MADRID</x:t>
  </x:si>
  <x:si>
    <x:t>26015294</x:t>
  </x:si>
  <x:si>
    <x:t>EMPRESA PÚBLICA PARA LA GESTIÓN DEL TURISMO Y EL DEPORTE DE ANDALUCÍA, S.A</x:t>
  </x:si>
  <x:si>
    <x:t>Espacio para la participación de Andalucía en la Feria Fitur 2026</x:t>
  </x:si>
  <x:si>
    <x:t>C2N07-06MC-0825-0212</x:t>
  </x:si>
  <x:si>
    <x:t>LOTE 1 SERVICIOS ILIMITADOS DEL PRINCIPADO SL </x:t>
  </x:si>
  <x:si>
    <x:t>26015370</x:t>
  </x:si>
  <x:si>
    <x:t>JUNTA DE GOBIERNO DEL AYUNTAMIENTO DE MIERES (ASTURIAS)</x:t>
  </x:si>
  <x:si>
    <x:t>Servicio de Eventos Ganaderos 2026. Lote 1: Concurso anual de ganado. Lote 2: Certamen del caballo de silla "Montaña Central"</x:t>
  </x:si>
  <x:si>
    <x:t>2025/13722</x:t>
  </x:si>
  <x:si>
    <x:t>Asturias</x:t>
  </x:si>
  <x:si>
    <x:t>Formalizado</x:t>
  </x:si>
  <x:si>
    <x:t>LOTE 1 BANNISTER GLOBAL SL</x:t>
  </x:si>
  <x:si>
    <x:t>26015411</x:t>
  </x:si>
  <x:si>
    <x:t>MINISTERIO DE ECONOMÍA, COMERCIO Y EMPRESA. SECRETARÍA GENERAL DE LA COMISIÓN NACIONAL DE LOS MERCADOS Y LA COMPETENCIA</x:t>
  </x:si>
  <x:si>
    <x:t>Servicios de diseño, maquetación y gestión de contenidos en redes sociales. Lote 1: Diseño creativo y producción de materiales gráficos y documentos institucionales. Lote 2: Servicio de gestión y generación de contenidos para redes sociales</x:t>
  </x:si>
  <x:si>
    <x:t>250215</x:t>
  </x:si>
  <x:si>
    <x:t>MIGUEL POVEDANO, S.L.</x:t>
  </x:si>
  <x:si>
    <x:t>26015469</x:t>
  </x:si>
  <x:si>
    <x:t>MESA DEL SENADO</x:t>
  </x:si>
  <x:si>
    <x:t>Servicios fotográficos para el Senado</x:t>
  </x:si>
  <x:si>
    <x:t>11/2025</x:t>
  </x:si>
  <x:si>
    <x:t>LOTE 1 NEDGIA</x:t>
  </x:si>
  <x:si>
    <x:t>26015472</x:t>
  </x:si>
  <x:si>
    <x:t>NATURGY ENERGY GROUP</x:t>
  </x:si>
  <x:si>
    <x:t>WS2824241502_Ampliación Agencia inserción medios Nedgia 2025. Lote 1: Arena Media Communications España, S.A.</x:t>
  </x:si>
  <x:si>
    <x:t>No consta</x:t>
  </x:si>
  <x:si>
    <x:t>------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</x:si>
</x:sst>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HYPERLINK("https://www.infonalia.es/adjudicaciones0226/26014716.pdf","www.infonalia.es/adjudicaciones0226/26014716.pdf")</x:f>
        <x:v>www.infonalia.es/adjudicaciones0226/26014716.pdf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n">
        <x:v>42000.00</x:v>
      </x:c>
      <x:c r="K2" s="9" t="n">
        <x:v>43092.00</x:v>
      </x:c>
    </x:row>
    <x:row r="3">
      <x:c r="A3" s="6" t="s">
        <x:v>11</x:v>
      </x:c>
      <x:c r="B3" s="6" t="s">
        <x:v>19</x:v>
      </x:c>
      <x:c r="C3" s="6" t="s">
        <x:v>13</x:v>
      </x:c>
      <x:c r="D3" s="7" t="str">
        <x:f xml:space="preserve">HYPERLINK("https://www.infonalia.es/adjudicaciones0226/26014782.pdf","www.infonalia.es/adjudicaciones0226/26014782.pdf")</x:f>
        <x:v>www.infonalia.es/adjudicaciones0226/26014782.pdf</x:v>
      </x:c>
      <x:c r="E3" s="8" t="s">
        <x:v>20</x:v>
      </x:c>
      <x:c r="F3" s="6" t="s">
        <x:v>21</x:v>
      </x:c>
      <x:c r="G3" s="6" t="s">
        <x:v>22</x:v>
      </x:c>
      <x:c r="H3" s="6" t="s">
        <x:v>23</x:v>
      </x:c>
      <x:c r="I3" s="6" t="s">
        <x:v>18</x:v>
      </x:c>
      <x:c r="J3" s="9" t="n">
        <x:v>259000.00</x:v>
      </x:c>
      <x:c r="K3" s="9" t="n">
        <x:v>270373.04</x:v>
      </x:c>
    </x:row>
    <x:row r="4">
      <x:c r="A4" s="6" t="s">
        <x:v>11</x:v>
      </x:c>
      <x:c r="B4" s="6" t="s">
        <x:v>24</x:v>
      </x:c>
      <x:c r="C4" s="6" t="s">
        <x:v>13</x:v>
      </x:c>
      <x:c r="D4" s="7" t="str">
        <x:f xml:space="preserve">HYPERLINK("https://www.infonalia.es/adjudicaciones0226/26014789.pdf","www.infonalia.es/adjudicaciones0226/26014789.pdf")</x:f>
        <x:v>www.infonalia.es/adjudicaciones0226/26014789.pdf</x:v>
      </x:c>
      <x:c r="E4" s="8" t="s">
        <x:v>25</x:v>
      </x:c>
      <x:c r="F4" s="6" t="s">
        <x:v>26</x:v>
      </x:c>
      <x:c r="G4" s="6" t="s">
        <x:v>27</x:v>
      </x:c>
      <x:c r="H4" s="6" t="s">
        <x:v>28</x:v>
      </x:c>
      <x:c r="I4" s="6" t="s">
        <x:v>18</x:v>
      </x:c>
      <x:c r="J4" s="9" t="n">
        <x:v>325041.40</x:v>
      </x:c>
      <x:c r="K4" s="9" t="n">
        <x:v>477616.48</x:v>
      </x:c>
    </x:row>
    <x:row r="5">
      <x:c r="A5" s="6" t="s">
        <x:v>11</x:v>
      </x:c>
      <x:c r="B5" s="6" t="s">
        <x:v>29</x:v>
      </x:c>
      <x:c r="C5" s="6" t="s">
        <x:v>13</x:v>
      </x:c>
      <x:c r="D5" s="7" t="str">
        <x:f xml:space="preserve">HYPERLINK("https://www.infonalia.es/adjudicaciones0226/26014838.pdf","www.infonalia.es/adjudicaciones0226/26014838.pdf")</x:f>
        <x:v>www.infonalia.es/adjudicaciones0226/26014838.pdf</x:v>
      </x:c>
      <x:c r="E5" s="8" t="s">
        <x:v>30</x:v>
      </x:c>
      <x:c r="F5" s="6" t="s">
        <x:v>31</x:v>
      </x:c>
      <x:c r="G5" s="6" t="s">
        <x:v>32</x:v>
      </x:c>
      <x:c r="H5" s="6" t="s">
        <x:v>33</x:v>
      </x:c>
      <x:c r="I5" s="6" t="s">
        <x:v>34</x:v>
      </x:c>
      <x:c r="J5" s="9" t="n">
        <x:v>219824.00</x:v>
      </x:c>
      <x:c r="K5" s="9" t="n">
        <x:v>219824.00</x:v>
      </x:c>
    </x:row>
    <x:row r="6">
      <x:c r="A6" s="6" t="s">
        <x:v>11</x:v>
      </x:c>
      <x:c r="B6" s="6" t="s">
        <x:v>35</x:v>
      </x:c>
      <x:c r="C6" s="6" t="s">
        <x:v>13</x:v>
      </x:c>
      <x:c r="D6" s="7" t="str">
        <x:f xml:space="preserve">HYPERLINK("https://www.infonalia.es/adjudicaciones0226/26015110.pdf","www.infonalia.es/adjudicaciones0226/26015110.pdf")</x:f>
        <x:v>www.infonalia.es/adjudicaciones0226/26015110.pdf</x:v>
      </x:c>
      <x:c r="E6" s="8" t="s">
        <x:v>36</x:v>
      </x:c>
      <x:c r="F6" s="6" t="s">
        <x:v>37</x:v>
      </x:c>
      <x:c r="G6" s="6" t="s">
        <x:v>38</x:v>
      </x:c>
      <x:c r="H6" s="6" t="s">
        <x:v>39</x:v>
      </x:c>
      <x:c r="I6" s="6" t="s">
        <x:v>18</x:v>
      </x:c>
      <x:c r="J6" s="9" t="s">
        <x:v>40</x:v>
      </x:c>
      <x:c r="K6" s="9" t="n">
        <x:v>129870.00</x:v>
      </x:c>
    </x:row>
    <x:row r="7">
      <x:c r="A7" s="6" t="s">
        <x:v>11</x:v>
      </x:c>
      <x:c r="B7" s="6" t="s">
        <x:v>41</x:v>
      </x:c>
      <x:c r="C7" s="6" t="s">
        <x:v>13</x:v>
      </x:c>
      <x:c r="D7" s="7" t="str">
        <x:f xml:space="preserve">HYPERLINK("https://www.infonalia.es/adjudicaciones0226/26015173.pdf","www.infonalia.es/adjudicaciones0226/26015173.pdf")</x:f>
        <x:v>www.infonalia.es/adjudicaciones0226/26015173.pdf</x:v>
      </x:c>
      <x:c r="E7" s="8" t="s">
        <x:v>42</x:v>
      </x:c>
      <x:c r="F7" s="6" t="s">
        <x:v>43</x:v>
      </x:c>
      <x:c r="G7" s="6" t="s">
        <x:v>44</x:v>
      </x:c>
      <x:c r="H7" s="6" t="s">
        <x:v>45</x:v>
      </x:c>
      <x:c r="I7" s="6" t="s">
        <x:v>34</x:v>
      </x:c>
      <x:c r="J7" s="9" t="n">
        <x:v>65064.00</x:v>
      </x:c>
      <x:c r="K7" s="9" t="n">
        <x:v>66200.00</x:v>
      </x:c>
    </x:row>
    <x:row r="8">
      <x:c r="A8" s="6" t="s">
        <x:v>11</x:v>
      </x:c>
      <x:c r="B8" s="6" t="s">
        <x:v>46</x:v>
      </x:c>
      <x:c r="C8" s="6" t="s">
        <x:v>13</x:v>
      </x:c>
      <x:c r="D8" s="7" t="str">
        <x:f xml:space="preserve">HYPERLINK("https://www.infonalia.es/adjudicaciones0226/26015202.pdf","www.infonalia.es/adjudicaciones0226/26015202.pdf")</x:f>
        <x:v>www.infonalia.es/adjudicaciones0226/26015202.pdf</x:v>
      </x:c>
      <x:c r="E8" s="8" t="s">
        <x:v>47</x:v>
      </x:c>
      <x:c r="F8" s="6" t="s">
        <x:v>48</x:v>
      </x:c>
      <x:c r="G8" s="6" t="s">
        <x:v>49</x:v>
      </x:c>
      <x:c r="H8" s="6" t="s">
        <x:v>50</x:v>
      </x:c>
      <x:c r="I8" s="6" t="s">
        <x:v>34</x:v>
      </x:c>
      <x:c r="J8" s="9" t="n">
        <x:v>0.00</x:v>
      </x:c>
      <x:c r="K8" s="9" t="n">
        <x:v>45454.55</x:v>
      </x:c>
    </x:row>
    <x:row r="9">
      <x:c r="A9" s="6" t="s">
        <x:v>11</x:v>
      </x:c>
      <x:c r="B9" s="6" t="s">
        <x:v>51</x:v>
      </x:c>
      <x:c r="C9" s="6" t="s">
        <x:v>13</x:v>
      </x:c>
      <x:c r="D9" s="7" t="str">
        <x:f xml:space="preserve">HYPERLINK("https://www.infonalia.es/adjudicaciones0226/26015261.pdf","www.infonalia.es/adjudicaciones0226/26015261.pdf")</x:f>
        <x:v>www.infonalia.es/adjudicaciones0226/26015261.pdf</x:v>
      </x:c>
      <x:c r="E9" s="8" t="s">
        <x:v>52</x:v>
      </x:c>
      <x:c r="F9" s="6" t="s">
        <x:v>53</x:v>
      </x:c>
      <x:c r="G9" s="6" t="s">
        <x:v>54</x:v>
      </x:c>
      <x:c r="H9" s="6" t="s">
        <x:v>55</x:v>
      </x:c>
      <x:c r="I9" s="6" t="s">
        <x:v>34</x:v>
      </x:c>
      <x:c r="J9" s="9" t="n">
        <x:v>1560.00</x:v>
      </x:c>
      <x:c r="K9" s="9" t="n">
        <x:v>1560.00</x:v>
      </x:c>
    </x:row>
    <x:row r="10">
      <x:c r="A10" s="6" t="s">
        <x:v>11</x:v>
      </x:c>
      <x:c r="B10" s="6" t="s">
        <x:v>56</x:v>
      </x:c>
      <x:c r="C10" s="6" t="s">
        <x:v>13</x:v>
      </x:c>
      <x:c r="D10" s="7" t="str">
        <x:f xml:space="preserve">HYPERLINK("https://www.infonalia.es/adjudicaciones0226/26015264.pdf","www.infonalia.es/adjudicaciones0226/26015264.pdf")</x:f>
        <x:v>www.infonalia.es/adjudicaciones0226/26015264.pdf</x:v>
      </x:c>
      <x:c r="E10" s="8" t="s">
        <x:v>57</x:v>
      </x:c>
      <x:c r="F10" s="6" t="s">
        <x:v>58</x:v>
      </x:c>
      <x:c r="G10" s="6" t="s">
        <x:v>59</x:v>
      </x:c>
      <x:c r="H10" s="6" t="s">
        <x:v>60</x:v>
      </x:c>
      <x:c r="I10" s="6" t="s">
        <x:v>34</x:v>
      </x:c>
      <x:c r="J10" s="9" t="n">
        <x:v>8646.90</x:v>
      </x:c>
      <x:c r="K10" s="9" t="n">
        <x:v>8646.90</x:v>
      </x:c>
    </x:row>
    <x:row r="11">
      <x:c r="A11" s="6" t="s">
        <x:v>11</x:v>
      </x:c>
      <x:c r="B11" s="6" t="s">
        <x:v>61</x:v>
      </x:c>
      <x:c r="C11" s="6" t="s">
        <x:v>13</x:v>
      </x:c>
      <x:c r="D11" s="7" t="str">
        <x:f xml:space="preserve">HYPERLINK("https://www.infonalia.es/adjudicaciones0226/26015278.pdf","www.infonalia.es/adjudicaciones0226/26015278.pdf")</x:f>
        <x:v>www.infonalia.es/adjudicaciones0226/26015278.pdf</x:v>
      </x:c>
      <x:c r="E11" s="8" t="s">
        <x:v>62</x:v>
      </x:c>
      <x:c r="F11" s="6" t="s">
        <x:v>63</x:v>
      </x:c>
      <x:c r="G11" s="6" t="s">
        <x:v>64</x:v>
      </x:c>
      <x:c r="H11" s="6" t="s">
        <x:v>65</x:v>
      </x:c>
      <x:c r="I11" s="6" t="s">
        <x:v>34</x:v>
      </x:c>
      <x:c r="J11" s="9" t="n">
        <x:v>30000.00</x:v>
      </x:c>
      <x:c r="K11" s="9" t="n">
        <x:v>30000.00</x:v>
      </x:c>
    </x:row>
    <x:row r="12">
      <x:c r="A12" s="6" t="s">
        <x:v>11</x:v>
      </x:c>
      <x:c r="B12" s="6" t="s">
        <x:v>66</x:v>
      </x:c>
      <x:c r="C12" s="6" t="s">
        <x:v>13</x:v>
      </x:c>
      <x:c r="D12" s="7" t="str">
        <x:f xml:space="preserve">HYPERLINK("https://www.infonalia.es/adjudicaciones0226/26015294.pdf","www.infonalia.es/adjudicaciones0226/26015294.pdf")</x:f>
        <x:v>www.infonalia.es/adjudicaciones0226/26015294.pdf</x:v>
      </x:c>
      <x:c r="E12" s="8" t="s">
        <x:v>67</x:v>
      </x:c>
      <x:c r="F12" s="6" t="s">
        <x:v>68</x:v>
      </x:c>
      <x:c r="G12" s="6" t="s">
        <x:v>69</x:v>
      </x:c>
      <x:c r="H12" s="6" t="s">
        <x:v>70</x:v>
      </x:c>
      <x:c r="I12" s="6" t="s">
        <x:v>34</x:v>
      </x:c>
      <x:c r="J12" s="9" t="n">
        <x:v>1544689.08</x:v>
      </x:c>
      <x:c r="K12" s="9" t="n">
        <x:v>1544689.08</x:v>
      </x:c>
    </x:row>
    <x:row r="13">
      <x:c r="A13" s="6" t="s">
        <x:v>11</x:v>
      </x:c>
      <x:c r="B13" s="6" t="s">
        <x:v>71</x:v>
      </x:c>
      <x:c r="C13" s="6" t="s">
        <x:v>13</x:v>
      </x:c>
      <x:c r="D13" s="7" t="str">
        <x:f xml:space="preserve">HYPERLINK("https://www.infonalia.es/adjudicaciones0226/26015370.pdf","www.infonalia.es/adjudicaciones0226/26015370.pdf")</x:f>
        <x:v>www.infonalia.es/adjudicaciones0226/26015370.pdf</x:v>
      </x:c>
      <x:c r="E13" s="8" t="s">
        <x:v>72</x:v>
      </x:c>
      <x:c r="F13" s="6" t="s">
        <x:v>73</x:v>
      </x:c>
      <x:c r="G13" s="6" t="s">
        <x:v>74</x:v>
      </x:c>
      <x:c r="H13" s="6" t="s">
        <x:v>75</x:v>
      </x:c>
      <x:c r="I13" s="6" t="s">
        <x:v>76</x:v>
      </x:c>
      <x:c r="J13" s="9" t="n">
        <x:v>15950.00</x:v>
      </x:c>
      <x:c r="K13" s="9" t="n">
        <x:v>16505.26</x:v>
      </x:c>
    </x:row>
    <x:row r="14">
      <x:c r="A14" s="6" t="s">
        <x:v>77</x:v>
      </x:c>
      <x:c r="B14" s="6" t="s">
        <x:v>78</x:v>
      </x:c>
      <x:c r="C14" s="6" t="s">
        <x:v>13</x:v>
      </x:c>
      <x:c r="D14" s="7" t="str">
        <x:f xml:space="preserve">HYPERLINK("https://www.infonalia.es/adjudicaciones0226/26015411.pdf","www.infonalia.es/adjudicaciones0226/26015411.pdf")</x:f>
        <x:v>www.infonalia.es/adjudicaciones0226/26015411.pdf</x:v>
      </x:c>
      <x:c r="E14" s="8" t="s">
        <x:v>79</x:v>
      </x:c>
      <x:c r="F14" s="6" t="s">
        <x:v>80</x:v>
      </x:c>
      <x:c r="G14" s="6" t="s">
        <x:v>81</x:v>
      </x:c>
      <x:c r="H14" s="6" t="s">
        <x:v>82</x:v>
      </x:c>
      <x:c r="I14" s="6" t="s">
        <x:v>34</x:v>
      </x:c>
      <x:c r="J14" s="9" t="n">
        <x:v>17640.00</x:v>
      </x:c>
      <x:c r="K14" s="9" t="n">
        <x:v>25000.00</x:v>
      </x:c>
    </x:row>
    <x:row r="15">
      <x:c r="A15" s="6" t="s">
        <x:v>11</x:v>
      </x:c>
      <x:c r="B15" s="6" t="s">
        <x:v>83</x:v>
      </x:c>
      <x:c r="C15" s="6" t="s">
        <x:v>13</x:v>
      </x:c>
      <x:c r="D15" s="7" t="str">
        <x:f xml:space="preserve">HYPERLINK("https://www.infonalia.es/adjudicaciones0226/26015469.pdf","www.infonalia.es/adjudicaciones0226/26015469.pdf")</x:f>
        <x:v>www.infonalia.es/adjudicaciones0226/26015469.pdf</x:v>
      </x:c>
      <x:c r="E15" s="8" t="s">
        <x:v>84</x:v>
      </x:c>
      <x:c r="F15" s="6" t="s">
        <x:v>85</x:v>
      </x:c>
      <x:c r="G15" s="6" t="s">
        <x:v>86</x:v>
      </x:c>
      <x:c r="H15" s="6" t="s">
        <x:v>87</x:v>
      </x:c>
      <x:c r="I15" s="6" t="s">
        <x:v>34</x:v>
      </x:c>
      <x:c r="J15" s="9" t="n">
        <x:v>81900.00</x:v>
      </x:c>
      <x:c r="K15" s="9" t="s">
        <x:v>40</x:v>
      </x:c>
    </x:row>
    <x:row r="16">
      <x:c r="A16" s="6" t="s">
        <x:v>11</x:v>
      </x:c>
      <x:c r="B16" s="6" t="s">
        <x:v>88</x:v>
      </x:c>
      <x:c r="C16" s="6" t="s">
        <x:v>13</x:v>
      </x:c>
      <x:c r="D16" s="7" t="str">
        <x:f xml:space="preserve">HYPERLINK("https://www.infonalia.es/adjudicaciones0226/26015472.pdf","www.infonalia.es/adjudicaciones0226/26015472.pdf")</x:f>
        <x:v>www.infonalia.es/adjudicaciones0226/26015472.pdf</x:v>
      </x:c>
      <x:c r="E16" s="8" t="s">
        <x:v>89</x:v>
      </x:c>
      <x:c r="F16" s="6" t="s">
        <x:v>90</x:v>
      </x:c>
      <x:c r="G16" s="6" t="s">
        <x:v>91</x:v>
      </x:c>
      <x:c r="H16" s="6" t="s">
        <x:v>92</x:v>
      </x:c>
      <x:c r="I16" s="6" t="s">
        <x:v>93</x:v>
      </x:c>
      <x:c r="J16" s="9" t="n">
        <x:v>1125000.00</x:v>
      </x:c>
      <x:c r="K16" s="9" t="s">
        <x:v>40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