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<x:sst xmlns:x="http://schemas.openxmlformats.org/spreadsheetml/2006/main" count="17" uniqueCount="17">
  <x:si>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</x:si>
  <x:si>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</x:si>
  <x:si>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</x:si>
  <x:si>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</x:si>
  <x:si>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</x:si>
  <x:si>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</x:si>
  <x:si>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</x:si>
  <x:si>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</x:si>
  <x:si>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</x:si>
  <x:si>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</x:si>
  <x:si>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</x:si>
  <x:si>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</x:si>
  <x:si>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</x:si>
  <x:si>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</x:si>
  <x:si>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</x:si>
  <x:si>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</x:si>
  <x:si>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</x:si>
  <x:si>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</x:si>
  <x:si>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</x:si>
  <x:si>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15/01/2026</x:t>
  </x:si>
  <x:si>
    <x:t>2025182790</x:t>
  </x:si>
  <x:si>
    <x:t>30/12/2025</x:t>
  </x:si>
  <x:si>
    <x:t>ALCALDÍA DEL AYUNTAMIENTO DE PÁJARA (LAS PALMAS)</x:t>
  </x:si>
  <x:si>
    <x:t>41/2025 ser.- Contrato servicios de compra de espacios en soportes publicitarios, para las acciones de comunicación de la Concejala de Turismo en FITUR y Madrid Fusión 2026</x:t>
  </x:si>
  <x:si>
    <x:t>GD/2025/CBNE1859300</x:t>
  </x:si>
  <x:si>
    <x:t>Importe sin impuestos</x:t>
  </x:si>
  <x:si>
    <x:t/>
  </x:si>
  <x:si>
    <x:t>-----</x:t>
  </x:si>
  <x:si>
    <x:t>29/12/2025</x:t>
  </x:si>
  <x:si>
    <x:t/>
  </x:si>
  <x:si>
    <x:t>Las Palmas</x:t>
  </x:si>
  <x:si>
    <x:t>19/01/2026</x:t>
  </x:si>
  <x:si>
    <x:t>2025182794</x:t>
  </x:si>
  <x:si>
    <x:t>DIRECCIÓN GENERAL DE PRODUCCIÓN AGROALIMENTARIA Y COOPERATIVAS DE LA JUNTA DE COMUNIDADES DE CASTILLA-LA MANCHA</x:t>
  </x:si>
  <x:si>
    <x:t>Contratación de servicios de diseño, construcción, montaje, desmontaje y servicios del stand regional de la Consejería de Agricultura, Ganadería y Desarrollo Rural en la feria "Salón Gourmets 2026"</x:t>
  </x:si>
  <x:si>
    <x:t>2025/017574</x:t>
  </x:si>
  <x:si>
    <x:t/>
  </x:si>
  <x:si>
    <x:t>Madrid</x:t>
  </x:si>
  <x:si>
    <x:t>13/01/2026</x:t>
  </x:si>
  <x:si>
    <x:t>2025182943</x:t>
  </x:si>
  <x:si>
    <x:t>MINISTERIO DE TRANSPORTES Y MOVILIDAD SOSTENIBLE. PRESIDENCIA DE LA AUTORIDAD PORTUARIA DE GIJÓN</x:t>
  </x:si>
  <x:si>
    <x:t>Asistencia técnica para la comunicación institucional de la Autoridad Portuaria de Gijón</x:t>
  </x:si>
  <x:si>
    <x:t>SJ-ASE-CTR-MAY-2025-0085</x:t>
  </x:si>
  <x:si>
    <x:t/>
  </x:si>
  <x:si>
    <x:t>Asturias</x:t>
  </x:si>
  <x:si>
    <x:t>Catalunya - Plataforma de Contratación</x:t>
  </x:si>
  <x:si>
    <x:t>14/01/2026</x:t>
  </x:si>
  <x:si>
    <x:t>2025183034</x:t>
  </x:si>
  <x:si>
    <x:t>CONSELL COMARCAL DE LA GARROTXA (GIRONA)</x:t>
  </x:si>
  <x:si>
    <x:t>Creación de la ruta del frijol de Santa Pau incluido dentro del proyecto "La Garrotxa soft &amp; smart county. Destino turístico sostenible e inteligente", cofinanciado a través de los Fondos Next Generation EU</x:t>
  </x:si>
  <x:si>
    <x:t>X2025000908</x:t>
  </x:si>
  <x:si>
    <x:t>IVA excluido</x:t>
  </x:si>
  <x:si>
    <x:t/>
  </x:si>
  <x:si>
    <x:t/>
  </x:si>
  <x:si>
    <x:t>Girona</x:t>
  </x:si>
  <x:si>
    <x:t>2025183124</x:t>
  </x:si>
  <x:si>
    <x:t>CONSEJERÍA DE PRESIDENCIA, RETO DEMOGRÁFICO, IGUALDAD Y TURISMO DEL PRINCIPADO DE ASTURIAS</x:t>
  </x:si>
  <x:si>
    <x:t>Implantación de la plataforma de destino del Principado de Asturias: hacia un turismo inteligente, innovador y sostenible en el ámbito del Plan de Recuperación, Transformación y Resiliencia financiado por la Unión Europea-NEXTGENERATION EU. Lote 1: Análisis, diseño e implantación técnica de la Plataforma Inteligente de Destino del Principado de Asturias. Lote 2: Oficina técnica: comunicación, formación y coordinación y supervisión.</x:t>
  </x:si>
  <x:si>
    <x:t>2025000845</x:t>
  </x:si>
  <x:si>
    <x:t/>
  </x:si>
  <x:si>
    <x:t>16/01/2026</x:t>
  </x:si>
  <x:si>
    <x:t>2025183140</x:t>
  </x:si>
  <x:si>
    <x:t>PRESIDENTE DEL INSTITUTO MUNICIPAL EMPLEO Y PROMOCIÓN ECONÓMICA DE ALCORCÓN (IMEPE)</x:t>
  </x:si>
  <x:si>
    <x:t>Organización y producción Feria de Formación, Empleo y Emprendimiento</x:t>
  </x:si>
  <x:si>
    <x:t>I_20_25/CBIS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</x:si>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</x:sst>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38425.43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HYPERLINK("https://contrataciondelestado.es/wps/poc?uri=deeplink:detalle_licitacion&amp;idEvl=F4EU3hHGRTpWhbmkna2nXQ%3D%3D","contrataciondelestado.es/wps/poc?uri=deeplink:detalle_licitacion&amp;idEvl=F4EU3hHGRTpWhbmkna2nXQ%3D%3D")</x:f>
        <x:v>contrataciondelestado.es/wps/poc?uri=deeplink:detalle_licitacion&amp;idEvl=F4EU3hHGRTpWhbmkna2nXQ%3D%3D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HYPERLINK("https://www.infonalia.es/licitaciones1225/2025182790.pdf","www.infonalia.es/licitaciones1225/2025182790.pdf")</x:f>
        <x:v>www.infonalia.es/licitaciones1225/2025182790.pdf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117069.00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HYPERLINK("https://contrataciondelestado.es/wps/poc?uri=deeplink:detalle_licitacion&amp;idEvl=aFj8gP6W8uZt5r0ngvMetA%3D%3D","contrataciondelestado.es/wps/poc?uri=deeplink:detalle_licitacion&amp;idEvl=aFj8gP6W8uZt5r0ngvMetA%3D%3D")</x:f>
        <x:v>contrataciondelestado.es/wps/poc?uri=deeplink:detalle_licitacion&amp;idEvl=aFj8gP6W8uZt5r0ngvMetA%3D%3D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HYPERLINK("https://www.infonalia.es/licitaciones1225/2025182794.pdf","www.infonalia.es/licitaciones1225/2025182794.pdf")</x:f>
        <x:v>www.infonalia.es/licitaciones1225/2025182794.pdf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87747.67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HYPERLINK("https://contrataciondelestado.es/wps/poc?uri=deeplink:detalle_licitacion&amp;idEvl=bJTnysVAgSs36J9Lctlsuw%3D%3D","contrataciondelestado.es/wps/poc?uri=deeplink:detalle_licitacion&amp;idEvl=bJTnysVAgSs36J9Lctlsuw%3D%3D")</x:f>
        <x:v>contrataciondelestado.es/wps/poc?uri=deeplink:detalle_licitacion&amp;idEvl=bJTnysVAgSs36J9Lctlsuw%3D%3D</x:v>
      </x:c>
      <x:c r="M4" s="11" t="s">
        <x:v>27</x:v>
      </x:c>
      <x:c r="N4" s="13" t="s">
        <x:v>28</x:v>
      </x:c>
      <x:c r="O4" s="11" t="s">
        <x:v>43</x:v>
      </x:c>
      <x:c r="P4" s="11" t="s">
        <x:v>44</x:v>
      </x:c>
      <x:c r="Q4" s="14" t="str">
        <x:f xml:space="preserve">HYPERLINK("https://www.infonalia.es/licitaciones1225/2025182943.pdf","www.infonalia.es/licitaciones1225/2025182943.pdf")</x:f>
        <x:v>www.infonalia.es/licitaciones1225/2025182943.pdf</x:v>
      </x:c>
    </x:row>
    <x:row r="5">
      <x:c r="A5" s="6" t="s">
        <x:v>17</x:v>
      </x:c>
      <x:c r="B5" s="6" t="s">
        <x:v>45</x:v>
      </x:c>
      <x:c r="C5" s="7" t="s">
        <x:v>46</x:v>
      </x:c>
      <x:c r="D5" s="8" t="s">
        <x:v>47</x:v>
      </x:c>
      <x:c r="E5" s="9" t="s">
        <x:v>21</x:v>
      </x:c>
      <x:c r="F5" s="6" t="s">
        <x:v>48</x:v>
      </x:c>
      <x:c r="G5" s="6" t="s">
        <x:v>49</x:v>
      </x:c>
      <x:c r="H5" s="6" t="s">
        <x:v>50</x:v>
      </x:c>
      <x:c r="I5" s="10" t="n">
        <x:v>7840.00</x:v>
      </x:c>
      <x:c r="J5" s="11" t="s">
        <x:v>51</x:v>
      </x:c>
      <x:c r="K5" s="11" t="s">
        <x:v>52</x:v>
      </x:c>
      <x:c r="L5" s="12" t="str">
        <x:f xml:space="preserve">HYPERLINK("https://contractaciopublica.cat/es/detall-publicacio/300645449","contractaciopublica.cat/es/detall-publicacio/300645449")</x:f>
        <x:v>contractaciopublica.cat/es/detall-publicacio/300645449</x:v>
      </x:c>
      <x:c r="M5" s="11" t="s">
        <x:v>27</x:v>
      </x:c>
      <x:c r="N5" s="13" t="s">
        <x:v>28</x:v>
      </x:c>
      <x:c r="O5" s="11" t="s">
        <x:v>53</x:v>
      </x:c>
      <x:c r="P5" s="11" t="s">
        <x:v>54</x:v>
      </x:c>
      <x:c r="Q5" s="14" t="str">
        <x:f xml:space="preserve">HYPERLINK("https://www.infonalia.es/licitaciones1225/2025183034.pdf","www.infonalia.es/licitaciones1225/2025183034.pdf")</x:f>
        <x:v>www.infonalia.es/licitaciones1225/2025183034.pdf</x:v>
      </x:c>
    </x:row>
    <x:row r="6">
      <x:c r="A6" s="6" t="s">
        <x:v>17</x:v>
      </x:c>
      <x:c r="B6" s="6" t="s">
        <x:v>18</x:v>
      </x:c>
      <x:c r="C6" s="7" t="s">
        <x:v>31</x:v>
      </x:c>
      <x:c r="D6" s="8" t="s">
        <x:v>55</x:v>
      </x:c>
      <x:c r="E6" s="9" t="s">
        <x:v>21</x:v>
      </x:c>
      <x:c r="F6" s="6" t="s">
        <x:v>56</x:v>
      </x:c>
      <x:c r="G6" s="6" t="s">
        <x:v>57</x:v>
      </x:c>
      <x:c r="H6" s="6" t="s">
        <x:v>58</x:v>
      </x:c>
      <x:c r="I6" s="10" t="n">
        <x:v>3848801.65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HYPERLINK("https://contrataciondelestado.es/wps/poc?uri=deeplink:detalle_licitacion&amp;idEvl=b95C2%2BwJOrWP%2Bo96UAV7cQ%3D%3D","contrataciondelestado.es/wps/poc?uri=deeplink:detalle_licitacion&amp;idEvl=b95C2%2BwJOrWP%2Bo96UAV7cQ%3D%3D")</x:f>
        <x:v>contrataciondelestado.es/wps/poc?uri=deeplink:detalle_licitacion&amp;idEvl=b95C2%2BwJOrWP%2Bo96UAV7cQ%3D%3D</x:v>
      </x:c>
      <x:c r="M6" s="11" t="s">
        <x:v>27</x:v>
      </x:c>
      <x:c r="N6" s="13" t="s">
        <x:v>21</x:v>
      </x:c>
      <x:c r="O6" s="11" t="s">
        <x:v>59</x:v>
      </x:c>
      <x:c r="P6" s="11" t="s">
        <x:v>44</x:v>
      </x:c>
      <x:c r="Q6" s="14" t="str">
        <x:f xml:space="preserve">HYPERLINK("https://www.infonalia.es/licitaciones1225/2025183124.pdf","www.infonalia.es/licitaciones1225/2025183124.pdf")</x:f>
        <x:v>www.infonalia.es/licitaciones1225/2025183124.pdf</x:v>
      </x:c>
    </x:row>
    <x:row r="7">
      <x:c r="A7" s="6" t="s">
        <x:v>17</x:v>
      </x:c>
      <x:c r="B7" s="6" t="s">
        <x:v>18</x:v>
      </x:c>
      <x:c r="C7" s="7" t="s">
        <x:v>60</x:v>
      </x:c>
      <x:c r="D7" s="8" t="s">
        <x:v>61</x:v>
      </x:c>
      <x:c r="E7" s="9" t="s">
        <x:v>21</x:v>
      </x:c>
      <x:c r="F7" s="6" t="s">
        <x:v>62</x:v>
      </x:c>
      <x:c r="G7" s="6" t="s">
        <x:v>63</x:v>
      </x:c>
      <x:c r="H7" s="6" t="s">
        <x:v>64</x:v>
      </x:c>
      <x:c r="I7" s="10" t="n">
        <x:v>24719.20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HYPERLINK("https://contrataciondelestado.es/wps/poc?uri=deeplink:detalle_licitacion&amp;idEvl=S8mykUSuXFgmMOlAXxDEjw%3D%3D","contrataciondelestado.es/wps/poc?uri=deeplink:detalle_licitacion&amp;idEvl=S8mykUSuXFgmMOlAXxDEjw%3D%3D")</x:f>
        <x:v>contrataciondelestado.es/wps/poc?uri=deeplink:detalle_licitacion&amp;idEvl=S8mykUSuXFgmMOlAXxDEjw%3D%3D</x:v>
      </x:c>
      <x:c r="M7" s="11" t="s">
        <x:v>27</x:v>
      </x:c>
      <x:c r="N7" s="13" t="s">
        <x:v>21</x:v>
      </x:c>
      <x:c r="O7" s="11" t="s">
        <x:v>65</x:v>
      </x:c>
      <x:c r="P7" s="11" t="s">
        <x:v>37</x:v>
      </x:c>
      <x:c r="Q7" s="14" t="str">
        <x:f xml:space="preserve">HYPERLINK("https://www.infonalia.es/licitaciones1225/2025183140.pdf","www.infonalia.es/licitaciones1225/2025183140.pdf")</x:f>
        <x:v>www.infonalia.es/licitaciones1225/2025183140.pdf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