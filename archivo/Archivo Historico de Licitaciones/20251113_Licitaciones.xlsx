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<x:sst xmlns:x="http://schemas.openxmlformats.org/spreadsheetml/2006/main" count="17" uniqueCount="17">
  <x:si>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</x:si>
  <x:si>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</x:si>
  <x:si>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</x:si>
  <x:si>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</x:si>
  <x:si>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</x:si>
  <x:si>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</x:si>
  <x:si>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</x:si>
  <x:si>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</x:si>
  <x:si>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</x:si>
  <x:si>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</x:si>
  <x:si>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</x:si>
  <x:si>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</x:si>
  <x:si>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</x:si>
  <x:si>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</x:si>
  <x:si>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</x:si>
  <x:si>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</x:si>
  <x:si>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</x:si>
  <x:si>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</x:si>
  <x:si>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</x:si>
  <x:si>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27/11/2025</x:t>
  </x:si>
  <x:si>
    <x:t>2025161175</x:t>
  </x:si>
  <x:si>
    <x:t>13/11/2025</x:t>
  </x:si>
  <x:si>
    <x:t>INSTITUTO DE CULTURA DE BARCELONA</x:t>
  </x:si>
  <x:si>
    <x:t>Servicio de dirección técnica para la organización, producción y ejecución del Festival Grec de Barcelona.</x:t>
  </x:si>
  <x:si>
    <x:t>006_25002026</x:t>
  </x:si>
  <x:si>
    <x:t>Importe sin impuestos</x:t>
  </x:si>
  <x:si>
    <x:t/>
  </x:si>
  <x:si>
    <x:t>-----</x:t>
  </x:si>
  <x:si>
    <x:t>12/11/2025</x:t>
  </x:si>
  <x:si>
    <x:t/>
  </x:si>
  <x:si>
    <x:t>Barcelona</x:t>
  </x:si>
  <x:si>
    <x:t>26/11/2025</x:t>
  </x:si>
  <x:si>
    <x:t>2025161205</x:t>
  </x:si>
  <x:si>
    <x:t>CONSEJO RECTOR DEL INSTITUTO MUNICIPAL DE TURISMO DE CÓRDOBA (IMTUR)</x:t>
  </x:si>
  <x:si>
    <x:t>Servicio de dinamización del stand de la ciudad de Córdoba en la edición de 2026 de la Feria Internacional de Turismo (FITUR).</x:t>
  </x:si>
  <x:si>
    <x:t>IMT CTO 025-2025</x:t>
  </x:si>
  <x:si>
    <x:t/>
  </x:si>
  <x:si>
    <x:t>Córdoba</x:t>
  </x:si>
  <x:si>
    <x:t>2025161307</x:t>
  </x:si>
  <x:si>
    <x:t>JUNTA DE GOBIERNO DEL AYUNTAMIENTO DE TORREJÓN DE ARDOZ (MADRID)</x:t>
  </x:si>
  <x:si>
    <x:t>Servicio de transporte con conductor y personal de gestión para Plataforma Mercatorrejón y Servicios Tecnológicos</x:t>
  </x:si>
  <x:si>
    <x:t>PA 3/2026</x:t>
  </x:si>
  <x:si>
    <x:t/>
  </x:si>
  <x:si>
    <x:t>Madrid</x:t>
  </x:si>
  <x:si>
    <x:t>01/12/2025</x:t>
  </x:si>
  <x:si>
    <x:t>2025161338</x:t>
  </x:si>
  <x:si>
    <x:t>BARCELONA ACTIVA SAU SPM</x:t>
  </x:si>
  <x:si>
    <x:t>Servicios de asistencia técnica para la conceptualización, diseño, producción y ejecución de los Congresos de Orientación Profesional.</x:t>
  </x:si>
  <x:si>
    <x:t>65-25</x:t>
  </x:si>
  <x:si>
    <x:t/>
  </x:si>
  <x:si>
    <x:t>28/11/2025</x:t>
  </x:si>
  <x:si>
    <x:t>2025161340</x:t>
  </x:si>
  <x:si>
    <x:t>CONSORCI DE TURISME DEL BAIX LLOBREGAT</x:t>
  </x:si>
  <x:si>
    <x:t>Licitación del contrato de servicios de diseño, maquetación, e impresión de los cupones con descuentos para familias del Consorcio de Turismo del Baix Llobregat.</x:t>
  </x:si>
  <x:si>
    <x:t>2025_152</x:t>
  </x:si>
  <x:si>
    <x:t/>
  </x:si>
  <x:si>
    <x:t>2025161441</x:t>
  </x:si>
  <x:si>
    <x:t>MINISTERIO DE EDUCACIÓN, FORMACIÓN PROFESIONAL Y DEPORTES. PRESIDENCIA DEL CONSEJO SUPERIOR DE DEPORTES</x:t>
  </x:si>
  <x:si>
    <x:t>Servicio de edición de cuatro números de la revista digital Mujer y Deporte, así como la edición, impresión, encuadernación y envío al Consejo Superior de Deportes, Federaciones deportivas y Centros de Alto Rendimiento del Anuario Mujer y Deporte</x:t>
  </x:si>
  <x:si>
    <x:t>2025hMA00194</x:t>
  </x:si>
  <x:si>
    <x:t/>
  </x:si>
  <x:si>
    <x:t>Ver pliegos</x:t>
  </x:si>
  <x:si>
    <x:t>Barcelona. Perfil del Contratante del Ayuntamiento</x:t>
  </x:si>
  <x:si>
    <x:t>18/11/2025</x:t>
  </x:si>
  <x:si>
    <x:t>2025161638</x:t>
  </x:si>
  <x:si>
    <x:t>Servicio de dossier de postpatrocinio de los festivales/eventos Cabalgata, Luz BCN, BCN 
Negra, danza metropolitana, noche de los museos, mundo libro, Grec Festival, La Mercè, BCN 
Dibuja, Festival 42, Encendido de Luz de Navidad, Festival de Navidad en Pl. Ca</x:t>
  </x:si>
  <x:si>
    <x:t>006_P2501568</x:t>
  </x:si>
  <x:si>
    <x:t/>
  </x:si>
  <x:si>
    <x:t>11/11/2025</x:t>
  </x:si>
  <x:si>
    <x:t/>
  </x:si>
  <x:si>
    <x:t>30/11/2025</x:t>
  </x:si>
  <x:si>
    <x:t>2025161839</x:t>
  </x:si>
  <x:si>
    <x:t>AYUNTAMIENTO DE MADRID. COORDINACIÓN GENERAL DE LA ALCALDÍA</x:t>
  </x:si>
  <x:si>
    <x:t>Servicios de apoyo al acto institucional de entrega de distinciones honoríficas con motivo de la festividad de San Isidro 2026.</x:t>
  </x:si>
  <x:si>
    <x:t>300/2025/03074</x:t>
  </x:si>
  <x:si>
    <x:t/>
  </x:si>
  <x:si>
    <x:t>15/12/2025</x:t>
  </x:si>
  <x:si>
    <x:t>2025161880</x:t>
  </x:si>
  <x:si>
    <x:t>SOCIEDAD PÚBLICA DE GESTIÓN Y PROMOCIÓN TURÍSTICA Y CULTURAL DEL PRINCIPADO DE ASTURIAS S.A.U</x:t>
  </x:si>
  <x:si>
    <x:t>Servicio de promoción turística, cultural y polo de actividad económica del Principado de Asturias a través de su conectividad aérea directa con los principales mercados europeos. Lote 1 - Conectividad aérea con Londres. Lote 2 - Conectividad aérea con París. Lote 3 - Conectividad aérea con Bruselas. Lote 4 - Conectividad aérea con Lisboa. Lote 5 - Conectividad aérea con Oporto. Lote 6 - Conectividad aérea con Roma. Lote 7 - Conectividad aérea con Milan. Lote 8 - Conectividad aérea con Venecia, Bolonia o Florencia. Lote 9 - Conectividad aérea con Dublin. Lote 10 - Conectividad aérea con Amsterdam. </x:t>
  </x:si>
  <x:si>
    <x:t>CM 94/25</x:t>
  </x:si>
  <x:si>
    <x:t/>
  </x:si>
  <x:si>
    <x:t>Asturias</x:t>
  </x:si>
  <x:si>
    <x:t>05/12/2025</x:t>
  </x:si>
  <x:si>
    <x:t>2025161906</x:t>
  </x:si>
  <x:si>
    <x:t>AYUNTAMIENTO DE MADRID. ÁREA DE GOBIERNO DE CULTURA, TURISMO Y DEPORTE</x:t>
  </x:si>
  <x:si>
    <x:t>Retransmisión en streaming, durante el fin de semana, de los encuentros disputados en los Juegos Deportivos Municipales, así como otros eventos deportivos municipales puntuales</x:t>
  </x:si>
  <x:si>
    <x:t>300/2025/01539</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</x:si>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</x:sst>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130012.90</x:v>
      </x:c>
      <x:c r="J2" s="11" t="s">
        <x:v>25</x:v>
      </x:c>
      <x:c r="K2" s="11" t="s">
        <x:v>26</x:v>
      </x:c>
      <x:c r="L2" s="12" t="str">
        <x:f xml:space="preserve">HYPERLINK("https://contractaciopublica.cat/ca/detall-publicacio/12aea821-9ca7-46f5-98c7-5f56a7aa7a17/300615094","contractaciopublica.cat/ca/detall-publicacio/12aea821-9ca7-46f5-98c7-5f56a7aa7a17/300615094")</x:f>
        <x:v>contractaciopublica.cat/ca/detall-publicacio/12aea821-9ca7-46f5-98c7-5f56a7aa7a17/300615094</x:v>
      </x:c>
      <x:c r="M2" s="11" t="s">
        <x:v>27</x:v>
      </x:c>
      <x:c r="N2" s="13" t="s">
        <x:v>28</x:v>
      </x:c>
      <x:c r="O2" s="11" t="s">
        <x:v>29</x:v>
      </x:c>
      <x:c r="P2" s="11" t="s">
        <x:v>30</x:v>
      </x:c>
      <x:c r="Q2" s="14" t="str">
        <x:f xml:space="preserve">HYPERLINK("https://www.infonalia.es/licitaciones1125/2025161175.pdf","www.infonalia.es/licitaciones1125/2025161175.pdf")</x:f>
        <x:v>www.infonalia.es/licitaciones1125/2025161175.pdf</x:v>
      </x:c>
    </x:row>
    <x:row r="3">
      <x:c r="A3" s="6" t="s">
        <x:v>17</x:v>
      </x:c>
      <x:c r="B3" s="6" t="s">
        <x:v>18</x:v>
      </x:c>
      <x:c r="C3" s="7" t="s">
        <x:v>31</x:v>
      </x:c>
      <x:c r="D3" s="8" t="s">
        <x:v>32</x:v>
      </x:c>
      <x:c r="E3" s="9" t="s">
        <x:v>21</x:v>
      </x:c>
      <x:c r="F3" s="6" t="s">
        <x:v>33</x:v>
      </x:c>
      <x:c r="G3" s="6" t="s">
        <x:v>34</x:v>
      </x:c>
      <x:c r="H3" s="6" t="s">
        <x:v>35</x:v>
      </x:c>
      <x:c r="I3" s="10" t="n">
        <x:v>30000.00</x:v>
      </x:c>
      <x:c r="J3" s="11" t="s">
        <x:v>25</x:v>
      </x:c>
      <x:c r="K3" s="11" t="s">
        <x:v>26</x:v>
      </x:c>
      <x:c r="L3" s="12" t="str">
        <x:f xml:space="preserve">HYPERLINK("https://contrataciondelestado.es/wps/poc?uri=deeplink:detalle_licitacion&amp;idEvl=agmo8BMq7JUeIBJRHQiPkQ%3D%3D","contrataciondelestado.es/wps/poc?uri=deeplink:detalle_licitacion&amp;idEvl=agmo8BMq7JUeIBJRHQiPkQ%3D%3D")</x:f>
        <x:v>contrataciondelestado.es/wps/poc?uri=deeplink:detalle_licitacion&amp;idEvl=agmo8BMq7JUeIBJRHQiPkQ%3D%3D</x:v>
      </x:c>
      <x:c r="M3" s="11" t="s">
        <x:v>27</x:v>
      </x:c>
      <x:c r="N3" s="13" t="s">
        <x:v>28</x:v>
      </x:c>
      <x:c r="O3" s="11" t="s">
        <x:v>36</x:v>
      </x:c>
      <x:c r="P3" s="11" t="s">
        <x:v>37</x:v>
      </x:c>
      <x:c r="Q3" s="14" t="str">
        <x:f xml:space="preserve">HYPERLINK("https://www.infonalia.es/licitaciones1125/2025161205.pdf","www.infonalia.es/licitaciones1125/2025161205.pdf")</x:f>
        <x:v>www.infonalia.es/licitaciones1125/2025161205.pdf</x:v>
      </x:c>
    </x:row>
    <x:row r="4">
      <x:c r="A4" s="6" t="s">
        <x:v>17</x:v>
      </x:c>
      <x:c r="B4" s="6" t="s">
        <x:v>18</x:v>
      </x:c>
      <x:c r="C4" s="7" t="s">
        <x:v>19</x:v>
      </x:c>
      <x:c r="D4" s="8" t="s">
        <x:v>38</x:v>
      </x:c>
      <x:c r="E4" s="9" t="s">
        <x:v>21</x:v>
      </x:c>
      <x:c r="F4" s="6" t="s">
        <x:v>39</x:v>
      </x:c>
      <x:c r="G4" s="6" t="s">
        <x:v>40</x:v>
      </x:c>
      <x:c r="H4" s="6" t="s">
        <x:v>41</x:v>
      </x:c>
      <x:c r="I4" s="10" t="n">
        <x:v>70000.00</x:v>
      </x:c>
      <x:c r="J4" s="11" t="s">
        <x:v>25</x:v>
      </x:c>
      <x:c r="K4" s="11" t="s">
        <x:v>26</x:v>
      </x:c>
      <x:c r="L4" s="12" t="str">
        <x:f xml:space="preserve">HYPERLINK("https://contrataciondelestado.es/wps/poc?uri=deeplink:detalle_licitacion&amp;idEvl=qZ%2BOG8qyoSCFlFRHfEzEaw%3D%3D","contrataciondelestado.es/wps/poc?uri=deeplink:detalle_licitacion&amp;idEvl=qZ%2BOG8qyoSCFlFRHfEzEaw%3D%3D")</x:f>
        <x:v>contrataciondelestado.es/wps/poc?uri=deeplink:detalle_licitacion&amp;idEvl=qZ%2BOG8qyoSCFlFRHfEzEaw%3D%3D</x:v>
      </x:c>
      <x:c r="M4" s="11" t="s">
        <x:v>27</x:v>
      </x:c>
      <x:c r="N4" s="13" t="s">
        <x:v>28</x:v>
      </x:c>
      <x:c r="O4" s="11" t="s">
        <x:v>42</x:v>
      </x:c>
      <x:c r="P4" s="11" t="s">
        <x:v>43</x:v>
      </x:c>
      <x:c r="Q4" s="14" t="str">
        <x:f xml:space="preserve">HYPERLINK("https://www.infonalia.es/licitaciones1125/2025161307.pdf","www.infonalia.es/licitaciones1125/2025161307.pdf")</x:f>
        <x:v>www.infonalia.es/licitaciones1125/2025161307.pdf</x:v>
      </x:c>
    </x:row>
    <x:row r="5">
      <x:c r="A5" s="6" t="s">
        <x:v>17</x:v>
      </x:c>
      <x:c r="B5" s="6" t="s">
        <x:v>18</x:v>
      </x:c>
      <x:c r="C5" s="7" t="s">
        <x:v>44</x:v>
      </x:c>
      <x:c r="D5" s="8" t="s">
        <x:v>45</x:v>
      </x:c>
      <x:c r="E5" s="9" t="s">
        <x:v>21</x:v>
      </x:c>
      <x:c r="F5" s="6" t="s">
        <x:v>46</x:v>
      </x:c>
      <x:c r="G5" s="6" t="s">
        <x:v>47</x:v>
      </x:c>
      <x:c r="H5" s="6" t="s">
        <x:v>48</x:v>
      </x:c>
      <x:c r="I5" s="10" t="n">
        <x:v>14872.90</x:v>
      </x:c>
      <x:c r="J5" s="11" t="s">
        <x:v>25</x:v>
      </x:c>
      <x:c r="K5" s="11" t="s">
        <x:v>26</x:v>
      </x:c>
      <x:c r="L5" s="12" t="str">
        <x:f xml:space="preserve">HYPERLINK("https://contractaciopublica.cat/ca/detall-publicacio/67bfc9f5-e481-4c56-abf2-eb209c8dadfc/300610299","contractaciopublica.cat/ca/detall-publicacio/67bfc9f5-e481-4c56-abf2-eb209c8dadfc/300610299")</x:f>
        <x:v>contractaciopublica.cat/ca/detall-publicacio/67bfc9f5-e481-4c56-abf2-eb209c8dadfc/300610299</x:v>
      </x:c>
      <x:c r="M5" s="11" t="s">
        <x:v>27</x:v>
      </x:c>
      <x:c r="N5" s="13" t="s">
        <x:v>28</x:v>
      </x:c>
      <x:c r="O5" s="11" t="s">
        <x:v>49</x:v>
      </x:c>
      <x:c r="P5" s="11" t="s">
        <x:v>30</x:v>
      </x:c>
      <x:c r="Q5" s="14" t="str">
        <x:f xml:space="preserve">HYPERLINK("https://www.infonalia.es/licitaciones1125/2025161338.pdf","www.infonalia.es/licitaciones1125/2025161338.pdf")</x:f>
        <x:v>www.infonalia.es/licitaciones1125/2025161338.pdf</x:v>
      </x:c>
    </x:row>
    <x:row r="6">
      <x:c r="A6" s="6" t="s">
        <x:v>17</x:v>
      </x:c>
      <x:c r="B6" s="6" t="s">
        <x:v>18</x:v>
      </x:c>
      <x:c r="C6" s="7" t="s">
        <x:v>50</x:v>
      </x:c>
      <x:c r="D6" s="8" t="s">
        <x:v>51</x:v>
      </x:c>
      <x:c r="E6" s="9" t="s">
        <x:v>21</x:v>
      </x:c>
      <x:c r="F6" s="6" t="s">
        <x:v>52</x:v>
      </x:c>
      <x:c r="G6" s="6" t="s">
        <x:v>53</x:v>
      </x:c>
      <x:c r="H6" s="6" t="s">
        <x:v>54</x:v>
      </x:c>
      <x:c r="I6" s="10" t="n">
        <x:v>10011.24</x:v>
      </x:c>
      <x:c r="J6" s="11" t="s">
        <x:v>25</x:v>
      </x:c>
      <x:c r="K6" s="11" t="s">
        <x:v>26</x:v>
      </x:c>
      <x:c r="L6" s="12" t="str">
        <x:f xml:space="preserve">HYPERLINK("https://contractaciopublica.cat/ca/detall-publicacio/086f54a5-9f91-442e-b491-f833dd424d9c/300606391","contractaciopublica.cat/ca/detall-publicacio/086f54a5-9f91-442e-b491-f833dd424d9c/300606391")</x:f>
        <x:v>contractaciopublica.cat/ca/detall-publicacio/086f54a5-9f91-442e-b491-f833dd424d9c/300606391</x:v>
      </x:c>
      <x:c r="M6" s="11" t="s">
        <x:v>27</x:v>
      </x:c>
      <x:c r="N6" s="13" t="s">
        <x:v>28</x:v>
      </x:c>
      <x:c r="O6" s="11" t="s">
        <x:v>55</x:v>
      </x:c>
      <x:c r="P6" s="11" t="s">
        <x:v>30</x:v>
      </x:c>
      <x:c r="Q6" s="14" t="str">
        <x:f xml:space="preserve">HYPERLINK("https://www.infonalia.es/licitaciones1125/2025161340.pdf","www.infonalia.es/licitaciones1125/2025161340.pdf")</x:f>
        <x:v>www.infonalia.es/licitaciones1125/2025161340.pdf</x:v>
      </x:c>
    </x:row>
    <x:row r="7">
      <x:c r="A7" s="6" t="s">
        <x:v>17</x:v>
      </x:c>
      <x:c r="B7" s="6" t="s">
        <x:v>18</x:v>
      </x:c>
      <x:c r="C7" s="7" t="s">
        <x:v>50</x:v>
      </x:c>
      <x:c r="D7" s="8" t="s">
        <x:v>56</x:v>
      </x:c>
      <x:c r="E7" s="9" t="s">
        <x:v>21</x:v>
      </x:c>
      <x:c r="F7" s="6" t="s">
        <x:v>57</x:v>
      </x:c>
      <x:c r="G7" s="6" t="s">
        <x:v>58</x:v>
      </x:c>
      <x:c r="H7" s="6" t="s">
        <x:v>59</x:v>
      </x:c>
      <x:c r="I7" s="10" t="n">
        <x:v>17620.00</x:v>
      </x:c>
      <x:c r="J7" s="11" t="s">
        <x:v>25</x:v>
      </x:c>
      <x:c r="K7" s="11" t="s">
        <x:v>26</x:v>
      </x:c>
      <x:c r="L7" s="12" t="str">
        <x:f xml:space="preserve">HYPERLINK("https://contrataciondelestado.es/wps/poc?uri=deeplink:detalle_licitacion&amp;idEvl=XFaylnErbaeHCIsjvJ3rhQ%3D%3D","contrataciondelestado.es/wps/poc?uri=deeplink:detalle_licitacion&amp;idEvl=XFaylnErbaeHCIsjvJ3rhQ%3D%3D")</x:f>
        <x:v>contrataciondelestado.es/wps/poc?uri=deeplink:detalle_licitacion&amp;idEvl=XFaylnErbaeHCIsjvJ3rhQ%3D%3D</x:v>
      </x:c>
      <x:c r="M7" s="11" t="s">
        <x:v>27</x:v>
      </x:c>
      <x:c r="N7" s="13" t="s">
        <x:v>28</x:v>
      </x:c>
      <x:c r="O7" s="11" t="s">
        <x:v>60</x:v>
      </x:c>
      <x:c r="P7" s="11" t="s">
        <x:v>61</x:v>
      </x:c>
      <x:c r="Q7" s="14" t="str">
        <x:f xml:space="preserve">HYPERLINK("https://www.infonalia.es/licitaciones1125/2025161441.pdf","www.infonalia.es/licitaciones1125/2025161441.pdf")</x:f>
        <x:v>www.infonalia.es/licitaciones1125/2025161441.pdf</x:v>
      </x:c>
    </x:row>
    <x:row r="8">
      <x:c r="A8" s="6" t="s">
        <x:v>17</x:v>
      </x:c>
      <x:c r="B8" s="6" t="s">
        <x:v>62</x:v>
      </x:c>
      <x:c r="C8" s="7" t="s">
        <x:v>63</x:v>
      </x:c>
      <x:c r="D8" s="8" t="s">
        <x:v>64</x:v>
      </x:c>
      <x:c r="E8" s="9" t="s">
        <x:v>21</x:v>
      </x:c>
      <x:c r="F8" s="6" t="s">
        <x:v>22</x:v>
      </x:c>
      <x:c r="G8" s="6" t="s">
        <x:v>65</x:v>
      </x:c>
      <x:c r="H8" s="6" t="s">
        <x:v>66</x:v>
      </x:c>
      <x:c r="I8" s="10" t="n">
        <x:v>14850.00</x:v>
      </x:c>
      <x:c r="J8" s="11" t="s">
        <x:v>25</x:v>
      </x:c>
      <x:c r="K8" s="11" t="s">
        <x:v>67</x:v>
      </x:c>
      <x:c r="L8" s="12" t="str">
        <x:f xml:space="preserve">HYPERLINK("https://licitacions.bcn.cat/licitacion/licitaciones/detalle?id=13597452","licitacions.bcn.cat/licitacion/licitaciones/detalle?id=13597452")</x:f>
        <x:v>licitacions.bcn.cat/licitacion/licitaciones/detalle?id=13597452</x:v>
      </x:c>
      <x:c r="M8" s="11" t="s">
        <x:v>27</x:v>
      </x:c>
      <x:c r="N8" s="13" t="s">
        <x:v>68</x:v>
      </x:c>
      <x:c r="O8" s="11" t="s">
        <x:v>69</x:v>
      </x:c>
      <x:c r="P8" s="11" t="s">
        <x:v>30</x:v>
      </x:c>
      <x:c r="Q8" s="14" t="str">
        <x:f xml:space="preserve">HYPERLINK("https://www.infonalia.es/licitaciones1125/2025161638.pdf","www.infonalia.es/licitaciones1125/2025161638.pdf")</x:f>
        <x:v>www.infonalia.es/licitaciones1125/2025161638.pdf</x:v>
      </x:c>
    </x:row>
    <x:row r="9">
      <x:c r="A9" s="6" t="s">
        <x:v>17</x:v>
      </x:c>
      <x:c r="B9" s="6" t="s">
        <x:v>18</x:v>
      </x:c>
      <x:c r="C9" s="7" t="s">
        <x:v>70</x:v>
      </x:c>
      <x:c r="D9" s="8" t="s">
        <x:v>71</x:v>
      </x:c>
      <x:c r="E9" s="9" t="s">
        <x:v>21</x:v>
      </x:c>
      <x:c r="F9" s="6" t="s">
        <x:v>72</x:v>
      </x:c>
      <x:c r="G9" s="6" t="s">
        <x:v>73</x:v>
      </x:c>
      <x:c r="H9" s="6" t="s">
        <x:v>74</x:v>
      </x:c>
      <x:c r="I9" s="10" t="n">
        <x:v>88644.72</x:v>
      </x:c>
      <x:c r="J9" s="11" t="s">
        <x:v>25</x:v>
      </x:c>
      <x:c r="K9" s="11" t="s">
        <x:v>26</x:v>
      </x:c>
      <x:c r="L9" s="12" t="str">
        <x:f xml:space="preserve">HYPERLINK("https://contrataciondelestado.es/wps/poc?uri=deeplink:detalle_licitacion&amp;idEvl=VMNzkOU2qnzs%2BnLj3vAg5A%3D%3D","contrataciondelestado.es/wps/poc?uri=deeplink:detalle_licitacion&amp;idEvl=VMNzkOU2qnzs%2BnLj3vAg5A%3D%3D")</x:f>
        <x:v>contrataciondelestado.es/wps/poc?uri=deeplink:detalle_licitacion&amp;idEvl=VMNzkOU2qnzs%2BnLj3vAg5A%3D%3D</x:v>
      </x:c>
      <x:c r="M9" s="11" t="s">
        <x:v>27</x:v>
      </x:c>
      <x:c r="N9" s="13" t="s">
        <x:v>21</x:v>
      </x:c>
      <x:c r="O9" s="11" t="s">
        <x:v>75</x:v>
      </x:c>
      <x:c r="P9" s="11" t="s">
        <x:v>43</x:v>
      </x:c>
      <x:c r="Q9" s="14" t="str">
        <x:f xml:space="preserve">HYPERLINK("https://www.infonalia.es/licitaciones1125/2025161839.pdf","www.infonalia.es/licitaciones1125/2025161839.pdf")</x:f>
        <x:v>www.infonalia.es/licitaciones1125/2025161839.pdf</x:v>
      </x:c>
    </x:row>
    <x:row r="10">
      <x:c r="A10" s="6" t="s">
        <x:v>17</x:v>
      </x:c>
      <x:c r="B10" s="6" t="s">
        <x:v>18</x:v>
      </x:c>
      <x:c r="C10" s="7" t="s">
        <x:v>76</x:v>
      </x:c>
      <x:c r="D10" s="8" t="s">
        <x:v>77</x:v>
      </x:c>
      <x:c r="E10" s="9" t="s">
        <x:v>21</x:v>
      </x:c>
      <x:c r="F10" s="6" t="s">
        <x:v>78</x:v>
      </x:c>
      <x:c r="G10" s="6" t="s">
        <x:v>79</x:v>
      </x:c>
      <x:c r="H10" s="6" t="s">
        <x:v>80</x:v>
      </x:c>
      <x:c r="I10" s="10" t="n">
        <x:v>5050000.00</x:v>
      </x:c>
      <x:c r="J10" s="11" t="s">
        <x:v>25</x:v>
      </x:c>
      <x:c r="K10" s="11" t="s">
        <x:v>26</x:v>
      </x:c>
      <x:c r="L10" s="12" t="str">
        <x:f xml:space="preserve">HYPERLINK("https://contrataciondelestado.es/wps/poc?uri=deeplink:detalle_licitacion&amp;idEvl=Y2o6Gmekafezz8fXU2i3eQ%3D%3D","contrataciondelestado.es/wps/poc?uri=deeplink:detalle_licitacion&amp;idEvl=Y2o6Gmekafezz8fXU2i3eQ%3D%3D")</x:f>
        <x:v>contrataciondelestado.es/wps/poc?uri=deeplink:detalle_licitacion&amp;idEvl=Y2o6Gmekafezz8fXU2i3eQ%3D%3D</x:v>
      </x:c>
      <x:c r="M10" s="11" t="s">
        <x:v>27</x:v>
      </x:c>
      <x:c r="N10" s="13" t="s">
        <x:v>21</x:v>
      </x:c>
      <x:c r="O10" s="11" t="s">
        <x:v>81</x:v>
      </x:c>
      <x:c r="P10" s="11" t="s">
        <x:v>82</x:v>
      </x:c>
      <x:c r="Q10" s="14" t="str">
        <x:f xml:space="preserve">HYPERLINK("https://www.infonalia.es/licitaciones1125/2025161880.pdf","www.infonalia.es/licitaciones1125/2025161880.pdf")</x:f>
        <x:v>www.infonalia.es/licitaciones1125/2025161880.pdf</x:v>
      </x:c>
    </x:row>
    <x:row r="11">
      <x:c r="A11" s="6" t="s">
        <x:v>17</x:v>
      </x:c>
      <x:c r="B11" s="6" t="s">
        <x:v>18</x:v>
      </x:c>
      <x:c r="C11" s="7" t="s">
        <x:v>83</x:v>
      </x:c>
      <x:c r="D11" s="8" t="s">
        <x:v>84</x:v>
      </x:c>
      <x:c r="E11" s="9" t="s">
        <x:v>21</x:v>
      </x:c>
      <x:c r="F11" s="6" t="s">
        <x:v>85</x:v>
      </x:c>
      <x:c r="G11" s="6" t="s">
        <x:v>86</x:v>
      </x:c>
      <x:c r="H11" s="6" t="s">
        <x:v>87</x:v>
      </x:c>
      <x:c r="I11" s="10" t="n">
        <x:v>196698.95</x:v>
      </x:c>
      <x:c r="J11" s="11" t="s">
        <x:v>25</x:v>
      </x:c>
      <x:c r="K11" s="11" t="s">
        <x:v>26</x:v>
      </x:c>
      <x:c r="L11" s="12" t="str">
        <x:f xml:space="preserve">HYPERLINK("https://contrataciondelestado.es/wps/poc?uri=deeplink:detalle_licitacion&amp;idEvl=Je547u7rV8zN3k3tjedSGw%3D%3D","contrataciondelestado.es/wps/poc?uri=deeplink:detalle_licitacion&amp;idEvl=Je547u7rV8zN3k3tjedSGw%3D%3D")</x:f>
        <x:v>contrataciondelestado.es/wps/poc?uri=deeplink:detalle_licitacion&amp;idEvl=Je547u7rV8zN3k3tjedSGw%3D%3D</x:v>
      </x:c>
      <x:c r="M11" s="11" t="s">
        <x:v>27</x:v>
      </x:c>
      <x:c r="N11" s="13" t="s">
        <x:v>21</x:v>
      </x:c>
      <x:c r="O11" s="11" t="s">
        <x:v>88</x:v>
      </x:c>
      <x:c r="P11" s="11" t="s">
        <x:v>43</x:v>
      </x:c>
      <x:c r="Q11" s="14" t="str">
        <x:f xml:space="preserve">HYPERLINK("https://www.infonalia.es/licitaciones1125/2025161906.pdf","www.infonalia.es/licitaciones1125/2025161906.pdf")</x:f>
        <x:v>www.infonalia.es/licitaciones1125/2025161906.pdf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