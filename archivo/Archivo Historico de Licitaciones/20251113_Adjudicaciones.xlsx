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<x:sst xmlns:x="http://schemas.openxmlformats.org/spreadsheetml/2006/main" count="11" uniqueCount="11">
  <x:si>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</x:si>
  <x:si>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</x:si>
  <x:si>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</x:si>
  <x:si>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</x:si>
  <x:si>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</x:si>
  <x:si>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</x:si>
  <x:si>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</x:si>
  <x:si>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</x:si>
  <x:si>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</x:si>
  <x:si>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</x:si>
  <x:si>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</x:si>
  <x:si>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</x:si>
  <x:si>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DATAPLANNING ESPAÑA, S.L</x:t>
  </x:si>
  <x:si>
    <x:t>13/11/2025 0:00:00</x:t>
  </x:si>
  <x:si>
    <x:t>25223018</x:t>
  </x:si>
  <x:si>
    <x:t>AYUNTAMIENTO DE SABADELL (BARCELONA)</x:t>
  </x:si>
  <x:si>
    <x:t>Este contrato tiene por objeto la prestación de los servicios de asesoramiento estratégico, planificación, mediación en las negociaciones, compra, gestión y difusión de los anuncios en las actuaciones de publicidad que se difundan en los medios de comunicación y soportes publicitarios generalistas, convencionales y no convencionales , que tienen por objeto la difusión de las actividades y actuaciones del Ayuntamiento de Sabadell que tendrán lugar en la ciudad</x:t>
  </x:si>
  <x:si>
    <x:t>COM/2024/39</x:t>
  </x:si>
  <x:si>
    <x:t>Barcelona</x:t>
  </x:si>
  <x:si>
    <x:t>Ver detalle de la adjudicación</x:t>
  </x:si>
  <x:si>
    <x:t>DOG COMUNICACIÓN SL</x:t>
  </x:si>
  <x:si>
    <x:t>25223038</x:t>
  </x:si>
  <x:si>
    <x:t>ÁREA DE GOBIERNO DE VICEALCALDÍA, PORTAVOZ, SEGURIDAD Y EMERGENCIAS DEL AYUNTAMIENTO DE MADRID</x:t>
  </x:si>
  <x:si>
    <x:t>El servicio de gestión de las cuentas de redes sociales en el ámbito del Ayuntamiento de Madrid a través de una plataforma que permita su seguimiento, publicación de contenidos digitales, así como la monitorización y análisis de los resultados de dichas cuentas</x:t>
  </x:si>
  <x:si>
    <x:t>300/2025/01445</x:t>
  </x:si>
  <x:si>
    <x:t>Madrid</x:t>
  </x:si>
  <x:si>
    <x:t>DIVERPISTAS 2019, S.L</x:t>
  </x:si>
  <x:si>
    <x:t>25223091</x:t>
  </x:si>
  <x:si>
    <x:t>JUNTA DE GOBIERNO DEL AYUNTAMIENTO DE LEGANÉS (MADRID)</x:t>
  </x:si>
  <x:si>
    <x:t>Celebración del Día de la Familia.</x:t>
  </x:si>
  <x:si>
    <x:t>2025/0121</x:t>
  </x:si>
  <x:si>
    <x:t>R.P.UNO,S.L</x:t>
  </x:si>
  <x:si>
    <x:t>25223141</x:t>
  </x:si>
  <x:si>
    <x:t>INSTITUTO MUNICIPAL PARQUES Y JARDINES DE BARCELONA</x:t>
  </x:si>
  <x:si>
    <x:t>El objeto del presente contrato son los servicios de organización de los eventos para la realización del 52º congreso de la Asociación Española de Parques y Jardines Públicos que tendrá lugar en Barcelona en 2026, con medidas de contratación pública.</x:t>
  </x:si>
  <x:si>
    <x:t>004_25000096</x:t>
  </x:si>
  <x:si>
    <x:t>COMUNICACIÓN ONLINE DE TEMAS SOCIALES SL</x:t>
  </x:si>
  <x:si>
    <x:t>25223443</x:t>
  </x:si>
  <x:si>
    <x:t>MINISTERIO DE DERECHOS SOCIALES, CONSUMO Y AGENDA 2030. SUBDIRECCIÓN GENERAL DE LA OFICINA PRESUPUESTARIA Y GESTIÓN ECONÓMICA</x:t>
  </x:si>
  <x:si>
    <x:t>El objeto del presente contrato es el servicio de apoyo técnico para la Secretaría General de Consumo y Juego en materia de planificación de la estrategia de comunicación, creación de contenido audiovisual, infografías y diseños, y manejo de perfiles de redes sociales.</x:t>
  </x:si>
  <x:si>
    <x:t>252908PAS002</x:t>
  </x:si>
  <x:si>
    <x:t>INVITA EVENTS MANAGEMENT, S.L</x:t>
  </x:si>
  <x:si>
    <x:t>25223455</x:t>
  </x:si>
  <x:si>
    <x:t>MINISTERIO DE TRANSPORTES Y MOVILIDAD SOSTENIBLE. PRESIDENCIA DEL CONSEJO DE ADMINISTRACIÓN DE LA AUTORIDAD PORTUARIA DE BARCELONA (PORT DE BARCELONA)</x:t>
  </x:si>
  <x:si>
    <x:t>Organización y ejecución de la jornada corporativa anual 2025 del personal de la APB. Código de expediente: 2025R410051. Ref. Servicio de contratación: 2025-00299</x:t>
  </x:si>
  <x:si>
    <x:t>2025-00299</x:t>
  </x:si>
  <x:si>
    <x:t>LOTE 1 TECNAS SERVICIOS INTEGRALES DE FORMACIÓN Y DESARROLLO S.L.; LOTE 2 TECNAS SERVICIOS INTEGRALES DE FORMACIÓN Y DESARROLLO S.L. ; LOTE 3 TECNAS SERVICIOS INTEGRALES DE FORMACIÓN Y DESARROLLO S.L. </x:t>
  </x:si>
  <x:si>
    <x:t>25223502</x:t>
  </x:si>
  <x:si>
    <x:t>MINISTERIO DE DEFENSA. SECCIÓN DE ASUNTOS ECONÓMICOS DE LA JEFATURA SISTEMAS DE INFORMACIÓN, TELECOMUNICACIONES Y ASISTENCIA TÉCNICA</x:t>
  </x:si>
  <x:si>
    <x:t>Jornadas formativas en sistemas de sonido, fibra óptica y modelado 3D para Zona de Operaciones. Lote 1 - Jornadas formativas en tecnicas de sonido. Lote 2 - Jornadas formativas avanzadas en redes ftth. Lote 3 - Jornadas formativas de iniciacion en impresion 3d.</x:t>
  </x:si>
  <x:si>
    <x:t>2025/ETSAE0904/00000604E</x:t>
  </x:si>
  <x:si>
    <x:t>LUNA JIMÉNEZ, MARIA PAULA</x:t>
  </x:si>
  <x:si>
    <x:t>25223834</x:t>
  </x:si>
  <x:si>
    <x:t>GENERALITAT DE CATALUNYA. DEPARTAMENTO DE SALUD</x:t>
  </x:si>
  <x:si>
    <x:t>SA-2025-1091 Ponencia Maria Paula Luna</x:t>
  </x:si>
  <x:si>
    <x:t>SA-2025-1091</x:t>
  </x:si>
  <x:si>
    <x:t>Catalunya</x:t>
  </x:si>
  <x:si>
    <x:t>THE OBJECTIVE MEDIA SL</x:t>
  </x:si>
  <x:si>
    <x:t>25223893</x:t>
  </x:si>
  <x:si>
    <x:t>ARAGÓN EXTERIOR S.A.U</x:t>
  </x:si>
  <x:si>
    <x:t>Evento The Objective Madrid</x:t>
  </x:si>
  <x:si>
    <x:t>AREX-2025-20006</x:t>
  </x:si>
  <x:si>
    <x:t>ACCENTURE OUTSOURCING SERVICES SAU</x:t>
  </x:si>
  <x:si>
    <x:t>25223953</x:t>
  </x:si>
  <x:si>
    <x:t>ENDESA, SA</x:t>
  </x:si>
  <x:si>
    <x:t>BO Sales B2C &amp; Marketing</x:t>
  </x:si>
  <x:si>
    <x:t>prj_127212</x:t>
  </x:si>
  <x:si>
    <x:t>------</x:t>
  </x:si>
  <x:si>
    <x:t>Desierto</x:t>
  </x:si>
  <x:si>
    <x:t>DESIERTO</x:t>
  </x:si>
  <x:si>
    <x:t>25224010</x:t>
  </x:si>
  <x:si>
    <x:t>ALCALDÍA DEL AYUNTAMIENTO DE LANGREO (ASTURIAS)</x:t>
  </x:si>
  <x:si>
    <x:t>Servicio integral para la organización de la cabalgata de Reyes Magos 2026 y las recepciones reales previas en el concejo de Langreo.</x:t>
  </x:si>
  <x:si>
    <x:t>CCu/CA/081/2025</x:t>
  </x:si>
  <x:si>
    <x:t>Asturias</x:t>
  </x:si>
  <x:si>
    <x:t>LOTE 1 FORTER UNICORP SPAIN, S.L.U. </x:t>
  </x:si>
  <x:si>
    <x:t>25224041</x:t>
  </x:si>
  <x:si>
    <x:t>AYUNTAMIENTO DE MADRID. DISTRITO DE MONCLOA-ARAVACA</x:t>
  </x:si>
  <x:si>
    <x:t>Adjudicación de la organización, montaje, gestión, explotación y desmontaje de los mercadillos de Navidad de Plaza de España y Madrid Río, del Distrito de Moncloa-Aravaca (2 lotes).</x:t>
  </x:si>
  <x:si>
    <x:t>109/2025/01716</x:t>
  </x:si>
  <x:si>
    <x:t>Formalización</x:t>
  </x:si>
  <x:si>
    <x:t>LOTE 1 PRODUCCIONES MIC, S.L. </x:t>
  </x:si>
  <x:si>
    <x:t>25224098</x:t>
  </x:si>
  <x:si>
    <x:t>MINISTERIO DE TRABAJO Y ECONOMÍA SOCIAL. INSTITUTO NACIONAL DE SEGURIDAD Y SALUD EN EL TRABAJO O.A. M.P. (INSST)</x:t>
  </x:si>
  <x:si>
    <x:t>Servicios editoriales para el INSST, O.A., M.P. Lote 1: Edición de obras en soporte electrónico y/o papel. Lote 2: Diseño y producción de productos gráficos y audiovisuales de carácter técnico.</x:t>
  </x:si>
  <x:si>
    <x:t>0089-25</x:t>
  </x:si>
  <x:si>
    <x:t>LOTE 1 UN NUEVO ERROR S.L.; LOTE 2 MADRID PRODUCE SCENICS AND DESIGNS S.L</x:t>
  </x:si>
  <x:si>
    <x:t>25224133</x:t>
  </x:si>
  <x:si>
    <x:t>MADRID DESTINO CULTURA TURISMO Y NEGOCIO, S.A</x:t>
  </x:si>
  <x:si>
    <x:t>Contratación por lotes del servicio de refuerzo de control y supervisión de infraestructuras de las Gradas en el Paseo de la Castellana, incluyendo las instalaciones de las cadenas de televisión, y del vallado con motivo de la Cabalgata de Reyes 2026, refuerzo de organización técnica del escenario de Cibeles y del cerramiento estructural del desfile de la Cabalgata 2026</x:t>
  </x:si>
  <x:si>
    <x:t>SP25-00359 / SP25-00360 / SP25-00361</x:t>
  </x:si>
  <x:si>
    <x:t>Formalizado</x:t>
  </x:si>
  <x:si>
    <x:t>EL HORMIGUERO COMUNICACIÓN Y PRODUCCIONES S.L.; EL HORMIGUERO COMUNICACIÓN Y PRODUCCIONES S.L.</x:t>
  </x:si>
  <x:si>
    <x:t>25224150</x:t>
  </x:si>
  <x:si>
    <x:t>CONSEJO DE ADMINISTRACIÓN DE RIVAS-VACIAMADRID EMPRESA MUNICIPAL DE SERVICIOS S.A. (RIVAMADRID)</x:t>
  </x:si>
  <x:si>
    <x:t>Servicio de diseño de materiales gráficos (imágenes, dípticos, flyers, cartelería, maquetación, etc) de RIVAS VACIAMADRID EMPRESA MUNICIPAL DE SERVICIOS S.A</x:t>
  </x:si>
  <x:si>
    <x:t>2025 11 CB2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</x:si>
</x:sst>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HYPERLINK("https://www.infonalia.es/adjudicaciones1125/25223018.pdf","www.infonalia.es/adjudicaciones1125/25223018.pdf")</x:f>
        <x:v>www.infonalia.es/adjudicaciones1125/25223018.pdf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s">
        <x:v>19</x:v>
      </x:c>
      <x:c r="K2" s="9" t="n">
        <x:v>33057.85</x:v>
      </x:c>
    </x:row>
    <x:row r="3">
      <x:c r="A3" s="6" t="s">
        <x:v>11</x:v>
      </x:c>
      <x:c r="B3" s="6" t="s">
        <x:v>20</x:v>
      </x:c>
      <x:c r="C3" s="6" t="s">
        <x:v>13</x:v>
      </x:c>
      <x:c r="D3" s="7" t="str">
        <x:f xml:space="preserve">HYPERLINK("https://www.infonalia.es/adjudicaciones1125/25223038.pdf","www.infonalia.es/adjudicaciones1125/25223038.pdf")</x:f>
        <x:v>www.infonalia.es/adjudicaciones1125/25223038.pdf</x:v>
      </x:c>
      <x:c r="E3" s="8" t="s">
        <x:v>21</x:v>
      </x:c>
      <x:c r="F3" s="6" t="s">
        <x:v>22</x:v>
      </x:c>
      <x:c r="G3" s="6" t="s">
        <x:v>23</x:v>
      </x:c>
      <x:c r="H3" s="6" t="s">
        <x:v>24</x:v>
      </x:c>
      <x:c r="I3" s="6" t="s">
        <x:v>25</x:v>
      </x:c>
      <x:c r="J3" s="9" t="n">
        <x:v>16900.00</x:v>
      </x:c>
      <x:c r="K3" s="9" t="n">
        <x:v>21952.77</x:v>
      </x:c>
    </x:row>
    <x:row r="4">
      <x:c r="A4" s="6" t="s">
        <x:v>11</x:v>
      </x:c>
      <x:c r="B4" s="6" t="s">
        <x:v>26</x:v>
      </x:c>
      <x:c r="C4" s="6" t="s">
        <x:v>13</x:v>
      </x:c>
      <x:c r="D4" s="7" t="str">
        <x:f xml:space="preserve">HYPERLINK("https://www.infonalia.es/adjudicaciones1125/25223091.pdf","www.infonalia.es/adjudicaciones1125/25223091.pdf")</x:f>
        <x:v>www.infonalia.es/adjudicaciones1125/25223091.pdf</x:v>
      </x:c>
      <x:c r="E4" s="8" t="s">
        <x:v>27</x:v>
      </x:c>
      <x:c r="F4" s="6" t="s">
        <x:v>28</x:v>
      </x:c>
      <x:c r="G4" s="6" t="s">
        <x:v>29</x:v>
      </x:c>
      <x:c r="H4" s="6" t="s">
        <x:v>30</x:v>
      </x:c>
      <x:c r="I4" s="6" t="s">
        <x:v>25</x:v>
      </x:c>
      <x:c r="J4" s="9" t="n">
        <x:v>23989.00</x:v>
      </x:c>
      <x:c r="K4" s="9" t="n">
        <x:v>28000.00</x:v>
      </x:c>
    </x:row>
    <x:row r="5">
      <x:c r="A5" s="6" t="s">
        <x:v>11</x:v>
      </x:c>
      <x:c r="B5" s="6" t="s">
        <x:v>31</x:v>
      </x:c>
      <x:c r="C5" s="6" t="s">
        <x:v>13</x:v>
      </x:c>
      <x:c r="D5" s="7" t="str">
        <x:f xml:space="preserve">HYPERLINK("https://www.infonalia.es/adjudicaciones1125/25223141.pdf","www.infonalia.es/adjudicaciones1125/25223141.pdf")</x:f>
        <x:v>www.infonalia.es/adjudicaciones1125/25223141.pdf</x:v>
      </x:c>
      <x:c r="E5" s="8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18</x:v>
      </x:c>
      <x:c r="J5" s="9" t="s">
        <x:v>19</x:v>
      </x:c>
      <x:c r="K5" s="9" t="n">
        <x:v>184173.25</x:v>
      </x:c>
    </x:row>
    <x:row r="6">
      <x:c r="A6" s="6" t="s">
        <x:v>11</x:v>
      </x:c>
      <x:c r="B6" s="6" t="s">
        <x:v>36</x:v>
      </x:c>
      <x:c r="C6" s="6" t="s">
        <x:v>13</x:v>
      </x:c>
      <x:c r="D6" s="7" t="str">
        <x:f xml:space="preserve">HYPERLINK("https://www.infonalia.es/adjudicaciones1125/25223443.pdf","www.infonalia.es/adjudicaciones1125/25223443.pdf")</x:f>
        <x:v>www.infonalia.es/adjudicaciones1125/25223443.pdf</x:v>
      </x:c>
      <x:c r="E6" s="8" t="s">
        <x:v>37</x:v>
      </x:c>
      <x:c r="F6" s="6" t="s">
        <x:v>38</x:v>
      </x:c>
      <x:c r="G6" s="6" t="s">
        <x:v>39</x:v>
      </x:c>
      <x:c r="H6" s="6" t="s">
        <x:v>40</x:v>
      </x:c>
      <x:c r="I6" s="6" t="s">
        <x:v>25</x:v>
      </x:c>
      <x:c r="J6" s="9" t="n">
        <x:v>11600.00</x:v>
      </x:c>
      <x:c r="K6" s="9" t="n">
        <x:v>20992.68</x:v>
      </x:c>
    </x:row>
    <x:row r="7">
      <x:c r="A7" s="6" t="s">
        <x:v>11</x:v>
      </x:c>
      <x:c r="B7" s="6" t="s">
        <x:v>41</x:v>
      </x:c>
      <x:c r="C7" s="6" t="s">
        <x:v>13</x:v>
      </x:c>
      <x:c r="D7" s="7" t="str">
        <x:f xml:space="preserve">HYPERLINK("https://www.infonalia.es/adjudicaciones1125/25223455.pdf","www.infonalia.es/adjudicaciones1125/25223455.pdf")</x:f>
        <x:v>www.infonalia.es/adjudicaciones1125/25223455.pdf</x:v>
      </x:c>
      <x:c r="E7" s="8" t="s">
        <x:v>42</x:v>
      </x:c>
      <x:c r="F7" s="6" t="s">
        <x:v>43</x:v>
      </x:c>
      <x:c r="G7" s="6" t="s">
        <x:v>44</x:v>
      </x:c>
      <x:c r="H7" s="6" t="s">
        <x:v>45</x:v>
      </x:c>
      <x:c r="I7" s="6" t="s">
        <x:v>18</x:v>
      </x:c>
      <x:c r="J7" s="9" t="n">
        <x:v>71259.00</x:v>
      </x:c>
      <x:c r="K7" s="9" t="n">
        <x:v>75000.00</x:v>
      </x:c>
    </x:row>
    <x:row r="8">
      <x:c r="A8" s="6" t="s">
        <x:v>11</x:v>
      </x:c>
      <x:c r="B8" s="6" t="s">
        <x:v>46</x:v>
      </x:c>
      <x:c r="C8" s="6" t="s">
        <x:v>13</x:v>
      </x:c>
      <x:c r="D8" s="7" t="str">
        <x:f xml:space="preserve">HYPERLINK("https://www.infonalia.es/adjudicaciones1125/25223502.pdf","www.infonalia.es/adjudicaciones1125/25223502.pdf")</x:f>
        <x:v>www.infonalia.es/adjudicaciones1125/25223502.pdf</x:v>
      </x:c>
      <x:c r="E8" s="8" t="s">
        <x:v>47</x:v>
      </x:c>
      <x:c r="F8" s="6" t="s">
        <x:v>48</x:v>
      </x:c>
      <x:c r="G8" s="6" t="s">
        <x:v>49</x:v>
      </x:c>
      <x:c r="H8" s="6" t="s">
        <x:v>50</x:v>
      </x:c>
      <x:c r="I8" s="6" t="s">
        <x:v>25</x:v>
      </x:c>
      <x:c r="J8" s="9" t="s">
        <x:v>19</x:v>
      </x:c>
      <x:c r="K8" s="9" t="n">
        <x:v>41322.31</x:v>
      </x:c>
    </x:row>
    <x:row r="9">
      <x:c r="A9" s="6" t="s">
        <x:v>11</x:v>
      </x:c>
      <x:c r="B9" s="6" t="s">
        <x:v>51</x:v>
      </x:c>
      <x:c r="C9" s="6" t="s">
        <x:v>13</x:v>
      </x:c>
      <x:c r="D9" s="7" t="str">
        <x:f xml:space="preserve">HYPERLINK("https://www.infonalia.es/adjudicaciones1125/25223834.pdf","www.infonalia.es/adjudicaciones1125/25223834.pdf")</x:f>
        <x:v>www.infonalia.es/adjudicaciones1125/25223834.pdf</x:v>
      </x:c>
      <x:c r="E9" s="8" t="s">
        <x:v>52</x:v>
      </x:c>
      <x:c r="F9" s="6" t="s">
        <x:v>53</x:v>
      </x:c>
      <x:c r="G9" s="6" t="s">
        <x:v>54</x:v>
      </x:c>
      <x:c r="H9" s="6" t="s">
        <x:v>55</x:v>
      </x:c>
      <x:c r="I9" s="6" t="s">
        <x:v>56</x:v>
      </x:c>
      <x:c r="J9" s="9" t="n">
        <x:v>800.00</x:v>
      </x:c>
      <x:c r="K9" s="9" t="n">
        <x:v>800.00</x:v>
      </x:c>
    </x:row>
    <x:row r="10">
      <x:c r="A10" s="6" t="s">
        <x:v>11</x:v>
      </x:c>
      <x:c r="B10" s="6" t="s">
        <x:v>57</x:v>
      </x:c>
      <x:c r="C10" s="6" t="s">
        <x:v>13</x:v>
      </x:c>
      <x:c r="D10" s="7" t="str">
        <x:f xml:space="preserve">HYPERLINK("https://www.infonalia.es/adjudicaciones1125/25223893.pdf","www.infonalia.es/adjudicaciones1125/25223893.pdf")</x:f>
        <x:v>www.infonalia.es/adjudicaciones1125/25223893.pdf</x:v>
      </x:c>
      <x:c r="E10" s="8" t="s">
        <x:v>58</x:v>
      </x:c>
      <x:c r="F10" s="6" t="s">
        <x:v>59</x:v>
      </x:c>
      <x:c r="G10" s="6" t="s">
        <x:v>60</x:v>
      </x:c>
      <x:c r="H10" s="6" t="s">
        <x:v>61</x:v>
      </x:c>
      <x:c r="I10" s="6" t="s">
        <x:v>25</x:v>
      </x:c>
      <x:c r="J10" s="9" t="n">
        <x:v>50000.00</x:v>
      </x:c>
      <x:c r="K10" s="9" t="n">
        <x:v>50000.00</x:v>
      </x:c>
    </x:row>
    <x:row r="11">
      <x:c r="A11" s="6" t="s">
        <x:v>11</x:v>
      </x:c>
      <x:c r="B11" s="6" t="s">
        <x:v>62</x:v>
      </x:c>
      <x:c r="C11" s="6" t="s">
        <x:v>13</x:v>
      </x:c>
      <x:c r="D11" s="7" t="str">
        <x:f xml:space="preserve">HYPERLINK("https://www.infonalia.es/adjudicaciones1125/25223953.pdf","www.infonalia.es/adjudicaciones1125/25223953.pdf")</x:f>
        <x:v>www.infonalia.es/adjudicaciones1125/25223953.pdf</x:v>
      </x:c>
      <x:c r="E11" s="8" t="s">
        <x:v>63</x:v>
      </x:c>
      <x:c r="F11" s="6" t="s">
        <x:v>64</x:v>
      </x:c>
      <x:c r="G11" s="6" t="s">
        <x:v>65</x:v>
      </x:c>
      <x:c r="H11" s="6" t="s">
        <x:v>66</x:v>
      </x:c>
      <x:c r="I11" s="6" t="s">
        <x:v>67</x:v>
      </x:c>
      <x:c r="J11" s="9" t="n">
        <x:v>910016.00</x:v>
      </x:c>
      <x:c r="K11" s="9" t="s">
        <x:v>19</x:v>
      </x:c>
    </x:row>
    <x:row r="12">
      <x:c r="A12" s="6" t="s">
        <x:v>68</x:v>
      </x:c>
      <x:c r="B12" s="6" t="s">
        <x:v>69</x:v>
      </x:c>
      <x:c r="C12" s="6" t="s">
        <x:v>13</x:v>
      </x:c>
      <x:c r="D12" s="7" t="str">
        <x:f xml:space="preserve">HYPERLINK("https://www.infonalia.es/adjudicaciones1125/25224010.pdf","www.infonalia.es/adjudicaciones1125/25224010.pdf")</x:f>
        <x:v>www.infonalia.es/adjudicaciones1125/25224010.pdf</x:v>
      </x:c>
      <x:c r="E12" s="8" t="s">
        <x:v>70</x:v>
      </x:c>
      <x:c r="F12" s="6" t="s">
        <x:v>71</x:v>
      </x:c>
      <x:c r="G12" s="6" t="s">
        <x:v>72</x:v>
      </x:c>
      <x:c r="H12" s="6" t="s">
        <x:v>73</x:v>
      </x:c>
      <x:c r="I12" s="6" t="s">
        <x:v>74</x:v>
      </x:c>
      <x:c r="J12" s="9" t="s">
        <x:v>19</x:v>
      </x:c>
      <x:c r="K12" s="9" t="n">
        <x:v>28925.62</x:v>
      </x:c>
    </x:row>
    <x:row r="13">
      <x:c r="A13" s="6" t="s">
        <x:v>11</x:v>
      </x:c>
      <x:c r="B13" s="6" t="s">
        <x:v>75</x:v>
      </x:c>
      <x:c r="C13" s="6" t="s">
        <x:v>13</x:v>
      </x:c>
      <x:c r="D13" s="7" t="str">
        <x:f xml:space="preserve">HYPERLINK("https://www.infonalia.es/adjudicaciones1125/25224041.pdf","www.infonalia.es/adjudicaciones1125/25224041.pdf")</x:f>
        <x:v>www.infonalia.es/adjudicaciones1125/25224041.pdf</x:v>
      </x:c>
      <x:c r="E13" s="8" t="s">
        <x:v>76</x:v>
      </x:c>
      <x:c r="F13" s="6" t="s">
        <x:v>77</x:v>
      </x:c>
      <x:c r="G13" s="6" t="s">
        <x:v>78</x:v>
      </x:c>
      <x:c r="H13" s="6" t="s">
        <x:v>79</x:v>
      </x:c>
      <x:c r="I13" s="6" t="s">
        <x:v>25</x:v>
      </x:c>
      <x:c r="J13" s="9" t="s">
        <x:v>19</x:v>
      </x:c>
      <x:c r="K13" s="9" t="n">
        <x:v>38252.07</x:v>
      </x:c>
    </x:row>
    <x:row r="14">
      <x:c r="A14" s="6" t="s">
        <x:v>80</x:v>
      </x:c>
      <x:c r="B14" s="6" t="s">
        <x:v>81</x:v>
      </x:c>
      <x:c r="C14" s="6" t="s">
        <x:v>13</x:v>
      </x:c>
      <x:c r="D14" s="7" t="str">
        <x:f xml:space="preserve">HYPERLINK("https://www.infonalia.es/adjudicaciones1125/25224098.pdf","www.infonalia.es/adjudicaciones1125/25224098.pdf")</x:f>
        <x:v>www.infonalia.es/adjudicaciones1125/25224098.pdf</x:v>
      </x:c>
      <x:c r="E14" s="8" t="s">
        <x:v>82</x:v>
      </x:c>
      <x:c r="F14" s="6" t="s">
        <x:v>83</x:v>
      </x:c>
      <x:c r="G14" s="6" t="s">
        <x:v>84</x:v>
      </x:c>
      <x:c r="H14" s="6" t="s">
        <x:v>85</x:v>
      </x:c>
      <x:c r="I14" s="6" t="s">
        <x:v>25</x:v>
      </x:c>
      <x:c r="J14" s="9" t="n">
        <x:v>91878.00</x:v>
      </x:c>
      <x:c r="K14" s="9" t="n">
        <x:v>164000.00</x:v>
      </x:c>
    </x:row>
    <x:row r="15">
      <x:c r="A15" s="6" t="s">
        <x:v>11</x:v>
      </x:c>
      <x:c r="B15" s="6" t="s">
        <x:v>86</x:v>
      </x:c>
      <x:c r="C15" s="6" t="s">
        <x:v>13</x:v>
      </x:c>
      <x:c r="D15" s="7" t="str">
        <x:f xml:space="preserve">HYPERLINK("https://www.infonalia.es/adjudicaciones1125/25224133.pdf","www.infonalia.es/adjudicaciones1125/25224133.pdf")</x:f>
        <x:v>www.infonalia.es/adjudicaciones1125/25224133.pdf</x:v>
      </x:c>
      <x:c r="E15" s="8" t="s">
        <x:v>87</x:v>
      </x:c>
      <x:c r="F15" s="6" t="s">
        <x:v>88</x:v>
      </x:c>
      <x:c r="G15" s="6" t="s">
        <x:v>89</x:v>
      </x:c>
      <x:c r="H15" s="6" t="s">
        <x:v>90</x:v>
      </x:c>
      <x:c r="I15" s="6" t="s">
        <x:v>25</x:v>
      </x:c>
      <x:c r="J15" s="9" t="s">
        <x:v>19</x:v>
      </x:c>
      <x:c r="K15" s="9" t="n">
        <x:v>73585.78</x:v>
      </x:c>
    </x:row>
    <x:row r="16">
      <x:c r="A16" s="6" t="s">
        <x:v>91</x:v>
      </x:c>
      <x:c r="B16" s="6" t="s">
        <x:v>92</x:v>
      </x:c>
      <x:c r="C16" s="6" t="s">
        <x:v>13</x:v>
      </x:c>
      <x:c r="D16" s="7" t="str">
        <x:f xml:space="preserve">HYPERLINK("https://www.infonalia.es/adjudicaciones1125/25224150.pdf","www.infonalia.es/adjudicaciones1125/25224150.pdf")</x:f>
        <x:v>www.infonalia.es/adjudicaciones1125/25224150.pdf</x:v>
      </x:c>
      <x:c r="E16" s="8" t="s">
        <x:v>93</x:v>
      </x:c>
      <x:c r="F16" s="6" t="s">
        <x:v>94</x:v>
      </x:c>
      <x:c r="G16" s="6" t="s">
        <x:v>95</x:v>
      </x:c>
      <x:c r="H16" s="6" t="s">
        <x:v>96</x:v>
      </x:c>
      <x:c r="I16" s="6" t="s">
        <x:v>25</x:v>
      </x:c>
      <x:c r="J16" s="9" t="s">
        <x:v>19</x:v>
      </x:c>
      <x:c r="K16" s="9" t="n">
        <x:v>18000.00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