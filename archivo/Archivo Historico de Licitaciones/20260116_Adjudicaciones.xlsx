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Adjudicaciones" sheetId="1" r:id="rId1"/>
  </x:sheets>
  <x:definedNames>
    <x:definedName name="_xlnm._FilterDatabase" localSheetId="0" hidden="1">Adjudicaciones!$A$1:$K$1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<x:sst xmlns:x="http://schemas.openxmlformats.org/spreadsheetml/2006/main" count="11" uniqueCount="11">
  <x:si>
    <x:t>Tipo Adjudicacion</x:t>
  </x:si>
  <x:si>
    <x:t>Contratista</x:t>
  </x:si>
  <x:si>
    <x:t>Fecha</x:t>
  </x:si>
  <x:si>
    <x:t>Pdf Adjudicacion</x:t>
  </x:si>
  <x:si>
    <x:t>Referencia</x:t>
  </x:si>
  <x:si>
    <x:t>Organismo Convocante</x:t>
  </x:si>
  <x:si>
    <x:t>Objeto</x:t>
  </x:si>
  <x:si>
    <x:t>Nº Expediente</x:t>
  </x:si>
  <x:si>
    <x:t>Lugar Ejecucion</x:t>
  </x:si>
  <x:si>
    <x:t>Importe Adjudicacion</x:t>
  </x:si>
  <x:si>
    <x:t>Presupuesto Licitacion</x:t>
  </x:si>
  <x:si>
    <x:t>Adjudicado</x:t>
  </x:si>
  <x:si>
    <x:t>INTERVENTO 2 S.L</x:t>
  </x:si>
  <x:si>
    <x:t>16/01/2026 0:00:00</x:t>
  </x:si>
  <x:si>
    <x:t>26005991</x:t>
  </x:si>
  <x:si>
    <x:t>DIRECCIÓN DEL MUSEO NACIONAL DEL PRADO</x:t>
  </x:si>
  <x:si>
    <x:t>Servicio de montaje y desmontaje de la exposición “A la manera de Italia”.</x:t>
  </x:si>
  <x:si>
    <x:t>25CA0328</x:t>
  </x:si>
  <x:si>
    <x:t>Madrid</x:t>
  </x:si>
  <x:si>
    <x:t>LOTE 1 LIVEMEDIA INTERNATIONAL IBÉRICA S.L.; SERVICIOS AUDIOVISUALES OVERON, S.L.; LOTE 2 SERVICIOS AUDIOVISUALES OVERON, S.L.</x:t>
  </x:si>
  <x:si>
    <x:t>26006053</x:t>
  </x:si>
  <x:si>
    <x:t>DIRECCIÓN DE COMPRAS DE LA CORPORACIÓN DE RADIO Y TELEVISIÓN ESPAÑOLA S.A</x:t>
  </x:si>
  <x:si>
    <x:t>Acuerdo marco:Transmisión de señales de tv y radio mediante estaciones terrenas. Servicios ocasionales ETT's 12h HD/UHD</x:t>
  </x:si>
  <x:si>
    <x:t>S-04418-2025</x:t>
  </x:si>
  <x:si>
    <x:t>Ver detalle de la adjudicación</x:t>
  </x:si>
  <x:si>
    <x:t>MAGMACULTURA SL</x:t>
  </x:si>
  <x:si>
    <x:t>26006076</x:t>
  </x:si>
  <x:si>
    <x:t>GENERALITAT DE CATALUNYA. DEPARTAMENTO DE POLÍTICA LINGÜÍSTICA</x:t>
  </x:si>
  <x:si>
    <x:t>Apoyo a la administración de las pruebas de lengua catalana correspondientes a la convocatoria 2026.</x:t>
  </x:si>
  <x:si>
    <x:t>LI-2026-3</x:t>
  </x:si>
  <x:si>
    <x:t>Catalunya</x:t>
  </x:si>
  <x:si>
    <x:t>LAGRAFICA CREATIVE EXPERIENCE S.L</x:t>
  </x:si>
  <x:si>
    <x:t>26006096</x:t>
  </x:si>
  <x:si>
    <x:t>AYUNTAMIENTO DE LLEIDA</x:t>
  </x:si>
  <x:si>
    <x:t>Mantenimiento de la web de l'Horta de Lleida, que incluye la web de la Marca Horta de Lleida, y las redes sociales vinculadas también el ámbito de l'Horta para dar visibilidad a las políticas impulsadas por el Ayuntamiento así como aspectos administrativos y técnicos derivados de la normativa promovida por la propia corporación, otras administraciones u otras entidades, y que puedan ser de interés por las personas.</x:t>
  </x:si>
  <x:si>
    <x:t>SER_OBEA_2025_0009</x:t>
  </x:si>
  <x:si>
    <x:t>Lleida</x:t>
  </x:si>
  <x:si>
    <x:t>BALIDEA CONSULTING &amp; PROGRAMING S.L</x:t>
  </x:si>
  <x:si>
    <x:t>26006123</x:t>
  </x:si>
  <x:si>
    <x:t>PRESIDENCIA Y DIRECCIÓN DE ADMINISTRACIÓN Y FINANZAS DE LA DE LA SOCIEDAD MERCANTIL ESTATAL PARA LA GESTIÓN DE LA INNOVACIÓN Y LAS TECNOLOGÍAS TURÍSTICAS, S.A.M.P. (SEGITTUR)</x:t>
  </x:si>
  <x:si>
    <x:t>Servicios de asesoramiento profesional en el uso de herramientas digitales y elementos de IA para la capacitación de usuarios y actores de Turespaña involucrados en la migración del sistema turístico español de promoción (STEP) a la nueva plataforma DXP. Las necesidades a satisfacer se especifican con mayor detalle en el “PLIEGO DE PRESCRIPCIONES TÉCNICAS DE LA CONTRATACIÓN".</x:t>
  </x:si>
  <x:si>
    <x:t>282025</x:t>
  </x:si>
  <x:si>
    <x:t>IBÉRICA LPTENT, SL</x:t>
  </x:si>
  <x:si>
    <x:t>26006169</x:t>
  </x:si>
  <x:si>
    <x:t>JUNTA DE GOBIERNO DEL AYUNTAMIENTO DE MIERES (ASTURIAS)</x:t>
  </x:si>
  <x:si>
    <x:t>Suministro de carpas plegables para eventos y actividades organizadas por las distintas áreas del Ayuntamiento de Mieres.</x:t>
  </x:si>
  <x:si>
    <x:t>2025/13062</x:t>
  </x:si>
  <x:si>
    <x:t>Asturias</x:t>
  </x:si>
  <x:si>
    <x:t>LOTE 1 GRAFICS CLARET S.L.; LOTE 4 IMPRIMIMOS SL</x:t>
  </x:si>
  <x:si>
    <x:t>26006216</x:t>
  </x:si>
  <x:si>
    <x:t>GENERALITAT DE CATALUNYA. CENTRO DE INICIATIVAS PARA LA REINSERCIÓN (CIRE)</x:t>
  </x:si>
  <x:si>
    <x:t>Prestación de diferentes servicios de trabajos de artes gráficas y el suministro de los materiales necesarios con destino a los talleres productivos de impresión de los centros penitenciarios de Catalunya. Lote 1 Servicio en acabados imprenta e impresiones digitales. Lote 2 Servicio de recogida de residuos talleres imprenta. Lote 3 Servicio afilamiento cuchillas imprenta. Lote 4 Servicio y suministro de mat. publicidad.</x:t>
  </x:si>
  <x:si>
    <x:t>0033/2026</x:t>
  </x:si>
  <x:si>
    <x:t>AP7 PROJECTES TÈCNICS SL</x:t>
  </x:si>
  <x:si>
    <x:t>26006218</x:t>
  </x:si>
  <x:si>
    <x:t>INSTITUTO DE CULTURA DE BARCELONA</x:t>
  </x:si>
  <x:si>
    <x:t>Servicio de dirección técnica para la organización, producción y ejecución del Festival Grec de Barcelona.</x:t>
  </x:si>
  <x:si>
    <x:t>006_25002026</x:t>
  </x:si>
  <x:si>
    <x:t>Barcelona</x:t>
  </x:si>
  <x:si>
    <x:t>DATAPLANNING ESPAÑA, S.L</x:t>
  </x:si>
  <x:si>
    <x:t>26006310</x:t>
  </x:si>
  <x:si>
    <x:t>CONSORCI DE TURISME DEL BAIX LLOBREGAT</x:t>
  </x:si>
  <x:si>
    <x:t>Licitación del contrato de servicios de gestión, planificación y contratación de espacios publicitarios para la difusión de las campañas de promoción de otoño e invierno del Consorcio de Turismo del Baix Llobregat.</x:t>
  </x:si>
  <x:si>
    <x:t>2025_146</x:t>
  </x:si>
  <x:si>
    <x:t>Formalizado</x:t>
  </x:si>
  <x:si>
    <x:t>LOTE 2 WE ARE VISUAL MAKERS SL</x:t>
  </x:si>
  <x:si>
    <x:t>26006311</x:t>
  </x:si>
  <x:si>
    <x:t>GENERALITAT DE CATALUNYA. DEPARTAMENTO DE EMPRESA Y TRABAJO</x:t>
  </x:si>
  <x:si>
    <x:t>El objeto del contrato es el diseño, producción, montaje, desmontaje y explotación del stand de la Generalidad de Cataluña en el MWC Barcelona 2026 (MWC en adelante), que está previsto que se celebre del 2 al 5 de marzo de 2026 en el recinto ferial de Barcelona Gran Via - L'Hospitalet de Llobregat y la conceptualización, diseño tendrá lugar en la zona expositiva del stand de la Generalidad de Cataluña en el MWC 2026.</x:t>
  </x:si>
  <x:si>
    <x:t>EMO-2026-10</x:t>
  </x:si>
  <x:si>
    <x:t>DION EVENTOS</x:t>
  </x:si>
  <x:si>
    <x:t>26006375</x:t>
  </x:si>
  <x:si>
    <x:t>DIRECCIÓN GENERAL DE LA SOCIEDAD DE GESTIÓN PÚBLICA DE EXTREMADURA, S.A.U</x:t>
  </x:si>
  <x:si>
    <x:t>Servicio de restauración y servicios complementarios para el stand de Extremadura en FITUR 2026</x:t>
  </x:si>
  <x:si>
    <x:t>GPEXCGPD25005</x:t>
  </x:si>
  <x:si>
    <x:t>Badajoz - Madrid</x:t>
  </x:si>
  <x:si>
    <x:t>GEMMA MIRALDA ESCUDÉ</x:t>
  </x:si>
  <x:si>
    <x:t>26006571</x:t>
  </x:si>
  <x:si>
    <x:t>ÀREA METROPOLITANA DE BARCELONA</x:t>
  </x:si>
  <x:si>
    <x:t>Contrato basado de servicios para la realización del reportaje fotográfico del carril bici y la zona peatonal de la carretera de Rubí en Sant Cugat del Vallès</x:t>
  </x:si>
  <x:si>
    <x:t>902590/25</x:t>
  </x:si>
  <x:si>
    <x:t>FUNDACION MASFAMILIA</x:t>
  </x:si>
  <x:si>
    <x:t>26006585</x:t>
  </x:si>
  <x:si>
    <x:t>COMITÉ DE CONTRATACIÓN DEL INSTITUTO DE CRÉDITO OFICIAL (ICO)</x:t>
  </x:si>
  <x:si>
    <x:t>Patrocinio del Día de la Conciliación de la Fundación Masfamilia</x:t>
  </x:si>
  <x:si>
    <x:t>ICO_2025_66</x:t>
  </x:si>
  <x:si>
    <x:t>SERVIMEDIA, S.A</x:t>
  </x:si>
  <x:si>
    <x:t>26006586</x:t>
  </x:si>
  <x:si>
    <x:t>MESA DEL CONGRESO DE LOS DIPUTADOS</x:t>
  </x:si>
  <x:si>
    <x:t>Recepción del servicio de noticias de la Agencia Servimedia</x:t>
  </x:si>
  <x:si>
    <x:t>CON-P2025/0100011.0</x:t>
  </x:si>
  <x:si>
    <x:t>INSTITUCION FERIAL DE MADRID</x:t>
  </x:si>
  <x:si>
    <x:t>26006589</x:t>
  </x:si>
  <x:si>
    <x:t>EMPRESA PÚBLICA PARA LA GESTIÓN DEL TURISMO Y EL DEPORTE DE ANDALUCÍA, S.A</x:t>
  </x:si>
  <x:si>
    <x:t>Contratación de espacios publicitarios en Ifema durante fitur 2026</x:t>
  </x:si>
  <x:si>
    <x:t>C2N01-06CR-1125-0187</x:t>
  </x:si>
  <x:si>
    <x:t>FORO DE DEBATE SL</x:t>
  </x:si>
  <x:si>
    <x:t>26006590</x:t>
  </x:si>
  <x:si>
    <x:t>AGENCIA DE GESTIÓN AGRARIA Y PESQUERA DE ANDALUCÍA</x:t>
  </x:si>
  <x:si>
    <x:t>Patrocinio institucional XXIV Madrid Fusión</x:t>
  </x:si>
  <x:si>
    <x:t>CONTR 2025 0000680342</x:t>
  </x:si>
  <x:si>
    <x:t>26006649</x:t>
  </x:si>
  <x:si>
    <x:t>EMPRESA PÚBLICA PARA LA GESTIÓN DEL TURISMO Y EL DEPORTE DE ANDALUCÍA, S.A.</x:t>
  </x:si>
  <x:si>
    <x:t>Espacio para la participación de Andalucía en la feria Fitur 2026</x:t>
  </x:si>
  <x:si>
    <x:t>C2N07-06MC-0825-0212</x:t>
  </x:si>
  <x:si>
    <x:t>LOTE 1 VIAJES EL CORTE INGLÉS S.A.; LOTE 2 VIAJES EL CORTE INGLÉS S.A.</x:t>
  </x:si>
  <x:si>
    <x:t>26006652</x:t>
  </x:si>
  <x:si>
    <x:t>INSTITUTO PARA LA COMPETITIVIDAD EMPRESARIAL DE LA JUNTA DE CASTILLA Y LEÓN</x:t>
  </x:si>
  <x:si>
    <x:t>Diseño, decoración, montaje, desmontaje, mantenimiento, transporte y servicios asociados al stand del ICECYL en las ferias FHA Food and Beverage Singapur 2026 y Prowine Singapur 2026. Lote 1: Servicios en Feria FHA Sg 26. Lote 2: Servicios en Feria Prowine Sg 26.</x:t>
  </x:si>
  <x:si>
    <x:t>A2026/000181</x:t>
  </x:si>
  <x:si>
    <x:t>Singapur</x:t>
  </x:si>
</x:sst>
</file>

<file path=xl/styles.xml><?xml version="1.0" encoding="utf-8"?>
<styleSheet xmlns="http://schemas.openxmlformats.org/spreadsheetml/2006/main">
  <numFmts count="1">
    <numFmt numFmtId="164" formatCode="#,##0.00&quot; €&quot;;[Red]\-#,##0.00&quot; €&quot;"/>
  </numFmts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2"/>
  <x:sheetViews>
    <x:sheetView showGridLines="0" tabSelected="1" zoomScaleNormal="100" workbookViewId="0">
      <x:selection sqref="A1:XFD1"/>
    </x:sheetView>
  </x:sheetViews>
  <x:sheetFormatPr baseColWidth="10" defaultColWidth="16" defaultRowHeight="12.75"/>
  <x:cols>
    <x:col min="1" max="1" width="14.42578125" style="1" customWidth="1"/>
    <x:col min="2" max="2" width="19.85546875" style="1" customWidth="1"/>
    <x:col min="3" max="3" width="11.5703125" style="1" hidden="1" customWidth="1"/>
    <x:col min="4" max="4" width="20.140625" style="1" customWidth="1"/>
    <x:col min="5" max="5" width="11.140625" style="2" customWidth="1"/>
    <x:col min="6" max="6" width="26.7109375" style="1" customWidth="1"/>
    <x:col min="7" max="7" width="47.28515625" style="1" customWidth="1"/>
    <x:col min="8" max="8" width="15.7109375" style="1" customWidth="1"/>
    <x:col min="9" max="9" width="13.42578125" style="1" customWidth="1"/>
    <x:col min="10" max="10" width="17.28515625" style="1" customWidth="1"/>
    <x:col min="11" max="11" width="18" style="1" customWidth="1"/>
    <x:col min="12" max="16384" width="16" style="1"/>
  </x:cols>
  <x:sheetData>
    <x:row r="1" spans="1:11" s="5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4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</x:row>
    <x:row r="2" spans="1:11">
      <x:c r="A2" s="6" t="s">
        <x:v>11</x:v>
      </x:c>
      <x:c r="B2" s="6" t="s">
        <x:v>12</x:v>
      </x:c>
      <x:c r="C2" s="6" t="s">
        <x:v>13</x:v>
      </x:c>
      <x:c r="D2" s="7" t="str">
        <x:f xml:space="preserve">HYPERLINK("https://www.infonalia.es/adjudicaciones0126/26005991.pdf","www.infonalia.es/adjudicaciones0126/26005991.pdf")</x:f>
        <x:v>www.infonalia.es/adjudicaciones0126/26005991.pdf</x:v>
      </x:c>
      <x:c r="E2" s="8" t="s">
        <x:v>14</x:v>
      </x:c>
      <x:c r="F2" s="6" t="s">
        <x:v>15</x:v>
      </x:c>
      <x:c r="G2" s="6" t="s">
        <x:v>16</x:v>
      </x:c>
      <x:c r="H2" s="6" t="s">
        <x:v>17</x:v>
      </x:c>
      <x:c r="I2" s="6" t="s">
        <x:v>18</x:v>
      </x:c>
      <x:c r="J2" s="9" t="n">
        <x:v>223394.54</x:v>
      </x:c>
      <x:c r="K2" s="9" t="n">
        <x:v>225000.00</x:v>
      </x:c>
    </x:row>
    <x:row r="3">
      <x:c r="A3" s="6" t="s">
        <x:v>11</x:v>
      </x:c>
      <x:c r="B3" s="6" t="s">
        <x:v>19</x:v>
      </x:c>
      <x:c r="C3" s="6" t="s">
        <x:v>13</x:v>
      </x:c>
      <x:c r="D3" s="7" t="str">
        <x:f xml:space="preserve">HYPERLINK("https://www.infonalia.es/adjudicaciones0126/26006053.pdf","www.infonalia.es/adjudicaciones0126/26006053.pdf")</x:f>
        <x:v>www.infonalia.es/adjudicaciones0126/26006053.pdf</x:v>
      </x:c>
      <x:c r="E3" s="8" t="s">
        <x:v>20</x:v>
      </x:c>
      <x:c r="F3" s="6" t="s">
        <x:v>21</x:v>
      </x:c>
      <x:c r="G3" s="6" t="s">
        <x:v>22</x:v>
      </x:c>
      <x:c r="H3" s="6" t="s">
        <x:v>23</x:v>
      </x:c>
      <x:c r="I3" s="6" t="s">
        <x:v>18</x:v>
      </x:c>
      <x:c r="J3" s="9" t="s">
        <x:v>24</x:v>
      </x:c>
      <x:c r="K3" s="9" t="n">
        <x:v>322500.00</x:v>
      </x:c>
    </x:row>
    <x:row r="4">
      <x:c r="A4" s="6" t="s">
        <x:v>11</x:v>
      </x:c>
      <x:c r="B4" s="6" t="s">
        <x:v>25</x:v>
      </x:c>
      <x:c r="C4" s="6" t="s">
        <x:v>13</x:v>
      </x:c>
      <x:c r="D4" s="7" t="str">
        <x:f xml:space="preserve">HYPERLINK("https://www.infonalia.es/adjudicaciones0126/26006076.pdf","www.infonalia.es/adjudicaciones0126/26006076.pdf")</x:f>
        <x:v>www.infonalia.es/adjudicaciones0126/26006076.pdf</x:v>
      </x:c>
      <x:c r="E4" s="8" t="s">
        <x:v>26</x:v>
      </x:c>
      <x:c r="F4" s="6" t="s">
        <x:v>27</x:v>
      </x:c>
      <x:c r="G4" s="6" t="s">
        <x:v>28</x:v>
      </x:c>
      <x:c r="H4" s="6" t="s">
        <x:v>29</x:v>
      </x:c>
      <x:c r="I4" s="6" t="s">
        <x:v>30</x:v>
      </x:c>
      <x:c r="J4" s="9" t="n">
        <x:v>524400.00</x:v>
      </x:c>
      <x:c r="K4" s="9" t="n">
        <x:v>532350.00</x:v>
      </x:c>
    </x:row>
    <x:row r="5">
      <x:c r="A5" s="6" t="s">
        <x:v>11</x:v>
      </x:c>
      <x:c r="B5" s="6" t="s">
        <x:v>31</x:v>
      </x:c>
      <x:c r="C5" s="6" t="s">
        <x:v>13</x:v>
      </x:c>
      <x:c r="D5" s="7" t="str">
        <x:f xml:space="preserve">HYPERLINK("https://www.infonalia.es/adjudicaciones0126/26006096.pdf","www.infonalia.es/adjudicaciones0126/26006096.pdf")</x:f>
        <x:v>www.infonalia.es/adjudicaciones0126/26006096.pdf</x:v>
      </x:c>
      <x:c r="E5" s="8" t="s">
        <x:v>32</x:v>
      </x:c>
      <x:c r="F5" s="6" t="s">
        <x:v>33</x:v>
      </x:c>
      <x:c r="G5" s="6" t="s">
        <x:v>34</x:v>
      </x:c>
      <x:c r="H5" s="6" t="s">
        <x:v>35</x:v>
      </x:c>
      <x:c r="I5" s="6" t="s">
        <x:v>36</x:v>
      </x:c>
      <x:c r="J5" s="9" t="n">
        <x:v>5999.00</x:v>
      </x:c>
      <x:c r="K5" s="9" t="n">
        <x:v>8264.46</x:v>
      </x:c>
    </x:row>
    <x:row r="6">
      <x:c r="A6" s="6" t="s">
        <x:v>11</x:v>
      </x:c>
      <x:c r="B6" s="6" t="s">
        <x:v>37</x:v>
      </x:c>
      <x:c r="C6" s="6" t="s">
        <x:v>13</x:v>
      </x:c>
      <x:c r="D6" s="7" t="str">
        <x:f xml:space="preserve">HYPERLINK("https://www.infonalia.es/adjudicaciones0126/26006123.pdf","www.infonalia.es/adjudicaciones0126/26006123.pdf")</x:f>
        <x:v>www.infonalia.es/adjudicaciones0126/26006123.pdf</x:v>
      </x:c>
      <x:c r="E6" s="8" t="s">
        <x:v>38</x:v>
      </x:c>
      <x:c r="F6" s="6" t="s">
        <x:v>39</x:v>
      </x:c>
      <x:c r="G6" s="6" t="s">
        <x:v>40</x:v>
      </x:c>
      <x:c r="H6" s="6" t="s">
        <x:v>41</x:v>
      </x:c>
      <x:c r="I6" s="6" t="s">
        <x:v>18</x:v>
      </x:c>
      <x:c r="J6" s="9" t="n">
        <x:v>58344.00</x:v>
      </x:c>
      <x:c r="K6" s="9" t="n">
        <x:v>74800.00</x:v>
      </x:c>
    </x:row>
    <x:row r="7">
      <x:c r="A7" s="6" t="s">
        <x:v>11</x:v>
      </x:c>
      <x:c r="B7" s="6" t="s">
        <x:v>42</x:v>
      </x:c>
      <x:c r="C7" s="6" t="s">
        <x:v>13</x:v>
      </x:c>
      <x:c r="D7" s="7" t="str">
        <x:f xml:space="preserve">HYPERLINK("https://www.infonalia.es/adjudicaciones0126/26006169.pdf","www.infonalia.es/adjudicaciones0126/26006169.pdf")</x:f>
        <x:v>www.infonalia.es/adjudicaciones0126/26006169.pdf</x:v>
      </x:c>
      <x:c r="E7" s="8" t="s">
        <x:v>43</x:v>
      </x:c>
      <x:c r="F7" s="6" t="s">
        <x:v>44</x:v>
      </x:c>
      <x:c r="G7" s="6" t="s">
        <x:v>45</x:v>
      </x:c>
      <x:c r="H7" s="6" t="s">
        <x:v>46</x:v>
      </x:c>
      <x:c r="I7" s="6" t="s">
        <x:v>47</x:v>
      </x:c>
      <x:c r="J7" s="9" t="n">
        <x:v>32064.00</x:v>
      </x:c>
      <x:c r="K7" s="9" t="n">
        <x:v>32400.00</x:v>
      </x:c>
    </x:row>
    <x:row r="8">
      <x:c r="A8" s="6" t="s">
        <x:v>11</x:v>
      </x:c>
      <x:c r="B8" s="6" t="s">
        <x:v>48</x:v>
      </x:c>
      <x:c r="C8" s="6" t="s">
        <x:v>13</x:v>
      </x:c>
      <x:c r="D8" s="7" t="str">
        <x:f xml:space="preserve">HYPERLINK("https://www.infonalia.es/adjudicaciones0126/26006216.pdf","www.infonalia.es/adjudicaciones0126/26006216.pdf")</x:f>
        <x:v>www.infonalia.es/adjudicaciones0126/26006216.pdf</x:v>
      </x:c>
      <x:c r="E8" s="8" t="s">
        <x:v>49</x:v>
      </x:c>
      <x:c r="F8" s="6" t="s">
        <x:v>50</x:v>
      </x:c>
      <x:c r="G8" s="6" t="s">
        <x:v>51</x:v>
      </x:c>
      <x:c r="H8" s="6" t="s">
        <x:v>52</x:v>
      </x:c>
      <x:c r="I8" s="6" t="s">
        <x:v>30</x:v>
      </x:c>
      <x:c r="J8" s="9" t="s">
        <x:v>24</x:v>
      </x:c>
      <x:c r="K8" s="9" t="n">
        <x:v>43000.00</x:v>
      </x:c>
    </x:row>
    <x:row r="9">
      <x:c r="A9" s="6" t="s">
        <x:v>11</x:v>
      </x:c>
      <x:c r="B9" s="6" t="s">
        <x:v>53</x:v>
      </x:c>
      <x:c r="C9" s="6" t="s">
        <x:v>13</x:v>
      </x:c>
      <x:c r="D9" s="7" t="str">
        <x:f xml:space="preserve">HYPERLINK("https://www.infonalia.es/adjudicaciones0126/26006218.pdf","www.infonalia.es/adjudicaciones0126/26006218.pdf")</x:f>
        <x:v>www.infonalia.es/adjudicaciones0126/26006218.pdf</x:v>
      </x:c>
      <x:c r="E9" s="8" t="s">
        <x:v>54</x:v>
      </x:c>
      <x:c r="F9" s="6" t="s">
        <x:v>55</x:v>
      </x:c>
      <x:c r="G9" s="6" t="s">
        <x:v>56</x:v>
      </x:c>
      <x:c r="H9" s="6" t="s">
        <x:v>57</x:v>
      </x:c>
      <x:c r="I9" s="6" t="s">
        <x:v>58</x:v>
      </x:c>
      <x:c r="J9" s="9" t="n">
        <x:v>128358.56</x:v>
      </x:c>
      <x:c r="K9" s="9" t="n">
        <x:v>130012.90</x:v>
      </x:c>
    </x:row>
    <x:row r="10">
      <x:c r="A10" s="6" t="s">
        <x:v>11</x:v>
      </x:c>
      <x:c r="B10" s="6" t="s">
        <x:v>59</x:v>
      </x:c>
      <x:c r="C10" s="6" t="s">
        <x:v>13</x:v>
      </x:c>
      <x:c r="D10" s="7" t="str">
        <x:f xml:space="preserve">HYPERLINK("https://www.infonalia.es/adjudicaciones0126/26006310.pdf","www.infonalia.es/adjudicaciones0126/26006310.pdf")</x:f>
        <x:v>www.infonalia.es/adjudicaciones0126/26006310.pdf</x:v>
      </x:c>
      <x:c r="E10" s="8" t="s">
        <x:v>60</x:v>
      </x:c>
      <x:c r="F10" s="6" t="s">
        <x:v>61</x:v>
      </x:c>
      <x:c r="G10" s="6" t="s">
        <x:v>62</x:v>
      </x:c>
      <x:c r="H10" s="6" t="s">
        <x:v>63</x:v>
      </x:c>
      <x:c r="I10" s="6" t="s">
        <x:v>58</x:v>
      </x:c>
      <x:c r="J10" s="9" t="n">
        <x:v>15100.00</x:v>
      </x:c>
      <x:c r="K10" s="9" t="n">
        <x:v>17603.92</x:v>
      </x:c>
    </x:row>
    <x:row r="11">
      <x:c r="A11" s="6" t="s">
        <x:v>64</x:v>
      </x:c>
      <x:c r="B11" s="6" t="s">
        <x:v>65</x:v>
      </x:c>
      <x:c r="C11" s="6" t="s">
        <x:v>13</x:v>
      </x:c>
      <x:c r="D11" s="7" t="str">
        <x:f xml:space="preserve">HYPERLINK("https://www.infonalia.es/adjudicaciones0126/26006311.pdf","www.infonalia.es/adjudicaciones0126/26006311.pdf")</x:f>
        <x:v>www.infonalia.es/adjudicaciones0126/26006311.pdf</x:v>
      </x:c>
      <x:c r="E11" s="8" t="s">
        <x:v>66</x:v>
      </x:c>
      <x:c r="F11" s="6" t="s">
        <x:v>67</x:v>
      </x:c>
      <x:c r="G11" s="6" t="s">
        <x:v>68</x:v>
      </x:c>
      <x:c r="H11" s="6" t="s">
        <x:v>69</x:v>
      </x:c>
      <x:c r="I11" s="6" t="s">
        <x:v>58</x:v>
      </x:c>
      <x:c r="J11" s="9" t="n">
        <x:v>226000.00</x:v>
      </x:c>
      <x:c r="K11" s="9" t="n">
        <x:v>570010.34</x:v>
      </x:c>
    </x:row>
    <x:row r="12">
      <x:c r="A12" s="6" t="s">
        <x:v>11</x:v>
      </x:c>
      <x:c r="B12" s="6" t="s">
        <x:v>70</x:v>
      </x:c>
      <x:c r="C12" s="6" t="s">
        <x:v>13</x:v>
      </x:c>
      <x:c r="D12" s="7" t="str">
        <x:f xml:space="preserve">HYPERLINK("https://www.infonalia.es/adjudicaciones0126/26006375.pdf","www.infonalia.es/adjudicaciones0126/26006375.pdf")</x:f>
        <x:v>www.infonalia.es/adjudicaciones0126/26006375.pdf</x:v>
      </x:c>
      <x:c r="E12" s="8" t="s">
        <x:v>71</x:v>
      </x:c>
      <x:c r="F12" s="6" t="s">
        <x:v>72</x:v>
      </x:c>
      <x:c r="G12" s="6" t="s">
        <x:v>73</x:v>
      </x:c>
      <x:c r="H12" s="6" t="s">
        <x:v>74</x:v>
      </x:c>
      <x:c r="I12" s="6" t="s">
        <x:v>75</x:v>
      </x:c>
      <x:c r="J12" s="9" t="n">
        <x:v>22123.06</x:v>
      </x:c>
      <x:c r="K12" s="9" t="n">
        <x:v>30135.00</x:v>
      </x:c>
    </x:row>
    <x:row r="13">
      <x:c r="A13" s="6" t="s">
        <x:v>11</x:v>
      </x:c>
      <x:c r="B13" s="6" t="s">
        <x:v>76</x:v>
      </x:c>
      <x:c r="C13" s="6" t="s">
        <x:v>13</x:v>
      </x:c>
      <x:c r="D13" s="7" t="str">
        <x:f xml:space="preserve">HYPERLINK("https://www.infonalia.es/adjudicaciones0126/26006571.pdf","www.infonalia.es/adjudicaciones0126/26006571.pdf")</x:f>
        <x:v>www.infonalia.es/adjudicaciones0126/26006571.pdf</x:v>
      </x:c>
      <x:c r="E13" s="8" t="s">
        <x:v>77</x:v>
      </x:c>
      <x:c r="F13" s="6" t="s">
        <x:v>78</x:v>
      </x:c>
      <x:c r="G13" s="6" t="s">
        <x:v>79</x:v>
      </x:c>
      <x:c r="H13" s="6" t="s">
        <x:v>80</x:v>
      </x:c>
      <x:c r="I13" s="6" t="s">
        <x:v>58</x:v>
      </x:c>
      <x:c r="J13" s="9" t="n">
        <x:v>703.00</x:v>
      </x:c>
      <x:c r="K13" s="9" t="n">
        <x:v>910.00</x:v>
      </x:c>
    </x:row>
    <x:row r="14">
      <x:c r="A14" s="6" t="s">
        <x:v>11</x:v>
      </x:c>
      <x:c r="B14" s="6" t="s">
        <x:v>81</x:v>
      </x:c>
      <x:c r="C14" s="6" t="s">
        <x:v>13</x:v>
      </x:c>
      <x:c r="D14" s="7" t="str">
        <x:f xml:space="preserve">HYPERLINK("https://www.infonalia.es/adjudicaciones0126/26006585.pdf","www.infonalia.es/adjudicaciones0126/26006585.pdf")</x:f>
        <x:v>www.infonalia.es/adjudicaciones0126/26006585.pdf</x:v>
      </x:c>
      <x:c r="E14" s="8" t="s">
        <x:v>82</x:v>
      </x:c>
      <x:c r="F14" s="6" t="s">
        <x:v>83</x:v>
      </x:c>
      <x:c r="G14" s="6" t="s">
        <x:v>84</x:v>
      </x:c>
      <x:c r="H14" s="6" t="s">
        <x:v>85</x:v>
      </x:c>
      <x:c r="I14" s="6" t="s">
        <x:v>18</x:v>
      </x:c>
      <x:c r="J14" s="9" t="n">
        <x:v>1850.00</x:v>
      </x:c>
      <x:c r="K14" s="9" t="n">
        <x:v>1850.00</x:v>
      </x:c>
    </x:row>
    <x:row r="15">
      <x:c r="A15" s="6" t="s">
        <x:v>11</x:v>
      </x:c>
      <x:c r="B15" s="6" t="s">
        <x:v>86</x:v>
      </x:c>
      <x:c r="C15" s="6" t="s">
        <x:v>13</x:v>
      </x:c>
      <x:c r="D15" s="7" t="str">
        <x:f xml:space="preserve">HYPERLINK("https://www.infonalia.es/adjudicaciones0126/26006586.pdf","www.infonalia.es/adjudicaciones0126/26006586.pdf")</x:f>
        <x:v>www.infonalia.es/adjudicaciones0126/26006586.pdf</x:v>
      </x:c>
      <x:c r="E15" s="8" t="s">
        <x:v>87</x:v>
      </x:c>
      <x:c r="F15" s="6" t="s">
        <x:v>88</x:v>
      </x:c>
      <x:c r="G15" s="6" t="s">
        <x:v>89</x:v>
      </x:c>
      <x:c r="H15" s="6" t="s">
        <x:v>90</x:v>
      </x:c>
      <x:c r="I15" s="6" t="s">
        <x:v>18</x:v>
      </x:c>
      <x:c r="J15" s="9" t="n">
        <x:v>29822.00</x:v>
      </x:c>
      <x:c r="K15" s="9" t="n">
        <x:v>29822.00</x:v>
      </x:c>
    </x:row>
    <x:row r="16">
      <x:c r="A16" s="6" t="s">
        <x:v>11</x:v>
      </x:c>
      <x:c r="B16" s="6" t="s">
        <x:v>91</x:v>
      </x:c>
      <x:c r="C16" s="6" t="s">
        <x:v>13</x:v>
      </x:c>
      <x:c r="D16" s="7" t="str">
        <x:f xml:space="preserve">HYPERLINK("https://www.infonalia.es/adjudicaciones0126/26006589.pdf","www.infonalia.es/adjudicaciones0126/26006589.pdf")</x:f>
        <x:v>www.infonalia.es/adjudicaciones0126/26006589.pdf</x:v>
      </x:c>
      <x:c r="E16" s="8" t="s">
        <x:v>92</x:v>
      </x:c>
      <x:c r="F16" s="6" t="s">
        <x:v>93</x:v>
      </x:c>
      <x:c r="G16" s="6" t="s">
        <x:v>94</x:v>
      </x:c>
      <x:c r="H16" s="6" t="s">
        <x:v>95</x:v>
      </x:c>
      <x:c r="I16" s="6" t="s">
        <x:v>18</x:v>
      </x:c>
      <x:c r="J16" s="9" t="n">
        <x:v>64271.42</x:v>
      </x:c>
      <x:c r="K16" s="9" t="n">
        <x:v>64271.42</x:v>
      </x:c>
    </x:row>
    <x:row r="17">
      <x:c r="A17" s="6" t="s">
        <x:v>11</x:v>
      </x:c>
      <x:c r="B17" s="6" t="s">
        <x:v>96</x:v>
      </x:c>
      <x:c r="C17" s="6" t="s">
        <x:v>13</x:v>
      </x:c>
      <x:c r="D17" s="7" t="str">
        <x:f xml:space="preserve">HYPERLINK("https://www.infonalia.es/adjudicaciones0126/26006590.pdf","www.infonalia.es/adjudicaciones0126/26006590.pdf")</x:f>
        <x:v>www.infonalia.es/adjudicaciones0126/26006590.pdf</x:v>
      </x:c>
      <x:c r="E17" s="8" t="s">
        <x:v>97</x:v>
      </x:c>
      <x:c r="F17" s="6" t="s">
        <x:v>98</x:v>
      </x:c>
      <x:c r="G17" s="6" t="s">
        <x:v>99</x:v>
      </x:c>
      <x:c r="H17" s="6" t="s">
        <x:v>100</x:v>
      </x:c>
      <x:c r="I17" s="6" t="s">
        <x:v>18</x:v>
      </x:c>
      <x:c r="J17" s="9" t="n">
        <x:v>206611.57</x:v>
      </x:c>
      <x:c r="K17" s="9" t="n">
        <x:v>206611.57</x:v>
      </x:c>
    </x:row>
    <x:row r="18">
      <x:c r="A18" s="6" t="s">
        <x:v>11</x:v>
      </x:c>
      <x:c r="B18" s="6" t="s">
        <x:v>91</x:v>
      </x:c>
      <x:c r="C18" s="6" t="s">
        <x:v>13</x:v>
      </x:c>
      <x:c r="D18" s="7" t="str">
        <x:f xml:space="preserve">HYPERLINK("https://www.infonalia.es/adjudicaciones0126/26006649.pdf","www.infonalia.es/adjudicaciones0126/26006649.pdf")</x:f>
        <x:v>www.infonalia.es/adjudicaciones0126/26006649.pdf</x:v>
      </x:c>
      <x:c r="E18" s="8" t="s">
        <x:v>101</x:v>
      </x:c>
      <x:c r="F18" s="6" t="s">
        <x:v>102</x:v>
      </x:c>
      <x:c r="G18" s="6" t="s">
        <x:v>103</x:v>
      </x:c>
      <x:c r="H18" s="6" t="s">
        <x:v>104</x:v>
      </x:c>
      <x:c r="I18" s="6" t="s">
        <x:v>18</x:v>
      </x:c>
      <x:c r="J18" s="9" t="n">
        <x:v>1544689.08</x:v>
      </x:c>
      <x:c r="K18" s="9" t="n">
        <x:v>1544689.08</x:v>
      </x:c>
    </x:row>
    <x:row r="19">
      <x:c r="A19" s="6" t="s">
        <x:v>11</x:v>
      </x:c>
      <x:c r="B19" s="6" t="s">
        <x:v>105</x:v>
      </x:c>
      <x:c r="C19" s="6" t="s">
        <x:v>13</x:v>
      </x:c>
      <x:c r="D19" s="7" t="str">
        <x:f xml:space="preserve">HYPERLINK("https://www.infonalia.es/adjudicaciones0126/26006652.pdf","www.infonalia.es/adjudicaciones0126/26006652.pdf")</x:f>
        <x:v>www.infonalia.es/adjudicaciones0126/26006652.pdf</x:v>
      </x:c>
      <x:c r="E19" s="8" t="s">
        <x:v>106</x:v>
      </x:c>
      <x:c r="F19" s="6" t="s">
        <x:v>107</x:v>
      </x:c>
      <x:c r="G19" s="6" t="s">
        <x:v>108</x:v>
      </x:c>
      <x:c r="H19" s="6" t="s">
        <x:v>109</x:v>
      </x:c>
      <x:c r="I19" s="6" t="s">
        <x:v>110</x:v>
      </x:c>
      <x:c r="J19" s="9" t="s">
        <x:v>24</x:v>
      </x:c>
      <x:c r="K19" s="9" t="n">
        <x:v>296543.25</x:v>
      </x:c>
    </x:row>
  </x:sheetData>
  <x:autoFilter ref="A1:K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Adjudicaciones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2024-12-04T08:58:32Z</dcterms:created>
  <dcterms:modified xsi:type="dcterms:W3CDTF">2025-01-20T07:55:24Z</dcterms:modified>
  <dc:language>es-ES</dc:language>
</cp:coreProperties>
</file>