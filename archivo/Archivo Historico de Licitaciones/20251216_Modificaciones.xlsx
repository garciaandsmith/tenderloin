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<x:sst xmlns:x="http://schemas.openxmlformats.org/spreadsheetml/2006/main" count="6" uniqueCount="6">
  <x:si>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</x:si>
  <x:si>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</x:si>
  <x:si>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</x:si>
  <x:si>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</x:si>
  <x:si>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</x:si>
  <x:si>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</x:si>
  <x:si>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2025090576</x:t>
  </x:si>
  <x:si>
    <x:t>Desistimiento / Anulación</x:t>
  </x:si>
  <x:si>
    <x:t>MINISTERIO DE INDUSTRIA Y TURISMO. INSTITUTO DE TURISMO DE ESPAÑA (TURESPAÑA)</x:t>
  </x:si>
  <x:si>
    <x:t>Concesión de obra, para la redacción del proyecto y dirección facultativa, construcción y explotación del Palacio de Congresos y Exposiciones de Madrid</x:t>
  </x:si>
  <x:si>
    <x:t>2025174435</x:t>
  </x:si>
  <x:si>
    <x:t>Corrección de errores</x:t>
  </x:si>
  <x:si>
    <x:t>CONSEJERO DELEGADO DE INGENIERÍA DE SISTEMAS PARA LA DEFENSA DE ESPAÑA S.A., S.M.E. Y M.P</x:t>
  </x:si>
  <x:si>
    <x:t>Servicio de Apoyo a la Consultoría y Gestión de Comunicaciones en el ámbito Aeroportuario</x:t>
  </x:si>
  <x:si>
    <x:t>2025175130</x:t>
  </x:si>
  <x:si>
    <x:t>MINISTERIO DE ECONOMÍA, COMERCIO Y EMPRESA. CONSEJO DE ADMINISTRACIÓN DE ICEX ESPAÑA EXPORTACIÓN E INVERSIONES, E.P.E.</x:t>
  </x:si>
  <x:si>
    <x:t>Contratación de los trabajos de construcción, montaje, mantenimiento y desmontaje de los Pabellones de España a organizar por ICEX en las ediciones de 2026 de las ferias 4YFN y Web Summit</x:t>
  </x:si>
  <x:si>
    <x:t>2025176481</x:t>
  </x:si>
  <x:si>
    <x:t>Aclaración / Ampliación de pliegos</x:t>
  </x:si>
  <x:si>
    <x:t>PROMOTORA D'EXPORTACIONS CATALANES, SA (PRODECA)</x:t>
  </x:si>
  <x:si>
    <x:t>Servicios de diseño, montaje, desmontaje, mantenimiento y supervisión de los stands que conforman los Pabellones de Cataluña en las ferias Expo West (Lote 1) y Summer Fancy Food Show 2026 (Lote 2)</x:t>
  </x:si>
  <x:si>
    <x:t>2025177024</x:t>
  </x:si>
  <x:si>
    <x:t>MINISTERIO DE CULTURA. DIRECCIÓN GENERAL DEL INSTITUTO DE CINEMATOGRAFÍA Y DE LAS ARTES AUDIOVISUALES</x:t>
  </x:si>
  <x:si>
    <x:t>Servicio de asistencia técnica de comunicación a Dirección de Políticas de Marketing del Instituto de la Cinematografía y de las Artes Audiovisuales (ICAA). Lote 1: Relaciones públicas y prensa. Lote 2: Gestión de redes sociales, producción de contenidos digitales y creación y adaptación de páginas web. Lote 3: Imagen corporativa, promoción y diseño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</x:si>
</x:sst>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HYPERLINK("https://www.infonalia.es/modificaciones1225/2025090576.pdf","www.infonalia.es/modificaciones1225/2025090576.pdf")</x:f>
        <x:v>www.infonalia.es/modificaciones1225/2025090576.pdf</x:v>
      </x:c>
      <x:c r="F2" s="5" t="str">
        <x:f xml:space="preserve">HYPERLINK("https://www.infonalia.es/licitaciones0625/2025090576.pdf","www.infonalia.es/licitaciones0625/2025090576.pdf")</x:f>
        <x:v>www.infonalia.es/licitaciones0625/2025090576.pdf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HYPERLINK("https://www.infonalia.es/modificaciones1225/2025174435.pdf","www.infonalia.es/modificaciones1225/2025174435.pdf")</x:f>
        <x:v>www.infonalia.es/modificaciones1225/2025174435.pdf</x:v>
      </x:c>
      <x:c r="F3" s="5" t="str">
        <x:f xml:space="preserve">HYPERLINK("https://www.infonalia.es/licitaciones1225/2025174435.pdf","www.infonalia.es/licitaciones1225/2025174435.pdf")</x:f>
        <x:v>www.infonalia.es/licitaciones1225/2025174435.pdf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HYPERLINK("https://www.infonalia.es/modificaciones1225/2025175130.pdf","www.infonalia.es/modificaciones1225/2025175130.pdf")</x:f>
        <x:v>www.infonalia.es/modificaciones1225/2025175130.pdf</x:v>
      </x:c>
      <x:c r="F4" s="5" t="str">
        <x:f xml:space="preserve">HYPERLINK("https://www.infonalia.es/licitaciones1225/2025175130.pdf","www.infonalia.es/licitaciones1225/2025175130.pdf")</x:f>
        <x:v>www.infonalia.es/licitaciones1225/2025175130.pdf</x:v>
      </x:c>
    </x:row>
    <x:row r="5">
      <x:c r="A5" s="3" t="s">
        <x:v>17</x:v>
      </x:c>
      <x:c r="B5" s="4" t="s">
        <x:v>18</x:v>
      </x:c>
      <x:c r="C5" s="4" t="s">
        <x:v>19</x:v>
      </x:c>
      <x:c r="D5" s="4" t="s">
        <x:v>20</x:v>
      </x:c>
      <x:c r="E5" s="5" t="str">
        <x:f xml:space="preserve">HYPERLINK("https://www.infonalia.es/modificaciones1225/2025176481.pdf","www.infonalia.es/modificaciones1225/2025176481.pdf")</x:f>
        <x:v>www.infonalia.es/modificaciones1225/2025176481.pdf</x:v>
      </x:c>
      <x:c r="F5" s="5" t="str">
        <x:f xml:space="preserve">HYPERLINK("https://www.infonalia.es/licitaciones1225/2025176481.pdf","www.infonalia.es/licitaciones1225/2025176481.pdf")</x:f>
        <x:v>www.infonalia.es/licitaciones1225/2025176481.pdf</x:v>
      </x:c>
    </x:row>
    <x:row r="6">
      <x:c r="A6" s="3" t="s">
        <x:v>21</x:v>
      </x:c>
      <x:c r="B6" s="4" t="s">
        <x:v>11</x:v>
      </x:c>
      <x:c r="C6" s="4" t="s">
        <x:v>22</x:v>
      </x:c>
      <x:c r="D6" s="4" t="s">
        <x:v>23</x:v>
      </x:c>
      <x:c r="E6" s="5" t="str">
        <x:f xml:space="preserve">HYPERLINK("https://www.infonalia.es/modificaciones1225/2025177024.pdf","www.infonalia.es/modificaciones1225/2025177024.pdf")</x:f>
        <x:v>www.infonalia.es/modificaciones1225/2025177024.pdf</x:v>
      </x:c>
      <x:c r="F6" s="5" t="str">
        <x:f xml:space="preserve">HYPERLINK("https://www.infonalia.es/licitaciones1225/2025177024.pdf","www.infonalia.es/licitaciones1225/2025177024.pdf")</x:f>
        <x:v>www.infonalia.es/licitaciones1225/2025177024.pdf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