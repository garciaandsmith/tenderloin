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<x:sst xmlns:x="http://schemas.openxmlformats.org/spreadsheetml/2006/main" count="6" uniqueCount="6">
  <x:si>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</x:si>
  <x:si>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</x:si>
  <x:si>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</x:si>
  <x:si>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</x:si>
  <x:si>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</x:si>
  <x:si>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</x:si>
  <x:si>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2025158944</x:t>
  </x:si>
  <x:si>
    <x:t>Aclaración / Ampliación de pliegos</x:t>
  </x:si>
  <x:si>
    <x:t>AYUNTAMIENTO DE SANTA COLOMA DE GRAMENET (BARCELONA)</x:t>
  </x:si>
  <x:si>
    <x:t>Contratación de una central de medios para la gestión e inserción de la publicidad institucional del Ayuntamiento de Santa Coloma de Gramenet en medios de comunicación locales y generalistas (prensa escrita, prensa digital y radio); en redes sociales (Facebook, X (antes Twitter), Instagram, TikTok y Youtube); patrocinios y colaboraciones en actos y promociones y la gestión de la inserción de anuncios oficiales de carácter obligatorio, encartes, esquelas y clasificados en los diarios de mayor difusión en la zona. Complementariamente es objeto del contrato la promoción del medio ambiente</x:t>
  </x:si>
  <x:si>
    <x:t>2025162619</x:t>
  </x:si>
  <x:si>
    <x:t>AGENCIA DE CONTRATACIÓN SANITARIA DE LA COMUNIDAD DE MADRID</x:t>
  </x:si>
  <x:si>
    <x:t>El objeto del presente contrato es proporcionar un servicio de apoyo a la gestión de pruebas selectivas para acceso a la condición de personal estatutario fijo, que comprende la maquetación y edición de hojas de respuesta múltiple y cuestionarios de examen, servicio de consulta on line para información de los lugares de examen, procesamiento y corrección de las hojas de respuesta y emisión de listados de calificación, distribución y recogida de cuadernillos y hojas de respuesta, con el alcance y contenido que se detalla en el presente pliego y en los pliegos de prescripciones técnicas.</x:t>
  </x:si>
  <x:si>
    <x:t>2025169533</x:t>
  </x:si>
  <x:si>
    <x:t>CONSORCI DE OSONA DE SERVEIS SOCIALS</x:t>
  </x:si>
  <x:si>
    <x:t>Servicio de comunicación para el Consorcio de Osona de Servicios Sociales.</x:t>
  </x:si>
  <x:si>
    <x:t>2025172441</x:t>
  </x:si>
  <x:si>
    <x:t>CANAL DE ISABEL II, S.A.</x:t>
  </x:si>
  <x:si>
    <x:t>Servicios de producción en papel del libro institucional de fotografía histórica</x:t>
  </x:si>
  <x:si>
    <x:t>2025173852</x:t>
  </x:si>
  <x:si>
    <x:t>Corrección de errores</x:t>
  </x:si>
  <x:si>
    <x:t>PLENO DEL AYUNTAMIENTO DE SAN MARTÍN DE OSCOS (ASTURIAS)</x:t>
  </x:si>
  <x:si>
    <x:t>Contrato mixto de servicio y suministro para la ejecución del proyecto de museografía digital del Palacio de Mon en San Martín de Oscos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</x:si>
</x:sst>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HYPERLINK("https://www.infonalia.es/modificaciones1225/2025158944.pdf","www.infonalia.es/modificaciones1225/2025158944.pdf")</x:f>
        <x:v>www.infonalia.es/modificaciones1225/2025158944.pdf</x:v>
      </x:c>
      <x:c r="F2" s="5" t="str">
        <x:f xml:space="preserve">HYPERLINK("https://www.infonalia.es/licitaciones1125/2025158944.pdf","www.infonalia.es/licitaciones1125/2025158944.pdf")</x:f>
        <x:v>www.infonalia.es/licitaciones1125/2025158944.pdf</x:v>
      </x:c>
    </x:row>
    <x:row r="3">
      <x:c r="A3" s="3" t="s">
        <x:v>10</x:v>
      </x:c>
      <x:c r="B3" s="4" t="s">
        <x:v>7</x:v>
      </x:c>
      <x:c r="C3" s="4" t="s">
        <x:v>11</x:v>
      </x:c>
      <x:c r="D3" s="4" t="s">
        <x:v>12</x:v>
      </x:c>
      <x:c r="E3" s="5" t="str">
        <x:f xml:space="preserve">HYPERLINK("https://www.infonalia.es/modificaciones1225/2025162619.pdf","www.infonalia.es/modificaciones1225/2025162619.pdf")</x:f>
        <x:v>www.infonalia.es/modificaciones1225/2025162619.pdf</x:v>
      </x:c>
      <x:c r="F3" s="5" t="str">
        <x:f xml:space="preserve">HYPERLINK("https://www.infonalia.es/licitaciones1125/2025162619.pdf","www.infonalia.es/licitaciones1125/2025162619.pdf")</x:f>
        <x:v>www.infonalia.es/licitaciones1125/2025162619.pdf</x:v>
      </x:c>
    </x:row>
    <x:row r="4">
      <x:c r="A4" s="3" t="s">
        <x:v>13</x:v>
      </x:c>
      <x:c r="B4" s="4" t="s">
        <x:v>7</x:v>
      </x:c>
      <x:c r="C4" s="4" t="s">
        <x:v>14</x:v>
      </x:c>
      <x:c r="D4" s="4" t="s">
        <x:v>15</x:v>
      </x:c>
      <x:c r="E4" s="5" t="str">
        <x:f xml:space="preserve">HYPERLINK("https://www.infonalia.es/modificaciones1225/2025169533.pdf","www.infonalia.es/modificaciones1225/2025169533.pdf")</x:f>
        <x:v>www.infonalia.es/modificaciones1225/2025169533.pdf</x:v>
      </x:c>
      <x:c r="F4" s="5" t="str">
        <x:f xml:space="preserve">HYPERLINK("https://www.infonalia.es/licitaciones1125/2025169533.pdf","www.infonalia.es/licitaciones1125/2025169533.pdf")</x:f>
        <x:v>www.infonalia.es/licitaciones1125/2025169533.pdf</x:v>
      </x:c>
    </x:row>
    <x:row r="5">
      <x:c r="A5" s="3" t="s">
        <x:v>16</x:v>
      </x:c>
      <x:c r="B5" s="4" t="s">
        <x:v>7</x:v>
      </x:c>
      <x:c r="C5" s="4" t="s">
        <x:v>17</x:v>
      </x:c>
      <x:c r="D5" s="4" t="s">
        <x:v>18</x:v>
      </x:c>
      <x:c r="E5" s="5" t="str">
        <x:f xml:space="preserve">HYPERLINK("https://www.infonalia.es/modificaciones1225/2025172441.pdf","www.infonalia.es/modificaciones1225/2025172441.pdf")</x:f>
        <x:v>www.infonalia.es/modificaciones1225/2025172441.pdf</x:v>
      </x:c>
      <x:c r="F5" s="5" t="str">
        <x:f xml:space="preserve">HYPERLINK("https://www.infonalia.es/licitaciones1225/2025172441.pdf","www.infonalia.es/licitaciones1225/2025172441.pdf")</x:f>
        <x:v>www.infonalia.es/licitaciones1225/2025172441.pdf</x:v>
      </x:c>
    </x:row>
    <x:row r="6">
      <x:c r="A6" s="3" t="s">
        <x:v>19</x:v>
      </x:c>
      <x:c r="B6" s="4" t="s">
        <x:v>20</x:v>
      </x:c>
      <x:c r="C6" s="4" t="s">
        <x:v>21</x:v>
      </x:c>
      <x:c r="D6" s="4" t="s">
        <x:v>22</x:v>
      </x:c>
      <x:c r="E6" s="5" t="str">
        <x:f xml:space="preserve">HYPERLINK("https://www.infonalia.es/modificaciones1225/2025173852.pdf","www.infonalia.es/modificaciones1225/2025173852.pdf")</x:f>
        <x:v>www.infonalia.es/modificaciones1225/2025173852.pdf</x:v>
      </x:c>
      <x:c r="F6" s="5" t="str">
        <x:f xml:space="preserve">HYPERLINK("https://www.infonalia.es/licitaciones1225/2025173852.pdf","www.infonalia.es/licitaciones1225/2025173852.pdf")</x:f>
        <x:v>www.infonalia.es/licitaciones1225/2025173852.pdf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