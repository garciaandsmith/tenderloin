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<x:sst xmlns:x="http://schemas.openxmlformats.org/spreadsheetml/2006/main" count="6" uniqueCount="6">
  <x:si>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</x:si>
  <x:si>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</x:si>
  <x:si>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</x:si>
  <x:si>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</x:si>
  <x:si>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</x:si>
  <x:si>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</x:si>
  <x:si>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2025171168</x:t>
  </x:si>
  <x:si>
    <x:t>Corrección de errores</x:t>
  </x:si>
  <x:si>
    <x:t>CONSEJERO DELEGADO DE INGENIERÍA DE SISTEMAS PARA LA DEFENSA DE ESPAÑA S.A., S.M.E. Y M.P</x:t>
  </x:si>
  <x:si>
    <x:t>Servicio de consultoría tecnológica de inteligencia de negocio en el ámbito del planeamiento de recursos</x:t>
  </x:si>
  <x:si>
    <x:t>2025173271</x:t>
  </x:si>
  <x:si>
    <x:t>Cambio de fechas</x:t>
  </x:si>
  <x:si>
    <x:t>INSTITUTO MUNICIPAL PARQUES Y JARDINES DE BARCELONA</x:t>
  </x:si>
  <x:si>
    <x:t>Patrocinio por el 52º Congreso de la Asociación Española de Parques y Jardines Públicos en Barcelona en 2026</x:t>
  </x:si>
  <x:si>
    <x:t>2025179886</x:t>
  </x:si>
  <x:si>
    <x:t>Aclaración / Ampliación de pliegos</x:t>
  </x:si>
  <x:si>
    <x:t>INSTITUTO DE CULTURA DE BARCELONA</x:t>
  </x:si>
  <x:si>
    <x:t>Producción, suministro, montaje, mantenimiento y desmontaje de la museografía de la exposición temporal Cordura y arrebato. 150 años de arquitectura catalana</x:t>
  </x:si>
  <x:si>
    <x:t>2025181533</x:t>
  </x:si>
  <x:si>
    <x:t>AYUNTAMIENTO DE GAVÀ (BARCELONA)</x:t>
  </x:si>
  <x:si>
    <x:t>Contratación de infraestructuras para la feria de espárragos de Gavá. Lote 1 Suministro e instalación de infraestructuras para la Feria de Espárragos de Gavà, lote 2 Suministro de Grupos electrógenos, lote 3 Servicio de sonorización y equipos audiovisuales, lote 4 Servicio de control aforo y afluencia, lote 5 Servicio de decoración ajardinada.</x:t>
  </x:si>
  <x:si>
    <x:t>2025182210</x:t>
  </x:si>
  <x:si>
    <x:t>INSTITUT MUNICIPAL PARCS I JARDINS DE BARCELONA. DEPARTAMENTO DE CONTRATACIÓN</x:t>
  </x:si>
  <x:si>
    <x:t>Contratación del servicio técnico especializado para reforzar el ámbito de la comunicación en Parques y Jardines de Barcelona, Instituto Municipal, con medidas de contratación pública sostenible</x:t>
  </x:si>
  <x:si>
    <x:t>2025183034</x:t>
  </x:si>
  <x:si>
    <x:t>CONSELL COMARCAL DE LA GARROTXA (GIRONA)</x:t>
  </x:si>
  <x:si>
    <x:t>Creación de la ruta del frijol de Santa Pau incluido dentro del proyecto "La Garrotxa soft &amp; smart county. Destino turístico sostenible e inteligente", cofinanciado a través de los Fondos Next Generation EU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</x:si>
</x:sst>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HYPERLINK("https://www.infonalia.es/modificaciones0126/2025171168.pdf","www.infonalia.es/modificaciones0126/2025171168.pdf")</x:f>
        <x:v>www.infonalia.es/modificaciones0126/2025171168.pdf</x:v>
      </x:c>
      <x:c r="F2" s="5" t="str">
        <x:f xml:space="preserve">HYPERLINK("https://www.infonalia.es/licitaciones1225/2025171168.pdf","www.infonalia.es/licitaciones1225/2025171168.pdf")</x:f>
        <x:v>www.infonalia.es/licitaciones1225/2025171168.pdf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HYPERLINK("https://www.infonalia.es/modificaciones0126/2025173271.pdf","www.infonalia.es/modificaciones0126/2025173271.pdf")</x:f>
        <x:v>www.infonalia.es/modificaciones0126/2025173271.pdf</x:v>
      </x:c>
      <x:c r="F3" s="5" t="str">
        <x:f xml:space="preserve">HYPERLINK("https://www.infonalia.es/licitaciones1225/2025173271.pdf","www.infonalia.es/licitaciones1225/2025173271.pdf")</x:f>
        <x:v>www.infonalia.es/licitaciones1225/2025173271.pdf</x:v>
      </x:c>
    </x:row>
    <x:row r="4">
      <x:c r="A4" s="3" t="s">
        <x:v>14</x:v>
      </x:c>
      <x:c r="B4" s="4" t="s">
        <x:v>15</x:v>
      </x:c>
      <x:c r="C4" s="4" t="s">
        <x:v>16</x:v>
      </x:c>
      <x:c r="D4" s="4" t="s">
        <x:v>17</x:v>
      </x:c>
      <x:c r="E4" s="5" t="str">
        <x:f xml:space="preserve">HYPERLINK("https://www.infonalia.es/modificaciones0126/2025179886.pdf","www.infonalia.es/modificaciones0126/2025179886.pdf")</x:f>
        <x:v>www.infonalia.es/modificaciones0126/2025179886.pdf</x:v>
      </x:c>
      <x:c r="F4" s="5" t="str">
        <x:f xml:space="preserve">HYPERLINK("https://www.infonalia.es/licitaciones1225/2025179886.pdf","www.infonalia.es/licitaciones1225/2025179886.pdf")</x:f>
        <x:v>www.infonalia.es/licitaciones1225/2025179886.pdf</x:v>
      </x:c>
    </x:row>
    <x:row r="5">
      <x:c r="A5" s="3" t="s">
        <x:v>18</x:v>
      </x:c>
      <x:c r="B5" s="4" t="s">
        <x:v>15</x:v>
      </x:c>
      <x:c r="C5" s="4" t="s">
        <x:v>19</x:v>
      </x:c>
      <x:c r="D5" s="4" t="s">
        <x:v>20</x:v>
      </x:c>
      <x:c r="E5" s="5" t="str">
        <x:f xml:space="preserve">HYPERLINK("https://www.infonalia.es/modificaciones0126/2025181533.pdf","www.infonalia.es/modificaciones0126/2025181533.pdf")</x:f>
        <x:v>www.infonalia.es/modificaciones0126/2025181533.pdf</x:v>
      </x:c>
      <x:c r="F5" s="5" t="str">
        <x:f xml:space="preserve">HYPERLINK("https://www.infonalia.es/licitaciones1225/2025181533.pdf","www.infonalia.es/licitaciones1225/2025181533.pdf")</x:f>
        <x:v>www.infonalia.es/licitaciones1225/2025181533.pdf</x:v>
      </x:c>
    </x:row>
    <x:row r="6">
      <x:c r="A6" s="3" t="s">
        <x:v>21</x:v>
      </x:c>
      <x:c r="B6" s="4" t="s">
        <x:v>15</x:v>
      </x:c>
      <x:c r="C6" s="4" t="s">
        <x:v>22</x:v>
      </x:c>
      <x:c r="D6" s="4" t="s">
        <x:v>23</x:v>
      </x:c>
      <x:c r="E6" s="5" t="str">
        <x:f xml:space="preserve">HYPERLINK("https://www.infonalia.es/modificaciones0126/2025182210.pdf","www.infonalia.es/modificaciones0126/2025182210.pdf")</x:f>
        <x:v>www.infonalia.es/modificaciones0126/2025182210.pdf</x:v>
      </x:c>
      <x:c r="F6" s="5" t="str">
        <x:f xml:space="preserve">HYPERLINK("https://www.infonalia.es/licitaciones1225/2025182210.pdf","www.infonalia.es/licitaciones1225/2025182210.pdf")</x:f>
        <x:v>www.infonalia.es/licitaciones1225/2025182210.pdf</x:v>
      </x:c>
    </x:row>
    <x:row r="7">
      <x:c r="A7" s="3" t="s">
        <x:v>24</x:v>
      </x:c>
      <x:c r="B7" s="4" t="s">
        <x:v>15</x:v>
      </x:c>
      <x:c r="C7" s="4" t="s">
        <x:v>25</x:v>
      </x:c>
      <x:c r="D7" s="4" t="s">
        <x:v>26</x:v>
      </x:c>
      <x:c r="E7" s="5" t="str">
        <x:f xml:space="preserve">HYPERLINK("https://www.infonalia.es/modificaciones0126/2025183034.pdf","www.infonalia.es/modificaciones0126/2025183034.pdf")</x:f>
        <x:v>www.infonalia.es/modificaciones0126/2025183034.pdf</x:v>
      </x:c>
      <x:c r="F7" s="5" t="str">
        <x:f xml:space="preserve">HYPERLINK("https://www.infonalia.es/licitaciones1225/2025183034.pdf","www.infonalia.es/licitaciones1225/2025183034.pdf")</x:f>
        <x:v>www.infonalia.es/licitaciones1225/2025183034.pdf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