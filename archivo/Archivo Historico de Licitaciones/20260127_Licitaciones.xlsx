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<x:sst xmlns:x="http://schemas.openxmlformats.org/spreadsheetml/2006/main" count="17" uniqueCount="17">
  <x:si>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</x:si>
  <x:si>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</x:si>
  <x:si>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</x:si>
  <x:si>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</x:si>
  <x:si>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</x:si>
  <x:si>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</x:si>
  <x:si>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</x:si>
  <x:si>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</x:si>
  <x:si>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</x:si>
  <x:si>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</x:si>
  <x:si>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</x:si>
  <x:si>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</x:si>
  <x:si>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</x:si>
  <x:si>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</x:si>
  <x:si>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</x:si>
  <x:si>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</x:si>
  <x:si>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</x:si>
  <x:si>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</x:si>
  <x:si>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</x:si>
  <x:si>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10/02/2026</x:t>
  </x:si>
  <x:si>
    <x:t>2026007888</x:t>
  </x:si>
  <x:si>
    <x:t>27/01/2026</x:t>
  </x:si>
  <x:si>
    <x:t>SECRETARÍA GENERAL DE LA FUNDACIÓN INTERNACIONAL Y PARA IBEROAMÉRICA DE ADMINISTRACIÓN POLÍTICAS PÚBLICAS</x:t>
  </x:si>
  <x:si>
    <x:t>Establecimiento de Acuerdo Marco para la contratación de los servicios de apoyo en 1) enfoque de Manejo Integral del Fuego (MIF) y 2) Restauración, protección y uso sostenible de los bosques para las acciones desarrolladas en el marco del programa Amazonía. Lote 1 Servicios de apoyo en enfoque Manejo Integral del Fuego. Lote 2 Servicios de apoyo en bioeconomía y producción sostenible.</x:t>
  </x:si>
  <x:si>
    <x:t>AM-DEMA-2026-002</x:t>
  </x:si>
  <x:si>
    <x:t>Importe sin impuestos</x:t>
  </x:si>
  <x:si>
    <x:t/>
  </x:si>
  <x:si>
    <x:t>-----</x:t>
  </x:si>
  <x:si>
    <x:t>26/01/2026</x:t>
  </x:si>
  <x:si>
    <x:t/>
  </x:si>
  <x:si>
    <x:t>Brasil</x:t>
  </x:si>
  <x:si>
    <x:t>09/02/2026</x:t>
  </x:si>
  <x:si>
    <x:t>2026008057</x:t>
  </x:si>
  <x:si>
    <x:t>MINISTERIO DE HACIENDA. JEFATURA DE UNIDAD DE MEDIOS INTERNOS -ÁREA DE COMPRAS DE LA COMPAÑÍA ESPAÑOLA DE SEGUROS DE CRÉDITO A LA EXPORTACIÓN S.A., S.M.E. (CESCE)</x:t>
  </x:si>
  <x:si>
    <x:t>Elaboración de Publicaciones y Newsletters Cesce</x:t>
  </x:si>
  <x:si>
    <x:t>A01-0126</x:t>
  </x:si>
  <x:si>
    <x:t/>
  </x:si>
  <x:si>
    <x:t>Madrid</x:t>
  </x:si>
  <x:si>
    <x:t>Catalunya - Plataforma de Contratación</x:t>
  </x:si>
  <x:si>
    <x:t>31/01/2026</x:t>
  </x:si>
  <x:si>
    <x:t>2026008130</x:t>
  </x:si>
  <x:si>
    <x:t>AYUNTAMIENTO DE CALAFELL (TARRAGONA)</x:t>
  </x:si>
  <x:si>
    <x:t>Contratación relativa al suministro y servicio de colocación y retirada de distinto material publicitario de las campañas comerciales de promoción económica hasta el 31 de julio de 2026</x:t>
  </x:si>
  <x:si>
    <x:t>04_2026-CNT (Menor)</x:t>
  </x:si>
  <x:si>
    <x:t>IVA excluido</x:t>
  </x:si>
  <x:si>
    <x:t/>
  </x:si>
  <x:si>
    <x:t/>
  </x:si>
  <x:si>
    <x:t>Tarragona</x:t>
  </x:si>
  <x:si>
    <x:t>DOUE - Diario Oficial de la Unión Europea (S)</x:t>
  </x:si>
  <x:si>
    <x:t>04/03/2026</x:t>
  </x:si>
  <x:si>
    <x:t>2026008164</x:t>
  </x:si>
  <x:si>
    <x:t>ICE AGENZIA UFFICIO DI MADRID</x:t>
  </x:si>
  <x:si>
    <x:t>“Licitación europea para la adjudicación de un contrato de arrendamiento de stands, mobiliario y gráficos, así como de servicios relacionados, para la participación italiana en la feria internacional Fruit Attraction 2026, Madrid, del 6 al 8 de octubre</x:t>
  </x:si>
  <x:si>
    <x:t>1</x:t>
  </x:si>
  <x:si>
    <x:t>IVA Excluido.</x:t>
  </x:si>
  <x:si>
    <x:t/>
  </x:si>
  <x:si>
    <x:t>17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</x:si>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</x:sst>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200000.00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HYPERLINK("https://contrataciondelestado.es/wps/poc?uri=deeplink:detalle_licitacion&amp;idEvl=4vflu2a%2BKWpWhbmkna2nXQ%3D%3D","contrataciondelestado.es/wps/poc?uri=deeplink:detalle_licitacion&amp;idEvl=4vflu2a%2BKWpWhbmkna2nXQ%3D%3D")</x:f>
        <x:v>contrataciondelestado.es/wps/poc?uri=deeplink:detalle_licitacion&amp;idEvl=4vflu2a%2BKWpWhbmkna2nXQ%3D%3D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HYPERLINK("https://www.infonalia.es/licitaciones0126/2026007888.pdf","www.infonalia.es/licitaciones0126/2026007888.pdf")</x:f>
        <x:v>www.infonalia.es/licitaciones0126/2026007888.pdf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430000.00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HYPERLINK("https://contrataciondelestado.es/wps/poc?uri=deeplink:detalle_licitacion&amp;idEvl=32HdupUJijsIYE3ZiZ%2BxmQ%3D%3D","contrataciondelestado.es/wps/poc?uri=deeplink:detalle_licitacion&amp;idEvl=32HdupUJijsIYE3ZiZ%2BxmQ%3D%3D")</x:f>
        <x:v>contrataciondelestado.es/wps/poc?uri=deeplink:detalle_licitacion&amp;idEvl=32HdupUJijsIYE3ZiZ%2BxmQ%3D%3D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HYPERLINK("https://www.infonalia.es/licitaciones0126/2026008057.pdf","www.infonalia.es/licitaciones0126/2026008057.pdf")</x:f>
        <x:v>www.infonalia.es/licitaciones0126/2026008057.pdf</x:v>
      </x:c>
    </x:row>
    <x:row r="4">
      <x:c r="A4" s="6" t="s">
        <x:v>17</x:v>
      </x:c>
      <x:c r="B4" s="6" t="s">
        <x:v>38</x:v>
      </x:c>
      <x:c r="C4" s="7" t="s">
        <x:v>39</x:v>
      </x:c>
      <x:c r="D4" s="8" t="s">
        <x:v>40</x:v>
      </x:c>
      <x:c r="E4" s="9" t="s">
        <x:v>21</x:v>
      </x:c>
      <x:c r="F4" s="6" t="s">
        <x:v>41</x:v>
      </x:c>
      <x:c r="G4" s="6" t="s">
        <x:v>42</x:v>
      </x:c>
      <x:c r="H4" s="6" t="s">
        <x:v>43</x:v>
      </x:c>
      <x:c r="I4" s="10" t="n">
        <x:v>14800.00</x:v>
      </x:c>
      <x:c r="J4" s="11" t="s">
        <x:v>44</x:v>
      </x:c>
      <x:c r="K4" s="11" t="s">
        <x:v>45</x:v>
      </x:c>
      <x:c r="L4" s="12" t="str">
        <x:f xml:space="preserve">HYPERLINK("https://contractaciopublica.cat/es/detall-publicacio/300675497","contractaciopublica.cat/es/detall-publicacio/300675497")</x:f>
        <x:v>contractaciopublica.cat/es/detall-publicacio/300675497</x:v>
      </x:c>
      <x:c r="M4" s="11" t="s">
        <x:v>27</x:v>
      </x:c>
      <x:c r="N4" s="13" t="s">
        <x:v>28</x:v>
      </x:c>
      <x:c r="O4" s="11" t="s">
        <x:v>46</x:v>
      </x:c>
      <x:c r="P4" s="11" t="s">
        <x:v>47</x:v>
      </x:c>
      <x:c r="Q4" s="14" t="str">
        <x:f xml:space="preserve">HYPERLINK("https://www.infonalia.es/licitaciones0126/2026008130.pdf","www.infonalia.es/licitaciones0126/2026008130.pdf")</x:f>
        <x:v>www.infonalia.es/licitaciones0126/2026008130.pdf</x:v>
      </x:c>
    </x:row>
    <x:row r="5">
      <x:c r="A5" s="6" t="s">
        <x:v>17</x:v>
      </x:c>
      <x:c r="B5" s="6" t="s">
        <x:v>48</x:v>
      </x:c>
      <x:c r="C5" s="7" t="s">
        <x:v>49</x:v>
      </x:c>
      <x:c r="D5" s="8" t="s">
        <x:v>50</x:v>
      </x:c>
      <x:c r="E5" s="9" t="s">
        <x:v>21</x:v>
      </x:c>
      <x:c r="F5" s="6" t="s">
        <x:v>51</x:v>
      </x:c>
      <x:c r="G5" s="6" t="s">
        <x:v>52</x:v>
      </x:c>
      <x:c r="H5" s="6" t="s">
        <x:v>53</x:v>
      </x:c>
      <x:c r="I5" s="10" t="n">
        <x:v>591360.00</x:v>
      </x:c>
      <x:c r="J5" s="11" t="s">
        <x:v>54</x:v>
      </x:c>
      <x:c r="K5" s="11" t="s">
        <x:v>55</x:v>
      </x:c>
      <x:c r="L5" s="12" t="str">
        <x:f xml:space="preserve">HYPERLINK("https://ice.traspare.com","ice.traspare.com")</x:f>
        <x:v>ice.traspare.com</x:v>
      </x:c>
      <x:c r="M5" s="11" t="s">
        <x:v>56</x:v>
      </x:c>
      <x:c r="N5" s="13" t="s">
        <x:v>28</x:v>
      </x:c>
      <x:c r="O5" s="11" t="s">
        <x:v>57</x:v>
      </x:c>
      <x:c r="P5" s="11" t="s">
        <x:v>37</x:v>
      </x:c>
      <x:c r="Q5" s="14" t="str">
        <x:f xml:space="preserve">HYPERLINK("https://www.infonalia.es/licitaciones0126/2026008164.pdf","www.infonalia.es/licitaciones0126/2026008164.pdf")</x:f>
        <x:v>www.infonalia.es/licitaciones0126/2026008164.pdf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