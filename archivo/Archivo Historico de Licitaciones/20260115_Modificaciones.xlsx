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<x:sst xmlns:x="http://schemas.openxmlformats.org/spreadsheetml/2006/main" count="6" uniqueCount="6">
  <x:si>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</x:si>
  <x:si>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</x:si>
  <x:si>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</x:si>
  <x:si>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</x:si>
  <x:si>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</x:si>
  <x:si>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</x:si>
  <x:si>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2025173271</x:t>
  </x:si>
  <x:si>
    <x:t>Aclaración / Ampliación de pliegos</x:t>
  </x:si>
  <x:si>
    <x:t>INSTITUTO MUNICIPAL PARQUES Y JARDINES DE BARCELONA</x:t>
  </x:si>
  <x:si>
    <x:t>Patrocinio por el 52º Congreso de la Asociación Española de Parques y Jardines Públicos en Barcelona en 2026</x:t>
  </x:si>
  <x:si>
    <x:t>2025179689</x:t>
  </x:si>
  <x:si>
    <x:t>AGÈNCIA DE RESIDUS DE CATALUNYA</x:t>
  </x:si>
  <x:si>
    <x:t>Contratación del servicio de diseño y organización de eventos de la Semana Internacional del Compuesto. Lote 1 Organización de dos eventos notorios en Cataluña. Lote 2 Producción y reparto de kits del compost: Organización de puntos informativos y de autoservicio del compost.</x:t>
  </x:si>
  <x:si>
    <x:t>2025180203</x:t>
  </x:si>
  <x:si>
    <x:t>Corrección de errores</x:t>
  </x:si>
  <x:si>
    <x:t>MINISTERIO DE ASUNTOS EXTERIORES, UNIÓN EUROPEA Y COOPERACIÓN. SECRETARÍA GENERAL DE LA FUNDACIÓN INTERNACIONAL Y PARA IBEROAMÉRICA DE ADMINISTRACIÓN POLÍTICAS PÚBLICAS</x:t>
  </x:si>
  <x:si>
    <x:t>Establecimiento de un Acuerdo Marco mixto para el suministro de material diverso de merchandising, incluyendo el servicio accesorio de serigrafiado, y el servicio de diseño, maquetación, impresión de publicaciones y equivalentes.  L1: Suministro de material diverso de merchandising, incluyendo el servicio accesorio de serigrafiado y transporte. L2: Servicio de diseño, maquetación, impresión, transporte y equivalentes.</x:t>
  </x:si>
  <x:si>
    <x:t>2025181445</x:t>
  </x:si>
  <x:si>
    <x:t>MINISTERIO DE ECONOMÍA, COMERCIO Y EMPRESA. COMITÉ DE CONTRATACIÓN DEL INSTITUTO DE CRÉDITO OFICIAL (ICO)</x:t>
  </x:si>
  <x:si>
    <x:t>Central de Medios para la difusión de acciones publicitarias en medios nacionales del ICO</x:t>
  </x:si>
  <x:si>
    <x:t>2026000068</x:t>
  </x:si>
  <x:si>
    <x:t>ÁREA DE GOBIERNO DE VICEALCALDÍA, PORTAVOZ, SEGURIDAD Y EMERGENCIAS DEL AYUNTAMIENTO DE MADRID</x:t>
  </x:si>
  <x:si>
    <x:t>Apoyo a la gestión de redes sociales y la creación de piezas audiovisuales para los canales online dependientes de la Dirección General de Participación Ciudadana</x:t>
  </x:si>
  <x:si>
    <x:t>2026002928</x:t>
  </x:si>
  <x:si>
    <x:t>FERROCARRIL METROPOLITA DE BARCELONA, SA</x:t>
  </x:si>
  <x:si>
    <x:t>Servicio para la gestión, ejecución y optimización del programa de marqueting de afiliación para los productos Hola Barcelona</x:t>
  </x:si>
  <x:si>
    <x:t>2026002951</x:t>
  </x:si>
  <x:si>
    <x:t>INSTITUTO BARCELONA DEPORTES. AYUNTAMIENTO DE BARCELONA.</x:t>
  </x:si>
  <x:si>
    <x:t>Diseño, organización, producción y dirección de la Gala de presentación oficial de los equipos del Grand Départ Barcelona 2026</x:t>
  </x:si>
  <x:si>
    <x:t>2026003321</x:t>
  </x:si>
  <x:si>
    <x:t>MINISTERIO DE DERECHOS SOCIALES, CONSUMO Y AGENDA 2030. DIRECCIÓN GENERAL DEL INSTITUTO DE MAYORES Y SERVICIOS SOCIALES</x:t>
  </x:si>
  <x:si>
    <x:t>Servicios de soporte para la gestión de redes, comunicaciones y seguridad para el Instituto de Mayores y Servicios Sociales (IMSERSO)</x:t>
  </x:si>
  <x:si>
    <x:t>2026003326</x:t>
  </x:si>
  <x:si>
    <x:t>MINISTERIO DE DEFENSA. CONSEJERO DELEGADO DE INGENIERÍA DE SISTEMAS PARA LA DEFENSA DE ESPAÑA S.A., S.M.E. Y M.P.</x:t>
  </x:si>
  <x:si>
    <x:t>Servicios de consultoría tecnológica de inteligencia de negocio en el ámbito del seguimiento del Plan Industrial y Tecnológico de Seguridad y Defensa (PITSD)</x:t>
  </x:si>
  <x:si>
    <x:t>2026003333</x:t>
  </x:si>
  <x:si>
    <x:t>MADRID DESTINO CULTURA TURISMO Y NEGOCIO, S.A.</x:t>
  </x:si>
  <x:si>
    <x:t>Contratación de la prestación de los servicios de coordinación y trabajo de comunicación, atención a medios y redes sociales de campañas culturales (Lotes 1, 2, 3, 4 y 5) que son encomendadas a Madrid Destino. Lote 1: Navidad y Cabalgata de Reyes, San Isidro y Carnaval. Lote 2: Veranos de la Villa y Refúgiate en la Cultura, Semana Santa y Año Nuevo Chino. Lote 3: Festival Internacional JAZZMADRID. Lote 4: Bienal Flamenco Madrid. Lote 5: Campañas culturales nuevas: medio mes y mes entero.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</x:si>
</x:sst>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HYPERLINK("https://www.infonalia.es/modificaciones0126/2025173271.pdf","www.infonalia.es/modificaciones0126/2025173271.pdf")</x:f>
        <x:v>www.infonalia.es/modificaciones0126/2025173271.pdf</x:v>
      </x:c>
      <x:c r="F2" s="5" t="str">
        <x:f xml:space="preserve">HYPERLINK("https://www.infonalia.es/licitaciones1225/2025173271.pdf","www.infonalia.es/licitaciones1225/2025173271.pdf")</x:f>
        <x:v>www.infonalia.es/licitaciones1225/2025173271.pdf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HYPERLINK("https://www.infonalia.es/modificaciones0126/2025179689.pdf","www.infonalia.es/modificaciones0126/2025179689.pdf")</x:f>
        <x:v>www.infonalia.es/modificaciones0126/2025179689.pdf</x:v>
      </x:c>
      <x:c r="F3" s="5" t="str">
        <x:f xml:space="preserve">HYPERLINK("https://www.infonalia.es/licitaciones1225/2025179689.pdf","www.infonalia.es/licitaciones1225/2025179689.pdf")</x:f>
        <x:v>www.infonalia.es/licitaciones1225/2025179689.pdf</x:v>
      </x:c>
    </x:row>
    <x:row r="4">
      <x:c r="A4" s="3" t="s">
        <x:v>13</x:v>
      </x:c>
      <x:c r="B4" s="4" t="s">
        <x:v>14</x:v>
      </x:c>
      <x:c r="C4" s="4" t="s">
        <x:v>15</x:v>
      </x:c>
      <x:c r="D4" s="4" t="s">
        <x:v>16</x:v>
      </x:c>
      <x:c r="E4" s="5" t="str">
        <x:f xml:space="preserve">HYPERLINK("https://www.infonalia.es/modificaciones0126/2025180203.pdf","www.infonalia.es/modificaciones0126/2025180203.pdf")</x:f>
        <x:v>www.infonalia.es/modificaciones0126/2025180203.pdf</x:v>
      </x:c>
      <x:c r="F4" s="5" t="str">
        <x:f xml:space="preserve">HYPERLINK("https://www.infonalia.es/licitaciones1225/2025180203.pdf","www.infonalia.es/licitaciones1225/2025180203.pdf")</x:f>
        <x:v>www.infonalia.es/licitaciones1225/2025180203.pdf</x:v>
      </x:c>
    </x:row>
    <x:row r="5">
      <x:c r="A5" s="3" t="s">
        <x:v>17</x:v>
      </x:c>
      <x:c r="B5" s="4" t="s">
        <x:v>14</x:v>
      </x:c>
      <x:c r="C5" s="4" t="s">
        <x:v>18</x:v>
      </x:c>
      <x:c r="D5" s="4" t="s">
        <x:v>19</x:v>
      </x:c>
      <x:c r="E5" s="5" t="str">
        <x:f xml:space="preserve">HYPERLINK("https://www.infonalia.es/modificaciones0126/2025181445.pdf","www.infonalia.es/modificaciones0126/2025181445.pdf")</x:f>
        <x:v>www.infonalia.es/modificaciones0126/2025181445.pdf</x:v>
      </x:c>
      <x:c r="F5" s="5" t="str">
        <x:f xml:space="preserve">HYPERLINK("https://www.infonalia.es/licitaciones1225/2025181445.pdf","www.infonalia.es/licitaciones1225/2025181445.pdf")</x:f>
        <x:v>www.infonalia.es/licitaciones1225/2025181445.pdf</x:v>
      </x:c>
    </x:row>
    <x:row r="6">
      <x:c r="A6" s="3" t="s">
        <x:v>20</x:v>
      </x:c>
      <x:c r="B6" s="4" t="s">
        <x:v>14</x:v>
      </x:c>
      <x:c r="C6" s="4" t="s">
        <x:v>21</x:v>
      </x:c>
      <x:c r="D6" s="4" t="s">
        <x:v>22</x:v>
      </x:c>
      <x:c r="E6" s="5" t="str">
        <x:f xml:space="preserve">HYPERLINK("https://www.infonalia.es/modificaciones0126/2026000068.pdf","www.infonalia.es/modificaciones0126/2026000068.pdf")</x:f>
        <x:v>www.infonalia.es/modificaciones0126/2026000068.pdf</x:v>
      </x:c>
      <x:c r="F6" s="5" t="str">
        <x:f xml:space="preserve">HYPERLINK("https://www.infonalia.es/licitaciones0126/2026000068.pdf","www.infonalia.es/licitaciones0126/2026000068.pdf")</x:f>
        <x:v>www.infonalia.es/licitaciones0126/2026000068.pdf</x:v>
      </x:c>
    </x:row>
    <x:row r="7">
      <x:c r="A7" s="3" t="s">
        <x:v>23</x:v>
      </x:c>
      <x:c r="B7" s="4" t="s">
        <x:v>7</x:v>
      </x:c>
      <x:c r="C7" s="4" t="s">
        <x:v>24</x:v>
      </x:c>
      <x:c r="D7" s="4" t="s">
        <x:v>25</x:v>
      </x:c>
      <x:c r="E7" s="5" t="str">
        <x:f xml:space="preserve">HYPERLINK("https://www.infonalia.es/modificaciones0126/2026002928.pdf","www.infonalia.es/modificaciones0126/2026002928.pdf")</x:f>
        <x:v>www.infonalia.es/modificaciones0126/2026002928.pdf</x:v>
      </x:c>
      <x:c r="F7" s="5" t="str">
        <x:f xml:space="preserve">HYPERLINK("https://www.infonalia.es/licitaciones0126/2026002928.pdf","www.infonalia.es/licitaciones0126/2026002928.pdf")</x:f>
        <x:v>www.infonalia.es/licitaciones0126/2026002928.pdf</x:v>
      </x:c>
    </x:row>
    <x:row r="8">
      <x:c r="A8" s="3" t="s">
        <x:v>26</x:v>
      </x:c>
      <x:c r="B8" s="4" t="s">
        <x:v>7</x:v>
      </x:c>
      <x:c r="C8" s="4" t="s">
        <x:v>27</x:v>
      </x:c>
      <x:c r="D8" s="4" t="s">
        <x:v>28</x:v>
      </x:c>
      <x:c r="E8" s="5" t="str">
        <x:f xml:space="preserve">HYPERLINK("https://www.infonalia.es/modificaciones0126/2026002951.pdf","www.infonalia.es/modificaciones0126/2026002951.pdf")</x:f>
        <x:v>www.infonalia.es/modificaciones0126/2026002951.pdf</x:v>
      </x:c>
      <x:c r="F8" s="5" t="str">
        <x:f xml:space="preserve">HYPERLINK("https://www.infonalia.es/licitaciones0126/2026002951.pdf","www.infonalia.es/licitaciones0126/2026002951.pdf")</x:f>
        <x:v>www.infonalia.es/licitaciones0126/2026002951.pdf</x:v>
      </x:c>
    </x:row>
    <x:row r="9">
      <x:c r="A9" s="3" t="s">
        <x:v>29</x:v>
      </x:c>
      <x:c r="B9" s="4" t="s">
        <x:v>7</x:v>
      </x:c>
      <x:c r="C9" s="4" t="s">
        <x:v>30</x:v>
      </x:c>
      <x:c r="D9" s="4" t="s">
        <x:v>31</x:v>
      </x:c>
      <x:c r="E9" s="5" t="str">
        <x:f xml:space="preserve">HYPERLINK("https://www.infonalia.es/modificaciones0126/2026003321.pdf","www.infonalia.es/modificaciones0126/2026003321.pdf")</x:f>
        <x:v>www.infonalia.es/modificaciones0126/2026003321.pdf</x:v>
      </x:c>
      <x:c r="F9" s="5" t="str">
        <x:f xml:space="preserve">HYPERLINK("https://www.infonalia.es/licitaciones0126/2026003321.pdf","www.infonalia.es/licitaciones0126/2026003321.pdf")</x:f>
        <x:v>www.infonalia.es/licitaciones0126/2026003321.pdf</x:v>
      </x:c>
    </x:row>
    <x:row r="10">
      <x:c r="A10" s="3" t="s">
        <x:v>32</x:v>
      </x:c>
      <x:c r="B10" s="4" t="s">
        <x:v>7</x:v>
      </x:c>
      <x:c r="C10" s="4" t="s">
        <x:v>33</x:v>
      </x:c>
      <x:c r="D10" s="4" t="s">
        <x:v>34</x:v>
      </x:c>
      <x:c r="E10" s="5" t="str">
        <x:f xml:space="preserve">HYPERLINK("https://www.infonalia.es/modificaciones0126/2026003326.pdf","www.infonalia.es/modificaciones0126/2026003326.pdf")</x:f>
        <x:v>www.infonalia.es/modificaciones0126/2026003326.pdf</x:v>
      </x:c>
      <x:c r="F10" s="5" t="str">
        <x:f xml:space="preserve">HYPERLINK("https://www.infonalia.es/licitaciones0126/2026003326.pdf","www.infonalia.es/licitaciones0126/2026003326.pdf")</x:f>
        <x:v>www.infonalia.es/licitaciones0126/2026003326.pdf</x:v>
      </x:c>
    </x:row>
    <x:row r="11">
      <x:c r="A11" s="3" t="s">
        <x:v>35</x:v>
      </x:c>
      <x:c r="B11" s="4" t="s">
        <x:v>7</x:v>
      </x:c>
      <x:c r="C11" s="4" t="s">
        <x:v>36</x:v>
      </x:c>
      <x:c r="D11" s="4" t="s">
        <x:v>37</x:v>
      </x:c>
      <x:c r="E11" s="5" t="str">
        <x:f xml:space="preserve">HYPERLINK("https://www.infonalia.es/modificaciones0126/2026003333.pdf","www.infonalia.es/modificaciones0126/2026003333.pdf")</x:f>
        <x:v>www.infonalia.es/modificaciones0126/2026003333.pdf</x:v>
      </x:c>
      <x:c r="F11" s="5" t="str">
        <x:f xml:space="preserve">HYPERLINK("https://www.infonalia.es/licitaciones0126/2026003333.pdf","www.infonalia.es/licitaciones0126/2026003333.pdf")</x:f>
        <x:v>www.infonalia.es/licitaciones0126/2026003333.pdf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