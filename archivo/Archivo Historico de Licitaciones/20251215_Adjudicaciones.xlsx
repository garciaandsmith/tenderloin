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<x:sst xmlns:x="http://schemas.openxmlformats.org/spreadsheetml/2006/main" count="11" uniqueCount="11">
  <x:si>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</x:si>
  <x:si>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</x:si>
  <x:si>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</x:si>
  <x:si>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</x:si>
  <x:si>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</x:si>
  <x:si>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</x:si>
  <x:si>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</x:si>
  <x:si>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</x:si>
  <x:si>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</x:si>
  <x:si>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</x:si>
  <x:si>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</x:si>
  <x:si>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</x:si>
  <x:si>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SERVICIOS CULTURALES ALGAMA S.L</x:t>
  </x:si>
  <x:si>
    <x:t>15/12/2025 0:00:00</x:t>
  </x:si>
  <x:si>
    <x:t>25250617</x:t>
  </x:si>
  <x:si>
    <x:t>PRESIDENCIA DE LA FUNDACIÓN MUNICIPAL DE CULTURA DEL AYUNTAMIENTO DE OVIEDO (ASTURIAS)</x:t>
  </x:si>
  <x:si>
    <x:t>El objeto del presente contrato es la prestación de los servicios técnicos,
 complementarios y auxiliares vinculados a las artes escénicas, según las necesidades
 derivadas del evento y del uso de las infraestructuras y equipamientos destinados a tal
 fin, y que constituyen, básicamente, la actividad ordinaria de la Fundación Municipal de
 Cultura de Oviedo.</x:t>
  </x:si>
  <x:si>
    <x:t>FC2025/214</x:t>
  </x:si>
  <x:si>
    <x:t>Asturias</x:t>
  </x:si>
  <x:si>
    <x:t>ODD SPACES</x:t>
  </x:si>
  <x:si>
    <x:t>25250660</x:t>
  </x:si>
  <x:si>
    <x:t>FUNDACIÓ BARCELONA MOBILE WORLD CAPITAL FOUNDATION</x:t>
  </x:si>
  <x:si>
    <x:t>Servicio de diseño, producción, montaje, desmontaje, mantenimiento, stand management, curaduría de contenidos y otros servicios asociados del espacio “Beat Barcelona 2026” en el marco del MWC Barcelona 2026 (Exp. A/F202525/S).</x:t>
  </x:si>
  <x:si>
    <x:t>A/F202525/S</x:t>
  </x:si>
  <x:si>
    <x:t>Barcelona</x:t>
  </x:si>
  <x:si>
    <x:t>RED MAS MEDIA SL</x:t>
  </x:si>
  <x:si>
    <x:t>25250674</x:t>
  </x:si>
  <x:si>
    <x:t>AYUNTAMIENTO DE SABADELL (BARCELONA)</x:t>
  </x:si>
  <x:si>
    <x:t>El presente contrato tiene por objeto la contratación de los servicios necesarios para la realización de un cortometraje audiovisual, que incluye el desarrollo del guión con el Consejo consultivo de las Personas Mayores de Sabadell, la producción, rodaje, postproducción y entrega final del producto audiovisual completo. Asimismo, ¿se? incluye la realización de una película sonora y en color, de cortometraje, de una duración mínima de 20 minutos, de 35mm sobre la divulgación y sensibilización ciudadana en relación al edadismo. La realización del mismo se hará de forma comunitaria y participativa con los miembros del Consejo consultivo de las Personas Mayores de Sabadell. El Consejo Consultivo de las Personas Mayores de Sabadell es un órgano de participación ciudadana creado con el objetivo de fomentar la participación y la implicación de las personas mayores y las entidades en la gestión de los asuntos municipales que les afectan. Esta iniciativa busca ofrecer un espacio de influencia ciudadana, de expresión, reflexión y corresponsabilidad que enriquezca las políticas públicas, programas y servicios dirigidos a personas mayores de 60 años. ¿Al? actualidad el Consejo se organiza en distintos grupos de trabajo que abordan temas como la soledad no deseada, la comunicación y la promoción de actividades lúdicas y culturales para las personas mayores. Cada comisión tiene su propio calendario de encuentros y una mañana al mes, se realiza un encuentro conjunto de una duración aproximada de 2 horas, para trabajar temas más generales y poner en común y consensuar distintos aspectos</x:t>
  </x:si>
  <x:si>
    <x:t>CLV/2025/58</x:t>
  </x:si>
  <x:si>
    <x:t>LOTE 1 INTERVENTO 2, SL</x:t>
  </x:si>
  <x:si>
    <x:t>25250680</x:t>
  </x:si>
  <x:si>
    <x:t>CENTRO DE CULTURA CONTEMPORÁNEA DE BARCELONA CCCB</x:t>
  </x:si>
  <x:si>
    <x:t>Contrato de suministro para la fabricación y suministro de los elementos expositivos y de montaje y desmontaje de la exposición “EL CULTE A LA BELLESA” que se presentará en el CCCB de mayo a noviembre de 2026. Lote 1 Elementos expositivos. Lote 2 Elementos gráficos.</x:t>
  </x:si>
  <x:si>
    <x:t>CCCB/2025/0005897</x:t>
  </x:si>
  <x:si>
    <x:t>KINOI PRODUCCIONS AUDIOVISUALS SL</x:t>
  </x:si>
  <x:si>
    <x:t>25250688</x:t>
  </x:si>
  <x:si>
    <x:t>ENTITAT MUNICIPAL DESCENTRALITZADA DE VALLDOREIX (BARCELONA)</x:t>
  </x:si>
  <x:si>
    <x:t>Contratación del servicio de sonorización, iluminación, asesoramiento, asistencia técnica y producción de las actividades y eventos, así el suministro en régimen de alquiler de los materiales e infraestructuras necesarias para la prestación del servicio, en relación a la organización de actividades socioculturales y similares incluidas en el ciclo festivo y tradicional de la villa, programaciones estables del ámbito de las artes esc del deporte, juventud, comercio, protocolo y educación organizados por las diversas áreas de la Entidad Municipal Descentralizada de Valldoreix (en adelante, EMD Valldoreix).</x:t>
  </x:si>
  <x:si>
    <x:t>223/2025</x:t>
  </x:si>
  <x:si>
    <x:t>CATPRESS SERVEIS DE COMUNICACIÓ SL</x:t>
  </x:si>
  <x:si>
    <x:t>25250838</x:t>
  </x:si>
  <x:si>
    <x:t>AYUNTAMIENTO DE SANT VICENÇ DE CASTELLET (BARCELONA)</x:t>
  </x:si>
  <x:si>
    <x:t>El objeto del contrato contiene básicamente el servicio de comunicación, gestión de redes sociales, noticias, actas en la web municipal en cuanto a comunicación, relación con los medios de comunicación y confección del boletín municipal de acuerdo con el pliego de prescripciones técnicas particulares</x:t>
  </x:si>
  <x:si>
    <x:t>X2025002637</x:t>
  </x:si>
  <x:si>
    <x:t>YOUBARREL SL</x:t>
  </x:si>
  <x:si>
    <x:t>25250846</x:t>
  </x:si>
  <x:si>
    <x:t>BARCELONA DE SERVEIS MUNICIPALS SA</x:t>
  </x:si>
  <x:si>
    <x:t>Servicios de venta de fotografías, instalación, puesta en marcha y mantenimiento de los sistemas fotográficos digitales y suministros conexos de los materiales necesarios para la venta en el recinto del Parque de Atracciones del Tibidabo.</x:t>
  </x:si>
  <x:si>
    <x:t>2025PT0103AC</x:t>
  </x:si>
  <x:si>
    <x:t>CROMÁTIKA COMUNICACIÓN VISUAL, S.L.; GROW COMUNICACIÓN, S.A.; GRUP MEDIAPRO, S.L.U.; MOMENTUM MADRID, S.A.; TELEFÓNICA BROADCAST SERVICES, S.L.U.; THE BOX ADVERTISING, S.L.</x:t>
  </x:si>
  <x:si>
    <x:t>25251268</x:t>
  </x:si>
  <x:si>
    <x:t>METRO DE MADRID, S.A.</x:t>
  </x:si>
  <x:si>
    <x:t>Servicios de producción de acciones y eventos corporativos de Metro de Madrid, S .A</x:t>
  </x:si>
  <x:si>
    <x:t>6012500173</x:t>
  </x:si>
  <x:si>
    <x:t>Madrid</x:t>
  </x:si>
  <x:si>
    <x:t>Ver detalle de la adjudicación</x:t>
  </x:si>
  <x:si>
    <x:t>SASAPRINT, S.L</x:t>
  </x:si>
  <x:si>
    <x:t>25251351</x:t>
  </x:si>
  <x:si>
    <x:t>CONSEJERO DELEGADO DE LA SOCIEDAD CANARIA DE FOMENTO ECONÓMICO S.A. - PROEXCA</x:t>
  </x:si>
  <x:si>
    <x:t>Diseño y montaje de un stand en la Feria Fruit Logística 2025, a celebrar en Berlín del 5 al 7 de abril 2025</x:t>
  </x:si>
  <x:si>
    <x:t>P_25_25</x:t>
  </x:si>
  <x:si>
    <x:t>Berlín (Alemania)</x:t>
  </x:si>
  <x:si>
    <x:t>PADRE WORLD GROUP, SL</x:t>
  </x:si>
  <x:si>
    <x:t>25251402</x:t>
  </x:si>
  <x:si>
    <x:t>EMPRESA MUNICIPAL DE TRANSPORTES DE MADRID, S.A</x:t>
  </x:si>
  <x:si>
    <x:t>Servicio de creación, desarrollo y producción de 3 cuñas de radio y un spot publicitario con temática navideña de los servicios prestados por EMT de Madrid</x:t>
  </x:si>
  <x:si>
    <x:t>25/112/3N</x:t>
  </x:si>
  <x:si>
    <x:t>Desierto</x:t>
  </x:si>
  <x:si>
    <x:t>DESIERTO</x:t>
  </x:si>
  <x:si>
    <x:t>25251475</x:t>
  </x:si>
  <x:si>
    <x:t>ALCALDÍA DEL AYUNTAMIENTO DE COSLADA (MADRID)</x:t>
  </x:si>
  <x:si>
    <x:t>Gestión, producción y realización de cuatro mercados temáticos para Navidad y San Isidro 2025, 2026 y 2027.</x:t>
  </x:si>
  <x:si>
    <x:t>2025/57</x:t>
  </x:si>
  <x:si>
    <x:t>FONDAZIONE LA BIENNALE DI VENEZIA</x:t>
  </x:si>
  <x:si>
    <x:t>25251668</x:t>
  </x:si>
  <x:si>
    <x:t>CONSORCIO DEL INSTITUTO RAMON LLULL</x:t>
  </x:si>
  <x:si>
    <x:t>Servicios de promoción y comunicación del proyecto “Catalonia in Venice_Claudia Pagès Rabal: Paper Tears”, la acreditación del acceso a la exposición por parte de la prensa y la autorización del uso del logotipo de la Bienal de Arte de Venecia 2026, para la participación de la cultura catalana en la 61ª edición del evento</x:t>
  </x:si>
  <x:si>
    <x:t>G0833 N-1177/25</x:t>
  </x:si>
  <x:si>
    <x:t>Italia</x:t>
  </x:si>
  <x:si>
    <x:t>CD CORDOBA FUTSAL PATRIMONIO</x:t>
  </x:si>
  <x:si>
    <x:t>25251680</x:t>
  </x:si>
  <x:si>
    <x:t>EMPRESA PÚBLICA PARA LA GESTIÓN DEL TURISMO Y EL DEPORTE DE ANDALUCÍA, S.A</x:t>
  </x:si>
  <x:si>
    <x:t>Patrocinio Córdoba patrimonio de la humanidad fútbol sala temporada 2025-2026</x:t>
  </x:si>
  <x:si>
    <x:t>C2N06-05RZ-1125-0202</x:t>
  </x:si>
  <x:si>
    <x:t>--------</x:t>
  </x:si>
  <x:si>
    <x:t>PREMIER PADEL SPAIN SL</x:t>
  </x:si>
  <x:si>
    <x:t>25251727</x:t>
  </x:si>
  <x:si>
    <x:t>INSTITUT BARCELONA ESPORTS</x:t>
  </x:si>
  <x:si>
    <x:t>Servicios de contratación, mediante procedimiento negociado sin publicidad y sin consulta, por un derecho de exclusiva, del contrato de colaboración publicitaria (Patrocini) en las Premier Padel Finals y sus actividades complementarias</x:t>
  </x:si>
  <x:si>
    <x:t>032_25000205</x:t>
  </x:si>
  <x:si>
    <x:t>NIVELL PUBLICITARI DIGITAL S.L</x:t>
  </x:si>
  <x:si>
    <x:t>25251740</x:t>
  </x:si>
  <x:si>
    <x:t>ÁREA DE GOBIERNO DE VICEALCALDÍA, PORTAVOZ, SEGURIDAD Y EMERGENCIAS DEL AYUNTAMIENTO DE MADRID</x:t>
  </x:si>
  <x:si>
    <x:t>Banderolas para la campaña de navidad 2025-2026 del distrito de Tetuán</x:t>
  </x:si>
  <x:si>
    <x:t>511/2024/09735.42</x:t>
  </x:si>
  <x:si>
    <x:t>ABAST SYSTEMS &amp; SOLUTIONS, S.L. </x:t>
  </x:si>
  <x:si>
    <x:t>25251748</x:t>
  </x:si>
  <x:si>
    <x:t>MINISTERIO DE HACIENDA. D.G. DE RACIONALIZACIÓN Y CENTRALIZACIÓN DE LA CONTRATACIÓN</x:t>
  </x:si>
  <x:si>
    <x:t>Suscripción De Licencias De Modelos De Inteligencia Artificial Chatgpt O Equivalente (Comision Nacional De Los Mercados Y La Competencia)</x:t>
  </x:si>
  <x:si>
    <x:t>CEA5995/2025</x:t>
  </x:si>
  <x:si>
    <x:t>INDRA SOLUCIONES TECNOLOGIAS DE LA INFORMACION S.L.U. </x:t>
  </x:si>
  <x:si>
    <x:t>25251770</x:t>
  </x:si>
  <x:si>
    <x:t>Servicios De Desarrollo Para El Mantenimiento Correctivo/Perfectivo De Historia Clínica Digital (Hcdsns-I), Con Destino A La Atención Especializada Y La Atención Primaria De Ceuta Y Melilla Del Ingesa (Direccion Del Instituto Nacional De Gestion Sanitaria)</x:t>
  </x:si>
  <x:si>
    <x:t>CEA5573/2025</x:t>
  </x:si>
  <x:si>
    <x:t>REED EXHIBITIONS LTD</x:t>
  </x:si>
  <x:si>
    <x:t>25251857</x:t>
  </x:si>
  <x:si>
    <x:t>EMPRESA PÚBLICA PARA LA GESTIÓN DEL TURISMO Y EL DEPORTE DE ANDALUCÍA, S.A.</x:t>
  </x:si>
  <x:si>
    <x:t>Cesión de uso de espacio para la participación de Andalucía en la feria IGTM 2025</x:t>
  </x:si>
  <x:si>
    <x:t>C2N07-06SK-0925-0157</x:t>
  </x:si>
  <x:si>
    <x:t>Francia </x:t>
  </x:si>
  <x:si>
    <x:t>CD AMIGOS DEL BALONCESTO DE ESTEPONA</x:t>
  </x:si>
  <x:si>
    <x:t>25251858</x:t>
  </x:si>
  <x:si>
    <x:t>Patrocinio del equipo ingeniería ambiental cab estepona durante la temporada 2025- 2026</x:t>
  </x:si>
  <x:si>
    <x:t>C2N06-05RG-1125-0208</x:t>
  </x:si>
  <x:si>
    <x:t>25251872</x:t>
  </x:si>
  <x:si>
    <x:t>Descubre cómo renovamos HORTALEZA</x:t>
  </x:si>
  <x:si>
    <x:t>511/2024/09735.40</x:t>
  </x:si>
  <x:si>
    <x:t>REAL CIENCIAS RUGBY CLUB</x:t>
  </x:si>
  <x:si>
    <x:t>25251903</x:t>
  </x:si>
  <x:si>
    <x:t>Patrocinio ciencias rugby club temporada 2025-2026</x:t>
  </x:si>
  <x:si>
    <x:t>C2N06-05RG-1125-0203</x:t>
  </x:si>
  <x:si>
    <x:t>25251925</x:t>
  </x:si>
  <x:si>
    <x:t>ALCALDÍA DEL AYUNTAMIENTO DE VILLANUEVA DEL PARDILLO (MADRID)</x:t>
  </x:si>
  <x:si>
    <x:t>Servicio de organización y desarrollo del evento Premios Espiga al Deporte de Villanueva del Pardillo</x:t>
  </x:si>
  <x:si>
    <x:t>3382/2025</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</x:si>
</x:sst>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HYPERLINK("https://www.infonalia.es/adjudicaciones1225/25250617.pdf","www.infonalia.es/adjudicaciones1225/25250617.pdf")</x:f>
        <x:v>www.infonalia.es/adjudicaciones1225/25250617.pdf</x:v>
      </x:c>
      <x:c r="E2" s="8" t="s">
        <x:v>14</x:v>
      </x:c>
      <x:c r="F2" s="6" t="s">
        <x:v>15</x:v>
      </x:c>
      <x:c r="G2" s="6" t="s">
        <x:v>16</x:v>
      </x:c>
      <x:c r="H2" s="6" t="s">
        <x:v>17</x:v>
      </x:c>
      <x:c r="I2" s="6" t="s">
        <x:v>18</x:v>
      </x:c>
      <x:c r="J2" s="9" t="n">
        <x:v>4673481.09</x:v>
      </x:c>
      <x:c r="K2" s="9" t="n">
        <x:v>4673481.09</x:v>
      </x:c>
    </x:row>
    <x:row r="3">
      <x:c r="A3" s="6" t="s">
        <x:v>11</x:v>
      </x:c>
      <x:c r="B3" s="6" t="s">
        <x:v>19</x:v>
      </x:c>
      <x:c r="C3" s="6" t="s">
        <x:v>13</x:v>
      </x:c>
      <x:c r="D3" s="7" t="str">
        <x:f xml:space="preserve">HYPERLINK("https://www.infonalia.es/adjudicaciones1225/25250660.pdf","www.infonalia.es/adjudicaciones1225/25250660.pdf")</x:f>
        <x:v>www.infonalia.es/adjudicaciones1225/25250660.pdf</x:v>
      </x:c>
      <x:c r="E3" s="8" t="s">
        <x:v>20</x:v>
      </x:c>
      <x:c r="F3" s="6" t="s">
        <x:v>21</x:v>
      </x:c>
      <x:c r="G3" s="6" t="s">
        <x:v>22</x:v>
      </x:c>
      <x:c r="H3" s="6" t="s">
        <x:v>23</x:v>
      </x:c>
      <x:c r="I3" s="6" t="s">
        <x:v>24</x:v>
      </x:c>
      <x:c r="J3" s="9" t="n">
        <x:v>168500.00</x:v>
      </x:c>
      <x:c r="K3" s="9" t="n">
        <x:v>181430.00</x:v>
      </x:c>
    </x:row>
    <x:row r="4">
      <x:c r="A4" s="6" t="s">
        <x:v>11</x:v>
      </x:c>
      <x:c r="B4" s="6" t="s">
        <x:v>25</x:v>
      </x:c>
      <x:c r="C4" s="6" t="s">
        <x:v>13</x:v>
      </x:c>
      <x:c r="D4" s="7" t="str">
        <x:f xml:space="preserve">HYPERLINK("https://www.infonalia.es/adjudicaciones1225/25250674.pdf","www.infonalia.es/adjudicaciones1225/25250674.pdf")</x:f>
        <x:v>www.infonalia.es/adjudicaciones1225/25250674.pdf</x:v>
      </x:c>
      <x:c r="E4" s="8" t="s">
        <x:v>26</x:v>
      </x:c>
      <x:c r="F4" s="6" t="s">
        <x:v>27</x:v>
      </x:c>
      <x:c r="G4" s="6" t="s">
        <x:v>28</x:v>
      </x:c>
      <x:c r="H4" s="6" t="s">
        <x:v>29</x:v>
      </x:c>
      <x:c r="I4" s="6" t="s">
        <x:v>24</x:v>
      </x:c>
      <x:c r="J4" s="9" t="n">
        <x:v>14000.00</x:v>
      </x:c>
      <x:c r="K4" s="9" t="n">
        <x:v>20661.16</x:v>
      </x:c>
    </x:row>
    <x:row r="5">
      <x:c r="A5" s="6" t="s">
        <x:v>11</x:v>
      </x:c>
      <x:c r="B5" s="6" t="s">
        <x:v>30</x:v>
      </x:c>
      <x:c r="C5" s="6" t="s">
        <x:v>13</x:v>
      </x:c>
      <x:c r="D5" s="7" t="str">
        <x:f xml:space="preserve">HYPERLINK("https://www.infonalia.es/adjudicaciones1225/25250680.pdf","www.infonalia.es/adjudicaciones1225/25250680.pdf")</x:f>
        <x:v>www.infonalia.es/adjudicaciones1225/25250680.pdf</x:v>
      </x:c>
      <x:c r="E5" s="8" t="s">
        <x:v>31</x:v>
      </x:c>
      <x:c r="F5" s="6" t="s">
        <x:v>32</x:v>
      </x:c>
      <x:c r="G5" s="6" t="s">
        <x:v>33</x:v>
      </x:c>
      <x:c r="H5" s="6" t="s">
        <x:v>34</x:v>
      </x:c>
      <x:c r="I5" s="6" t="s">
        <x:v>24</x:v>
      </x:c>
      <x:c r="J5" s="9" t="n">
        <x:v>136811.20</x:v>
      </x:c>
      <x:c r="K5" s="9" t="n">
        <x:v>182500.00</x:v>
      </x:c>
    </x:row>
    <x:row r="6">
      <x:c r="A6" s="6" t="s">
        <x:v>11</x:v>
      </x:c>
      <x:c r="B6" s="6" t="s">
        <x:v>35</x:v>
      </x:c>
      <x:c r="C6" s="6" t="s">
        <x:v>13</x:v>
      </x:c>
      <x:c r="D6" s="7" t="str">
        <x:f xml:space="preserve">HYPERLINK("https://www.infonalia.es/adjudicaciones1225/25250688.pdf","www.infonalia.es/adjudicaciones1225/25250688.pdf")</x:f>
        <x:v>www.infonalia.es/adjudicaciones1225/25250688.pdf</x:v>
      </x:c>
      <x:c r="E6" s="8" t="s">
        <x:v>36</x:v>
      </x:c>
      <x:c r="F6" s="6" t="s">
        <x:v>37</x:v>
      </x:c>
      <x:c r="G6" s="6" t="s">
        <x:v>38</x:v>
      </x:c>
      <x:c r="H6" s="6" t="s">
        <x:v>39</x:v>
      </x:c>
      <x:c r="I6" s="6" t="s">
        <x:v>24</x:v>
      </x:c>
      <x:c r="J6" s="9" t="n">
        <x:v>37327.00</x:v>
      </x:c>
      <x:c r="K6" s="9" t="n">
        <x:v>49569.00</x:v>
      </x:c>
    </x:row>
    <x:row r="7">
      <x:c r="A7" s="6" t="s">
        <x:v>11</x:v>
      </x:c>
      <x:c r="B7" s="6" t="s">
        <x:v>40</x:v>
      </x:c>
      <x:c r="C7" s="6" t="s">
        <x:v>13</x:v>
      </x:c>
      <x:c r="D7" s="7" t="str">
        <x:f xml:space="preserve">HYPERLINK("https://www.infonalia.es/adjudicaciones1225/25250838.pdf","www.infonalia.es/adjudicaciones1225/25250838.pdf")</x:f>
        <x:v>www.infonalia.es/adjudicaciones1225/25250838.pdf</x:v>
      </x:c>
      <x:c r="E7" s="8" t="s">
        <x:v>41</x:v>
      </x:c>
      <x:c r="F7" s="6" t="s">
        <x:v>42</x:v>
      </x:c>
      <x:c r="G7" s="6" t="s">
        <x:v>43</x:v>
      </x:c>
      <x:c r="H7" s="6" t="s">
        <x:v>44</x:v>
      </x:c>
      <x:c r="I7" s="6" t="s">
        <x:v>24</x:v>
      </x:c>
      <x:c r="J7" s="9" t="n">
        <x:v>16660.00</x:v>
      </x:c>
      <x:c r="K7" s="9" t="n">
        <x:v>19834.00</x:v>
      </x:c>
    </x:row>
    <x:row r="8">
      <x:c r="A8" s="6" t="s">
        <x:v>11</x:v>
      </x:c>
      <x:c r="B8" s="6" t="s">
        <x:v>45</x:v>
      </x:c>
      <x:c r="C8" s="6" t="s">
        <x:v>13</x:v>
      </x:c>
      <x:c r="D8" s="7" t="str">
        <x:f xml:space="preserve">HYPERLINK("https://www.infonalia.es/adjudicaciones1225/25250846.pdf","www.infonalia.es/adjudicaciones1225/25250846.pdf")</x:f>
        <x:v>www.infonalia.es/adjudicaciones1225/25250846.pdf</x:v>
      </x:c>
      <x:c r="E8" s="8" t="s">
        <x:v>46</x:v>
      </x:c>
      <x:c r="F8" s="6" t="s">
        <x:v>47</x:v>
      </x:c>
      <x:c r="G8" s="6" t="s">
        <x:v>48</x:v>
      </x:c>
      <x:c r="H8" s="6" t="s">
        <x:v>49</x:v>
      </x:c>
      <x:c r="I8" s="6" t="s">
        <x:v>24</x:v>
      </x:c>
      <x:c r="J8" s="9" t="n">
        <x:v>140000.00</x:v>
      </x:c>
      <x:c r="K8" s="9" t="n">
        <x:v>140000.00</x:v>
      </x:c>
    </x:row>
    <x:row r="9">
      <x:c r="A9" s="6" t="s">
        <x:v>11</x:v>
      </x:c>
      <x:c r="B9" s="6" t="s">
        <x:v>50</x:v>
      </x:c>
      <x:c r="C9" s="6" t="s">
        <x:v>13</x:v>
      </x:c>
      <x:c r="D9" s="7" t="str">
        <x:f xml:space="preserve">HYPERLINK("https://www.infonalia.es/adjudicaciones1225/25251268.pdf","www.infonalia.es/adjudicaciones1225/25251268.pdf")</x:f>
        <x:v>www.infonalia.es/adjudicaciones1225/25251268.pdf</x:v>
      </x:c>
      <x:c r="E9" s="8" t="s">
        <x:v>51</x:v>
      </x:c>
      <x:c r="F9" s="6" t="s">
        <x:v>52</x:v>
      </x:c>
      <x:c r="G9" s="6" t="s">
        <x:v>53</x:v>
      </x:c>
      <x:c r="H9" s="6" t="s">
        <x:v>54</x:v>
      </x:c>
      <x:c r="I9" s="6" t="s">
        <x:v>55</x:v>
      </x:c>
      <x:c r="J9" s="9" t="s">
        <x:v>56</x:v>
      </x:c>
      <x:c r="K9" s="9" t="n">
        <x:v>0.00</x:v>
      </x:c>
    </x:row>
    <x:row r="10">
      <x:c r="A10" s="6" t="s">
        <x:v>11</x:v>
      </x:c>
      <x:c r="B10" s="6" t="s">
        <x:v>57</x:v>
      </x:c>
      <x:c r="C10" s="6" t="s">
        <x:v>13</x:v>
      </x:c>
      <x:c r="D10" s="7" t="str">
        <x:f xml:space="preserve">HYPERLINK("https://www.infonalia.es/adjudicaciones1225/25251351.pdf","www.infonalia.es/adjudicaciones1225/25251351.pdf")</x:f>
        <x:v>www.infonalia.es/adjudicaciones1225/25251351.pdf</x:v>
      </x:c>
      <x:c r="E10" s="8" t="s">
        <x:v>58</x:v>
      </x:c>
      <x:c r="F10" s="6" t="s">
        <x:v>59</x:v>
      </x:c>
      <x:c r="G10" s="6" t="s">
        <x:v>60</x:v>
      </x:c>
      <x:c r="H10" s="6" t="s">
        <x:v>61</x:v>
      </x:c>
      <x:c r="I10" s="6" t="s">
        <x:v>62</x:v>
      </x:c>
      <x:c r="J10" s="9" t="n">
        <x:v>38205.00</x:v>
      </x:c>
      <x:c r="K10" s="9" t="n">
        <x:v>45000.00</x:v>
      </x:c>
    </x:row>
    <x:row r="11">
      <x:c r="A11" s="6" t="s">
        <x:v>11</x:v>
      </x:c>
      <x:c r="B11" s="6" t="s">
        <x:v>63</x:v>
      </x:c>
      <x:c r="C11" s="6" t="s">
        <x:v>13</x:v>
      </x:c>
      <x:c r="D11" s="7" t="str">
        <x:f xml:space="preserve">HYPERLINK("https://www.infonalia.es/adjudicaciones1225/25251402.pdf","www.infonalia.es/adjudicaciones1225/25251402.pdf")</x:f>
        <x:v>www.infonalia.es/adjudicaciones1225/25251402.pdf</x:v>
      </x:c>
      <x:c r="E11" s="8" t="s">
        <x:v>64</x:v>
      </x:c>
      <x:c r="F11" s="6" t="s">
        <x:v>65</x:v>
      </x:c>
      <x:c r="G11" s="6" t="s">
        <x:v>66</x:v>
      </x:c>
      <x:c r="H11" s="6" t="s">
        <x:v>67</x:v>
      </x:c>
      <x:c r="I11" s="6" t="s">
        <x:v>55</x:v>
      </x:c>
      <x:c r="J11" s="9" t="n">
        <x:v>28825.00</x:v>
      </x:c>
      <x:c r="K11" s="9" t="n">
        <x:v>36500.00</x:v>
      </x:c>
    </x:row>
    <x:row r="12">
      <x:c r="A12" s="6" t="s">
        <x:v>68</x:v>
      </x:c>
      <x:c r="B12" s="6" t="s">
        <x:v>69</x:v>
      </x:c>
      <x:c r="C12" s="6" t="s">
        <x:v>13</x:v>
      </x:c>
      <x:c r="D12" s="7" t="str">
        <x:f xml:space="preserve">HYPERLINK("https://www.infonalia.es/adjudicaciones1225/25251475.pdf","www.infonalia.es/adjudicaciones1225/25251475.pdf")</x:f>
        <x:v>www.infonalia.es/adjudicaciones1225/25251475.pdf</x:v>
      </x:c>
      <x:c r="E12" s="8" t="s">
        <x:v>70</x:v>
      </x:c>
      <x:c r="F12" s="6" t="s">
        <x:v>71</x:v>
      </x:c>
      <x:c r="G12" s="6" t="s">
        <x:v>72</x:v>
      </x:c>
      <x:c r="H12" s="6" t="s">
        <x:v>73</x:v>
      </x:c>
      <x:c r="I12" s="6" t="s">
        <x:v>55</x:v>
      </x:c>
      <x:c r="J12" s="9" t="s">
        <x:v>56</x:v>
      </x:c>
      <x:c r="K12" s="9" t="n">
        <x:v>15200.00</x:v>
      </x:c>
    </x:row>
    <x:row r="13">
      <x:c r="A13" s="6" t="s">
        <x:v>11</x:v>
      </x:c>
      <x:c r="B13" s="6" t="s">
        <x:v>74</x:v>
      </x:c>
      <x:c r="C13" s="6" t="s">
        <x:v>13</x:v>
      </x:c>
      <x:c r="D13" s="7" t="str">
        <x:f xml:space="preserve">HYPERLINK("https://www.infonalia.es/adjudicaciones1225/25251668.pdf","www.infonalia.es/adjudicaciones1225/25251668.pdf")</x:f>
        <x:v>www.infonalia.es/adjudicaciones1225/25251668.pdf</x:v>
      </x:c>
      <x:c r="E13" s="8" t="s">
        <x:v>75</x:v>
      </x:c>
      <x:c r="F13" s="6" t="s">
        <x:v>76</x:v>
      </x:c>
      <x:c r="G13" s="6" t="s">
        <x:v>77</x:v>
      </x:c>
      <x:c r="H13" s="6" t="s">
        <x:v>78</x:v>
      </x:c>
      <x:c r="I13" s="6" t="s">
        <x:v>79</x:v>
      </x:c>
      <x:c r="J13" s="9" t="n">
        <x:v>25000.00</x:v>
      </x:c>
      <x:c r="K13" s="9" t="n">
        <x:v>25000.00</x:v>
      </x:c>
    </x:row>
    <x:row r="14">
      <x:c r="A14" s="6" t="s">
        <x:v>11</x:v>
      </x:c>
      <x:c r="B14" s="6" t="s">
        <x:v>80</x:v>
      </x:c>
      <x:c r="C14" s="6" t="s">
        <x:v>13</x:v>
      </x:c>
      <x:c r="D14" s="7" t="str">
        <x:f xml:space="preserve">HYPERLINK("https://www.infonalia.es/adjudicaciones1225/25251680.pdf","www.infonalia.es/adjudicaciones1225/25251680.pdf")</x:f>
        <x:v>www.infonalia.es/adjudicaciones1225/25251680.pdf</x:v>
      </x:c>
      <x:c r="E14" s="8" t="s">
        <x:v>81</x:v>
      </x:c>
      <x:c r="F14" s="6" t="s">
        <x:v>82</x:v>
      </x:c>
      <x:c r="G14" s="6" t="s">
        <x:v>83</x:v>
      </x:c>
      <x:c r="H14" s="6" t="s">
        <x:v>84</x:v>
      </x:c>
      <x:c r="I14" s="6" t="s">
        <x:v>85</x:v>
      </x:c>
      <x:c r="J14" s="9" t="n">
        <x:v>50351.24</x:v>
      </x:c>
      <x:c r="K14" s="9" t="n">
        <x:v>50351.24</x:v>
      </x:c>
    </x:row>
    <x:row r="15">
      <x:c r="A15" s="6" t="s">
        <x:v>11</x:v>
      </x:c>
      <x:c r="B15" s="6" t="s">
        <x:v>86</x:v>
      </x:c>
      <x:c r="C15" s="6" t="s">
        <x:v>13</x:v>
      </x:c>
      <x:c r="D15" s="7" t="str">
        <x:f xml:space="preserve">HYPERLINK("https://www.infonalia.es/adjudicaciones1225/25251727.pdf","www.infonalia.es/adjudicaciones1225/25251727.pdf")</x:f>
        <x:v>www.infonalia.es/adjudicaciones1225/25251727.pdf</x:v>
      </x:c>
      <x:c r="E15" s="8" t="s">
        <x:v>87</x:v>
      </x:c>
      <x:c r="F15" s="6" t="s">
        <x:v>88</x:v>
      </x:c>
      <x:c r="G15" s="6" t="s">
        <x:v>89</x:v>
      </x:c>
      <x:c r="H15" s="6" t="s">
        <x:v>90</x:v>
      </x:c>
      <x:c r="I15" s="6" t="s">
        <x:v>24</x:v>
      </x:c>
      <x:c r="J15" s="9" t="n">
        <x:v>388430.00</x:v>
      </x:c>
      <x:c r="K15" s="9" t="n">
        <x:v>388430.00</x:v>
      </x:c>
    </x:row>
    <x:row r="16">
      <x:c r="A16" s="6" t="s">
        <x:v>11</x:v>
      </x:c>
      <x:c r="B16" s="6" t="s">
        <x:v>91</x:v>
      </x:c>
      <x:c r="C16" s="6" t="s">
        <x:v>13</x:v>
      </x:c>
      <x:c r="D16" s="7" t="str">
        <x:f xml:space="preserve">HYPERLINK("https://www.infonalia.es/adjudicaciones1225/25251740.pdf","www.infonalia.es/adjudicaciones1225/25251740.pdf")</x:f>
        <x:v>www.infonalia.es/adjudicaciones1225/25251740.pdf</x:v>
      </x:c>
      <x:c r="E16" s="8" t="s">
        <x:v>92</x:v>
      </x:c>
      <x:c r="F16" s="6" t="s">
        <x:v>93</x:v>
      </x:c>
      <x:c r="G16" s="6" t="s">
        <x:v>94</x:v>
      </x:c>
      <x:c r="H16" s="6" t="s">
        <x:v>95</x:v>
      </x:c>
      <x:c r="I16" s="6" t="s">
        <x:v>55</x:v>
      </x:c>
      <x:c r="J16" s="9" t="n">
        <x:v>10713.40</x:v>
      </x:c>
      <x:c r="K16" s="9" t="n">
        <x:v>10713.40</x:v>
      </x:c>
    </x:row>
    <x:row r="17">
      <x:c r="A17" s="6" t="s">
        <x:v>11</x:v>
      </x:c>
      <x:c r="B17" s="6" t="s">
        <x:v>96</x:v>
      </x:c>
      <x:c r="C17" s="6" t="s">
        <x:v>13</x:v>
      </x:c>
      <x:c r="D17" s="7" t="str">
        <x:f xml:space="preserve">HYPERLINK("https://www.infonalia.es/adjudicaciones1225/25251748.pdf","www.infonalia.es/adjudicaciones1225/25251748.pdf")</x:f>
        <x:v>www.infonalia.es/adjudicaciones1225/25251748.pdf</x:v>
      </x:c>
      <x:c r="E17" s="8" t="s">
        <x:v>97</x:v>
      </x:c>
      <x:c r="F17" s="6" t="s">
        <x:v>98</x:v>
      </x:c>
      <x:c r="G17" s="6" t="s">
        <x:v>99</x:v>
      </x:c>
      <x:c r="H17" s="6" t="s">
        <x:v>100</x:v>
      </x:c>
      <x:c r="I17" s="6" t="s">
        <x:v>55</x:v>
      </x:c>
      <x:c r="J17" s="9" t="n">
        <x:v>26989.14</x:v>
      </x:c>
      <x:c r="K17" s="9" t="n">
        <x:v>27001.00</x:v>
      </x:c>
    </x:row>
    <x:row r="18">
      <x:c r="A18" s="6" t="s">
        <x:v>11</x:v>
      </x:c>
      <x:c r="B18" s="6" t="s">
        <x:v>101</x:v>
      </x:c>
      <x:c r="C18" s="6" t="s">
        <x:v>13</x:v>
      </x:c>
      <x:c r="D18" s="7" t="str">
        <x:f xml:space="preserve">HYPERLINK("https://www.infonalia.es/adjudicaciones1225/25251770.pdf","www.infonalia.es/adjudicaciones1225/25251770.pdf")</x:f>
        <x:v>www.infonalia.es/adjudicaciones1225/25251770.pdf</x:v>
      </x:c>
      <x:c r="E18" s="8" t="s">
        <x:v>102</x:v>
      </x:c>
      <x:c r="F18" s="6" t="s">
        <x:v>98</x:v>
      </x:c>
      <x:c r="G18" s="6" t="s">
        <x:v>103</x:v>
      </x:c>
      <x:c r="H18" s="6" t="s">
        <x:v>104</x:v>
      </x:c>
      <x:c r="I18" s="6" t="s">
        <x:v>55</x:v>
      </x:c>
      <x:c r="J18" s="9" t="n">
        <x:v>105319.00</x:v>
      </x:c>
      <x:c r="K18" s="9" t="n">
        <x:v>135381.82</x:v>
      </x:c>
    </x:row>
    <x:row r="19">
      <x:c r="A19" s="6" t="s">
        <x:v>11</x:v>
      </x:c>
      <x:c r="B19" s="6" t="s">
        <x:v>105</x:v>
      </x:c>
      <x:c r="C19" s="6" t="s">
        <x:v>13</x:v>
      </x:c>
      <x:c r="D19" s="7" t="str">
        <x:f xml:space="preserve">HYPERLINK("https://www.infonalia.es/adjudicaciones1225/25251857.pdf","www.infonalia.es/adjudicaciones1225/25251857.pdf")</x:f>
        <x:v>www.infonalia.es/adjudicaciones1225/25251857.pdf</x:v>
      </x:c>
      <x:c r="E19" s="8" t="s">
        <x:v>106</x:v>
      </x:c>
      <x:c r="F19" s="6" t="s">
        <x:v>107</x:v>
      </x:c>
      <x:c r="G19" s="6" t="s">
        <x:v>108</x:v>
      </x:c>
      <x:c r="H19" s="6" t="s">
        <x:v>109</x:v>
      </x:c>
      <x:c r="I19" s="6" t="s">
        <x:v>110</x:v>
      </x:c>
      <x:c r="J19" s="9" t="n">
        <x:v>31293.00</x:v>
      </x:c>
      <x:c r="K19" s="9" t="n">
        <x:v>31293.00</x:v>
      </x:c>
    </x:row>
    <x:row r="20">
      <x:c r="A20" s="6" t="s">
        <x:v>11</x:v>
      </x:c>
      <x:c r="B20" s="6" t="s">
        <x:v>111</x:v>
      </x:c>
      <x:c r="C20" s="6" t="s">
        <x:v>13</x:v>
      </x:c>
      <x:c r="D20" s="7" t="str">
        <x:f xml:space="preserve">HYPERLINK("https://www.infonalia.es/adjudicaciones1225/25251858.pdf","www.infonalia.es/adjudicaciones1225/25251858.pdf")</x:f>
        <x:v>www.infonalia.es/adjudicaciones1225/25251858.pdf</x:v>
      </x:c>
      <x:c r="E20" s="8" t="s">
        <x:v>112</x:v>
      </x:c>
      <x:c r="F20" s="6" t="s">
        <x:v>107</x:v>
      </x:c>
      <x:c r="G20" s="6" t="s">
        <x:v>113</x:v>
      </x:c>
      <x:c r="H20" s="6" t="s">
        <x:v>114</x:v>
      </x:c>
      <x:c r="I20" s="6" t="s">
        <x:v>85</x:v>
      </x:c>
      <x:c r="J20" s="9" t="n">
        <x:v>50351.23</x:v>
      </x:c>
      <x:c r="K20" s="9" t="n">
        <x:v>50351.23</x:v>
      </x:c>
    </x:row>
    <x:row r="21">
      <x:c r="A21" s="6" t="s">
        <x:v>11</x:v>
      </x:c>
      <x:c r="B21" s="6" t="s">
        <x:v>91</x:v>
      </x:c>
      <x:c r="C21" s="6" t="s">
        <x:v>13</x:v>
      </x:c>
      <x:c r="D21" s="7" t="str">
        <x:f xml:space="preserve">HYPERLINK("https://www.infonalia.es/adjudicaciones1225/25251872.pdf","www.infonalia.es/adjudicaciones1225/25251872.pdf")</x:f>
        <x:v>www.infonalia.es/adjudicaciones1225/25251872.pdf</x:v>
      </x:c>
      <x:c r="E21" s="8" t="s">
        <x:v>115</x:v>
      </x:c>
      <x:c r="F21" s="6" t="s">
        <x:v>93</x:v>
      </x:c>
      <x:c r="G21" s="6" t="s">
        <x:v>116</x:v>
      </x:c>
      <x:c r="H21" s="6" t="s">
        <x:v>117</x:v>
      </x:c>
      <x:c r="I21" s="6" t="s">
        <x:v>55</x:v>
      </x:c>
      <x:c r="J21" s="9" t="n">
        <x:v>1589.20</x:v>
      </x:c>
      <x:c r="K21" s="9" t="n">
        <x:v>1589.20</x:v>
      </x:c>
    </x:row>
    <x:row r="22">
      <x:c r="A22" s="6" t="s">
        <x:v>11</x:v>
      </x:c>
      <x:c r="B22" s="6" t="s">
        <x:v>118</x:v>
      </x:c>
      <x:c r="C22" s="6" t="s">
        <x:v>13</x:v>
      </x:c>
      <x:c r="D22" s="7" t="str">
        <x:f xml:space="preserve">HYPERLINK("https://www.infonalia.es/adjudicaciones1225/25251903.pdf","www.infonalia.es/adjudicaciones1225/25251903.pdf")</x:f>
        <x:v>www.infonalia.es/adjudicaciones1225/25251903.pdf</x:v>
      </x:c>
      <x:c r="E22" s="8" t="s">
        <x:v>119</x:v>
      </x:c>
      <x:c r="F22" s="6" t="s">
        <x:v>107</x:v>
      </x:c>
      <x:c r="G22" s="6" t="s">
        <x:v>120</x:v>
      </x:c>
      <x:c r="H22" s="6" t="s">
        <x:v>121</x:v>
      </x:c>
      <x:c r="I22" s="6" t="s">
        <x:v>85</x:v>
      </x:c>
      <x:c r="J22" s="9" t="n">
        <x:v>50351.24</x:v>
      </x:c>
      <x:c r="K22" s="9" t="n">
        <x:v>50351.24</x:v>
      </x:c>
    </x:row>
    <x:row r="23">
      <x:c r="A23" s="6" t="s">
        <x:v>68</x:v>
      </x:c>
      <x:c r="B23" s="6" t="s">
        <x:v>69</x:v>
      </x:c>
      <x:c r="C23" s="6" t="s">
        <x:v>13</x:v>
      </x:c>
      <x:c r="D23" s="7" t="str">
        <x:f xml:space="preserve">HYPERLINK("https://www.infonalia.es/adjudicaciones1225/25251925.pdf","www.infonalia.es/adjudicaciones1225/25251925.pdf")</x:f>
        <x:v>www.infonalia.es/adjudicaciones1225/25251925.pdf</x:v>
      </x:c>
      <x:c r="E23" s="8" t="s">
        <x:v>122</x:v>
      </x:c>
      <x:c r="F23" s="6" t="s">
        <x:v>123</x:v>
      </x:c>
      <x:c r="G23" s="6" t="s">
        <x:v>124</x:v>
      </x:c>
      <x:c r="H23" s="6" t="s">
        <x:v>125</x:v>
      </x:c>
      <x:c r="I23" s="6" t="s">
        <x:v>55</x:v>
      </x:c>
      <x:c r="J23" s="9" t="s">
        <x:v>56</x:v>
      </x:c>
      <x:c r="K23" s="9" t="n">
        <x:v>38965.00</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