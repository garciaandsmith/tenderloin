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<x:sst xmlns:x="http://schemas.openxmlformats.org/spreadsheetml/2006/main" count="6" uniqueCount="6">
  <x:si>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</x:si>
  <x:si>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</x:si>
  <x:si>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</x:si>
  <x:si>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</x:si>
  <x:si>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</x:si>
  <x:si>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</x:si>
  <x:si>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2025177790</x:t>
  </x:si>
  <x:si>
    <x:t>Aclaración / Ampliación de pliegos</x:t>
  </x:si>
  <x:si>
    <x:t>LOTERIES DE CATALUNYA, SAU</x:t>
  </x:si>
  <x:si>
    <x:t>Servicios integrales de publicidad (estrategia, creatividad, producción, acciones especiales de publicidad, comunicación y asesoramiento permanente) del portafolio de productos de Loterías de Cataluña así como para cualquier nuevo producto que se pueda incorporar y por las acciones relacionadas con juego responsable y destino de beneficios para el año 2026, organizados y gestionados por Loterías de Cataluña SAU</x:t>
  </x:si>
  <x:si>
    <x:t>2026003166</x:t>
  </x:si>
  <x:si>
    <x:t>Corrección de errores</x:t>
  </x:si>
  <x:si>
    <x:t>PRINCIPADO DE ASTURIAS. CONSEJERÍA DE CULTURA, POLÍTICA LLINGÜÍSTICA Y DEPORTE</x:t>
  </x:si>
  <x:si>
    <x:t>Servicio de coedición y comercialización de las obras ganadoras de los Premios Literarios en lengua asturiana convocados por la Consejería de Cultura, Política Llingüística y Deporte del Principado de Asturias en 2025. Lote 1: Obra Bisarma, de Marina Pangua Cuesta, ganadora del XLVI Premio Xosefa Xovellanos de Novela en lengua asturiana. Lote 2: Obra Esti amor asturfalante, de Sofía Fernández Castañón, ganadora del XXXI Premio Xuan María Acebal de Poesía en lengua asturiana. Lote 3: Obra Al verde de El Cierru, de Iris Díaz Trancho, ganadora del XXXI Premio Máximo Fuertes Acevedo de Ensayo en lengua asturiana. Lote 4: Obra Ascensoristes, S.A., de María Ángeles García Rodríguez y Xurde Fernández Fernández, ganadora del XVIII Premio María Josefa Canellada de Literatura infantil y juvenil en lengua asturiana. Lote 5: Obra Mil Venecies, de Agustín Cernuda del Río y Alejandro Castrillo Cernuda, ganadora del XVII Premio Alfonso Iglesias de Cómic en lengua asturiana. Lote 6: Obra Diariu indecente de una docente, de Claudia Gutiérrez Lueje, ganadora del V Premio Enriqueta González Rubín de Narrativa Joven. Lote 7: Obra Sobrante d¿un foriatu recortable primero de les venti cero nueve, de Milio Ureta Soto, ganadora del III Premio Pachín de Melás de Textos Teatrales.</x:t>
  </x:si>
  <x:si>
    <x:t>2026003653</x:t>
  </x:si>
  <x:si>
    <x:t>MADRID DESTINO CULTURA TURISMO Y NEGOCIO, S.A.</x:t>
  </x:si>
  <x:si>
    <x:t>Contratación del montaje y desmontaje de la exposición pelo de tormenta. Homenaje a Francisco Nieva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</x:si>
</x:sst>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HYPERLINK("https://www.infonalia.es/modificaciones0126/2025177790.pdf","www.infonalia.es/modificaciones0126/2025177790.pdf")</x:f>
        <x:v>www.infonalia.es/modificaciones0126/2025177790.pdf</x:v>
      </x:c>
      <x:c r="F2" s="5" t="str">
        <x:f xml:space="preserve">HYPERLINK("https://www.infonalia.es/licitaciones1225/2025177790.pdf","www.infonalia.es/licitaciones1225/2025177790.pdf")</x:f>
        <x:v>www.infonalia.es/licitaciones1225/2025177790.pdf</x:v>
      </x:c>
    </x:row>
    <x:row r="3">
      <x:c r="A3" s="3" t="s">
        <x:v>10</x:v>
      </x:c>
      <x:c r="B3" s="4" t="s">
        <x:v>11</x:v>
      </x:c>
      <x:c r="C3" s="4" t="s">
        <x:v>12</x:v>
      </x:c>
      <x:c r="D3" s="4" t="s">
        <x:v>13</x:v>
      </x:c>
      <x:c r="E3" s="5" t="str">
        <x:f xml:space="preserve">HYPERLINK("https://www.infonalia.es/modificaciones0126/2026003166.pdf","www.infonalia.es/modificaciones0126/2026003166.pdf")</x:f>
        <x:v>www.infonalia.es/modificaciones0126/2026003166.pdf</x:v>
      </x:c>
      <x:c r="F3" s="5" t="str">
        <x:f xml:space="preserve">HYPERLINK("https://www.infonalia.es/licitaciones0126/2026003166.pdf","www.infonalia.es/licitaciones0126/2026003166.pdf")</x:f>
        <x:v>www.infonalia.es/licitaciones0126/2026003166.pdf</x:v>
      </x:c>
    </x:row>
    <x:row r="4">
      <x:c r="A4" s="3" t="s">
        <x:v>14</x:v>
      </x:c>
      <x:c r="B4" s="4" t="s">
        <x:v>11</x:v>
      </x:c>
      <x:c r="C4" s="4" t="s">
        <x:v>15</x:v>
      </x:c>
      <x:c r="D4" s="4" t="s">
        <x:v>16</x:v>
      </x:c>
      <x:c r="E4" s="5" t="str">
        <x:f xml:space="preserve">HYPERLINK("https://www.infonalia.es/modificaciones0126/2026003653.pdf","www.infonalia.es/modificaciones0126/2026003653.pdf")</x:f>
        <x:v>www.infonalia.es/modificaciones0126/2026003653.pdf</x:v>
      </x:c>
      <x:c r="F4" s="5" t="str">
        <x:f xml:space="preserve">HYPERLINK("https://www.infonalia.es/licitaciones0126/2026003653.pdf","www.infonalia.es/licitaciones0126/2026003653.pdf")</x:f>
        <x:v>www.infonalia.es/licitaciones0126/2026003653.pdf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