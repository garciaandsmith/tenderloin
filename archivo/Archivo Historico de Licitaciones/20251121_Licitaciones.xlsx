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<x:sst xmlns:x="http://schemas.openxmlformats.org/spreadsheetml/2006/main" count="17" uniqueCount="17">
  <x:si>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</x:si>
  <x:si>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</x:si>
  <x:si>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</x:si>
  <x:si>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</x:si>
  <x:si>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</x:si>
  <x:si>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</x:si>
  <x:si>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</x:si>
  <x:si>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</x:si>
  <x:si>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</x:si>
  <x:si>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</x:si>
  <x:si>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</x:si>
  <x:si>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</x:si>
  <x:si>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</x:si>
  <x:si>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</x:si>
  <x:si>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</x:si>
  <x:si>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</x:si>
  <x:si>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</x:si>
  <x:si>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</x:si>
  <x:si>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</x:si>
  <x:si>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10/12/2025</x:t>
  </x:si>
  <x:si>
    <x:t>2025166029</x:t>
  </x:si>
  <x:si>
    <x:t>21/11/2025</x:t>
  </x:si>
  <x:si>
    <x:t>JUNTA DE CONTRATACIÓN DEL MINISTERIO DE EDUCACIÓN, FORMACIÓN PROFESIONAL Y DEPORTES</x:t>
  </x:si>
  <x:si>
    <x:t>Servicios necesarios para la participación del Ministerio de Educación, Formación Profesional y Deportes en la Semana de la Educación, Feria Aula 2026</x:t>
  </x:si>
  <x:si>
    <x:t>J250026S</x:t>
  </x:si>
  <x:si>
    <x:t>Importe sin impuestos</x:t>
  </x:si>
  <x:si>
    <x:t/>
  </x:si>
  <x:si>
    <x:t>-----</x:t>
  </x:si>
  <x:si>
    <x:t>20/11/2025</x:t>
  </x:si>
  <x:si>
    <x:t/>
  </x:si>
  <x:si>
    <x:t>Madrid</x:t>
  </x:si>
  <x:si>
    <x:t>05/12/2025</x:t>
  </x:si>
  <x:si>
    <x:t>2025166033</x:t>
  </x:si>
  <x:si>
    <x:t>ALCALDÍA DEL AYUNTAMIENTO DE LANGREO (ASTURIAS)</x:t>
  </x:si>
  <x:si>
    <x:t>Servicio para la ejecución de la campaña de sensibilización e información para la separación de biorresiduos en el municipio de Langreo</x:t>
  </x:si>
  <x:si>
    <x:t>CMA/CA/051/2025</x:t>
  </x:si>
  <x:si>
    <x:t/>
  </x:si>
  <x:si>
    <x:t>Asturias</x:t>
  </x:si>
  <x:si>
    <x:t>2025166181</x:t>
  </x:si>
  <x:si>
    <x:t>CONSEJERA DELEGADA DE LA EMPRESA PÚBLICA DE PROMOCIÓN DEL TURISMO Y LA ARTESANÍA DE CASTILLA-LA MANCHA (ETURIA), S.A</x:t>
  </x:si>
  <x:si>
    <x:t>Servicios de apoyo a las acciones y promociones en las ferias y eventos peninsulares en los que participe ETURIA CLM en 2026</x:t>
  </x:si>
  <x:si>
    <x:t>2025/016368</x:t>
  </x:si>
  <x:si>
    <x:t/>
  </x:si>
  <x:si>
    <x:t>Ver pliegos</x:t>
  </x:si>
  <x:si>
    <x:t>2025166187</x:t>
  </x:si>
  <x:si>
    <x:t>VICEPRESIDENCIA DEL PATRONATO PROVINCIAL DE TURISMO DE GRANADA</x:t>
  </x:si>
  <x:si>
    <x:t>Servicio integral de planificación, organización y ejecución de un acto de promoción en Madrid de la "Ruta de castillos y fortalezas de Granada"</x:t>
  </x:si>
  <x:si>
    <x:t>2025/PES_01/019839</x:t>
  </x:si>
  <x:si>
    <x:t/>
  </x:si>
  <x:si>
    <x:t>2025166250</x:t>
  </x:si>
  <x:si>
    <x:t>JUNTA DE GOBIERNO DEL AYUNTAMIENTO DE MIERES (ASTURIAS)</x:t>
  </x:si>
  <x:si>
    <x:t>Servicio de digitalización para la interpretación del patrimonio industrial de Mieres en el Marco del Plan de Sostenibilidad Turística en destino de la Comarca Montaña Central de Asturias, correspondiente el Plan Territorial de Sostenibilidad Turística en destino del Principado de Asturias 2023. Lote 1: Historia de las instalaciones pozo Santa Bárbara con realidad virtual y fotogrametría 3 D. Lote 2: Recorrido interactivo por la ciudad de Mieres, digitalización de la Oficina de Turismo y Fotogrametría 3 D</x:t>
  </x:si>
  <x:si>
    <x:t>2025/10565 b</x:t>
  </x:si>
  <x:si>
    <x:t/>
  </x:si>
  <x:si>
    <x:t>Community.Vortal</x:t>
  </x:si>
  <x:si>
    <x:t>27/11/2025</x:t>
  </x:si>
  <x:si>
    <x:t>2025166281</x:t>
  </x:si>
  <x:si>
    <x:t>TRANSPORTS DE BARCELONA SA</x:t>
  </x:si>
  <x:si>
    <x:t>Cambio tarifas teleférico.</x:t>
  </x:si>
  <x:si>
    <x:t>16115570</x:t>
  </x:si>
  <x:si>
    <x:t>No consta</x:t>
  </x:si>
  <x:si>
    <x:t/>
  </x:si>
  <x:si>
    <x:t/>
  </x:si>
  <x:si>
    <x:t>Barcelona</x:t>
  </x:si>
  <x:si>
    <x:t>BOPBAR - Boletín Oficial de la Provincia de Barcelona</x:t>
  </x:si>
  <x:si>
    <x:t>12/12/2025</x:t>
  </x:si>
  <x:si>
    <x:t>2025166305</x:t>
  </x:si>
  <x:si>
    <x:t>AYUNTAMIENTO DE GRANOLLERS (BARCELONA)</x:t>
  </x:si>
  <x:si>
    <x:t>Bases reguladoras de la convocatoria para el otorgamiento, en régimen de concurrencia competitiva de una licencia de empleo temporal para el uso privativo del dominio público para la explotación publicitaria del mobiliario urbano del municipio de Granollers.</x:t>
  </x:si>
  <x:si>
    <x:t>Ver texto íntegro del anuncio</x:t>
  </x:si>
  <x:si>
    <x:t/>
  </x:si>
  <x:si>
    <x:t/>
  </x:si>
  <x:si>
    <x:t>2025166375</x:t>
  </x:si>
  <x:si>
    <x:t>MADRID DESTINO CULTURA TURISMO Y NEGOCIO, S.A</x:t>
  </x:si>
  <x:si>
    <x:t>Contrato mixto correspondiente a la contratación del suministro, producción, instalación, desmontaje y recolocación de banderolas sobre farolas, para las campañas de comunicación de Madrid Destino</x:t>
  </x:si>
  <x:si>
    <x:t>SP25-00518 ANUNCIO PREVIO</x:t>
  </x:si>
  <x:si>
    <x:t/>
  </x:si>
  <x:si>
    <x:t>Catalunya - Plataforma de Contratación</x:t>
  </x:si>
  <x:si>
    <x:t>04/12/2025</x:t>
  </x:si>
  <x:si>
    <x:t>2025166480</x:t>
  </x:si>
  <x:si>
    <x:t>AYUNTAMIENTO DE BADALONA (BARCELONA)</x:t>
  </x:si>
  <x:si>
    <x:t>2025/51440P - Contrato de servicios de organización y realización del Mercado del Trasto</x:t>
  </x:si>
  <x:si>
    <x:t>2025/51440P</x:t>
  </x:si>
  <x:si>
    <x:t>IVA excuido</x:t>
  </x:si>
  <x:si>
    <x:t/>
  </x:si>
  <x:si>
    <x:t/>
  </x:si>
  <x:si>
    <x:t>2025166495</x:t>
  </x:si>
  <x:si>
    <x:t>AYUNTAMIENTO DE IGUALADA (BARCELONA)</x:t>
  </x:si>
  <x:si>
    <x:t>Servicios y suministros para el concierto de órgano de fin de año y de los conciertos del festival internacional de órgano 2026. Lote 1 Suministro de equipamientos, producción, proyección en directo y grabación del concierto de órgano de Fin de año y de los conciertos del Festival Internacional de Órgano, lote 2 Servicio de fotografía, lote 3 Servicio de impresión del material gráfico.</x:t>
  </x:si>
  <x:si>
    <x:t>73/2025</x:t>
  </x:si>
  <x:si>
    <x:t/>
  </x:si>
  <x:si>
    <x:t/>
  </x:si>
  <x:si>
    <x:t>2025166508</x:t>
  </x:si>
  <x:si>
    <x:t>AYUNTAMIENTO DE CANOVELLES (BARCELONA)</x:t>
  </x:si>
  <x:si>
    <x:t>Servicio de organización de las Actividades de Reyes</x:t>
  </x:si>
  <x:si>
    <x:t>5501/2025</x:t>
  </x:si>
  <x:si>
    <x:t/>
  </x:si>
  <x:si>
    <x:t/>
  </x:si>
  <x:si>
    <x:t>30/11/2025</x:t>
  </x:si>
  <x:si>
    <x:t>2025166528</x:t>
  </x:si>
  <x:si>
    <x:t>INFORMACIÓ I COMUNICACIÓ DE BARCELONA, S.A</x:t>
  </x:si>
  <x:si>
    <x:t>Retransmisión con Unidad Móvil de TV de la Cabalgata de Reyes 2026 para Betevé. Lote 1 Contratación del servicio completo de unidad móvil (UM) de realización de TV en formato de vídeo HD-SDI y formato de audio digital, para emitir en directo la llegada de los Reyes al Puerto de Barcelona (Portal de la Paz) por el canal Betevé. Lote 2 Contratación del servicio de unidad móvil (UM) de realización de TV en formato de vídeo HD-SDI y formato de audio digital, para emitir en directo el cortejo de la Cabalgata de Reyes desde el Plan de Palau de Barcelona, ​​por el canal Betevé.</x:t>
  </x:si>
  <x:si>
    <x:t>250217</x:t>
  </x:si>
  <x:si>
    <x:t>IVA excluido</x:t>
  </x:si>
  <x:si>
    <x:t/>
  </x:si>
  <x:si>
    <x:t/>
  </x:si>
  <x:si>
    <x:t>2025166532</x:t>
  </x:si>
  <x:si>
    <x:t>AYUNTAMIENTO DE VILADECANS (BARCELONA)</x:t>
  </x:si>
  <x:si>
    <x:t>Servicio de gestión y organización general de la comida de la gente mayor de Viladecans para los años 2026 y 2027.</x:t>
  </x:si>
  <x:si>
    <x:t>ASS/AGI/Contractació/2025/80 -43/2025/CSERV</x:t>
  </x:si>
  <x:si>
    <x:t/>
  </x:si>
  <x:si>
    <x:t/>
  </x:si>
  <x:si>
    <x:t>2025166553</x:t>
  </x:si>
  <x:si>
    <x:t>AYUNTAMIENTO DE LLAGOSTERA (GIRONA)</x:t>
  </x:si>
  <x:si>
    <x:t>Servicio de comunicación y difusión institucional, entorno digital, transparencia, buen gobierno y participación ciudadana del municipio de Llagostera. </x:t>
  </x:si>
  <x:si>
    <x:t>2025/2278</x:t>
  </x:si>
  <x:si>
    <x:t/>
  </x:si>
  <x:si>
    <x:t/>
  </x:si>
  <x:si>
    <x:t>Girona</x:t>
  </x:si>
  <x:si>
    <x:t>2025166569</x:t>
  </x:si>
  <x:si>
    <x:t>DIPUTACIÓN DE TARRAGONA</x:t>
  </x:si>
  <x:si>
    <x:t>Servicio para el seguimiento de noticias en los medios de comunicación y las redes sociales y hemeroteca digital de la Diputación de Tarragona.</x:t>
  </x:si>
  <x:si>
    <x:t>8004330008-2025-0019576</x:t>
  </x:si>
  <x:si>
    <x:t/>
  </x:si>
  <x:si>
    <x:t/>
  </x:si>
  <x:si>
    <x:t>Tarragona</x:t>
  </x:si>
  <x:si>
    <x:t>2025166574</x:t>
  </x:si>
  <x:si>
    <x:t>GENERALITAT DE CATALUNYA. DEPARTAMENTO DE UNIÓN EUROPEA Y ACCIÓN EXTERIOR</x:t>
  </x:si>
  <x:si>
    <x:t>Servicio de catering de los actos protocolarios (actos de altos cargos hacia terceras personas ajenas al Departamento) y/o institucionales, organizados por el Departamento de Unión Europea y Acción Exterior o actos o jornadas también organizados por el Departamento que tengan una duración igual o superior a 5 horas. Lote 1 Servicios de coffee break, desayunos y copa de bienvenida Este lote incluye servicios de menor complejidad técnica y logística, tales como: • Suministro de bebidas calientes y frías • Pequeños aperitivos • Atención puntual en actos de corta duración. Lote 2 Servicios de catering con elaboración más cuidadosa (recepciones, lunchs, tentempiés) Requiere una mayor capacidad técnica, organizativa y de producción, implica: *Elaboración gastronómica más compleja. *Presentación cuidada y servicio actos institucionales. ...</x:t>
  </x:si>
  <x:si>
    <x:t>EXI-2026-12</x:t>
  </x:si>
  <x:si>
    <x:t/>
  </x:si>
  <x:si>
    <x:t/>
  </x:si>
  <x:si>
    <x:t>Catalunya</x:t>
  </x:si>
  <x:si>
    <x:t>09/12/2025</x:t>
  </x:si>
  <x:si>
    <x:t>2025166578</x:t>
  </x:si>
  <x:si>
    <x:t>AMB INFORMACIÓ I SERVEIS, SA</x:t>
  </x:si>
  <x:si>
    <x:t>Servicio de apoyo a la gestión y la dinamización de las redes sociales de AMB Informació i Serveis, S.A (CPS 15/2025). Gestión y dinamización de las redes sociales de CON Movilidad desde donde se dará difusión a la actividad de AMB Informació i Serveis, S.A. (en adelante, CON Información). En este sentido, se impulsará la producción y difusión de contenidos de valor en las redes sociales, promocionando el uso del transporte público y la movilidad del área metropolitana de Barcelona, ​​como parte de su modelo de comunicación.</x:t>
  </x:si>
  <x:si>
    <x:t>CPS 15/2025</x:t>
  </x:si>
  <x:si>
    <x:t/>
  </x:si>
  <x:si>
    <x:t/>
  </x:si>
  <x:si>
    <x:t>22/12/2025</x:t>
  </x:si>
  <x:si>
    <x:t>2025166596</x:t>
  </x:si>
  <x:si>
    <x:t>DIPUTACIÓN DE GIRONA</x:t>
  </x:si>
  <x:si>
    <x:t>2025/4174 Servicio de dirección artística, producción técnica y dinamización del Festival internacional de teatro amateur de Girona.</x:t>
  </x:si>
  <x:si>
    <x:t>2025/4174</x:t>
  </x:si>
  <x:si>
    <x:t/>
  </x:si>
  <x:si>
    <x:t/>
  </x:si>
  <x:si>
    <x:t>2025166606</x:t>
  </x:si>
  <x:si>
    <x:t>PROMOTORA D'EXPORTACIONS CATALANES, SA (PRODECA)</x:t>
  </x:si>
  <x:si>
    <x:t>Servicio de diseño, montaje, desmontaje, mantenimiento y supervisión de los stands que conforman los pabellones de Cataluña en la feria Seafood Expo Global (Lote 1) y Salón Gourmets (Lote 2), y del servicio de concejalía, producción y programación de cocina en directo del espacio Catalonia HUB de la feria Seafood Expo Global</x:t>
  </x:si>
  <x:si>
    <x:t>PRODECA-2026-4</x:t>
  </x:si>
  <x:si>
    <x:t/>
  </x:si>
  <x:si>
    <x:t>19/11/2025</x:t>
  </x:si>
  <x:si>
    <x:t/>
  </x:si>
  <x:si>
    <x:t>Barcelona y Madrid</x:t>
  </x:si>
  <x:si>
    <x:t>2025166656</x:t>
  </x:si>
  <x:si>
    <x:t>CORPORACIÓ CATALANA DE MITJANS AUDIOVISUALS, SA (CCMA, SA)</x:t>
  </x:si>
  <x:si>
    <x:t>Gestión de los canales y perfiles en las plataformas externas de video y audio</x:t>
  </x:si>
  <x:si>
    <x:t>2511OB09</x:t>
  </x:si>
  <x:si>
    <x:t/>
  </x:si>
  <x:si>
    <x:t/>
  </x:si>
  <x:si>
    <x:t>03/12/2025</x:t>
  </x:si>
  <x:si>
    <x:t>2025166664</x:t>
  </x:si>
  <x:si>
    <x:t>CONSORCIO INSTITUTO CATALÁN DE EVALUACIÓN DE POLÍTICAS PÚBLICAS</x:t>
  </x:si>
  <x:si>
    <x:t>Servicio de soporte externo para la producción y realización de los productos audiovisuales y animados de Ivalua</x:t>
  </x:si>
  <x:si>
    <x:t>2026-2</x:t>
  </x:si>
  <x:si>
    <x:t/>
  </x:si>
  <x:si>
    <x:t/>
  </x:si>
  <x:si>
    <x:t>2025166679</x:t>
  </x:si>
  <x:si>
    <x:t>UNIVERSITAT DE BARCELONA</x:t>
  </x:si>
  <x:si>
    <x:t>2025/122 Servicio de agencia de marketing digital de diversos programas y servicios</x:t>
  </x:si>
  <x:si>
    <x:t>2025/122</x:t>
  </x:si>
  <x:si>
    <x:t/>
  </x:si>
  <x:si>
    <x:t/>
  </x:si>
  <x:si>
    <x:t>2025166689</x:t>
  </x:si>
  <x:si>
    <x:t>ENTITAT PÚBLICA EMPRESARIAL RÀDIO ARENYS</x:t>
  </x:si>
  <x:si>
    <x:t>Contratación del servicio de la gestión de la publicidad</x:t>
  </x:si>
  <x:si>
    <x:t>2025-57</x:t>
  </x:si>
  <x:si>
    <x:t/>
  </x:si>
  <x:si>
    <x:t/>
  </x:si>
  <x:si>
    <x:t>2025166691</x:t>
  </x:si>
  <x:si>
    <x:t/>
  </x:si>
  <x:si>
    <x:t/>
  </x:si>
  <x:si>
    <x:t>2025166793</x:t>
  </x:si>
  <x:si>
    <x:t>MINISTERIO DE TRANSPORTES Y MOVILIDAD SOSTENIBLE. PRESIDENCIA DEL CONSEJO DE ADMINISTRACIÓN DE LA AUTORIDAD PORTUARIA DE BARCELONA (PORT DE BARCELONA)</x:t>
  </x:si>
  <x:si>
    <x:t>Diseño, construcción, montaje y desmontaje y transporte de materiales del estand del Port de Barcelona en la feria de la Fruit Logística 2026</x:t>
  </x:si>
  <x:si>
    <x:t>2025-00430</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</x:si>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</x:sst>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142371.78</x:v>
      </x:c>
      <x:c r="J2" s="11" t="s">
        <x:v>25</x:v>
      </x:c>
      <x:c r="K2" s="11" t="s">
        <x:v>26</x:v>
      </x:c>
      <x:c r="L2" s="12" t="str">
        <x:f xml:space="preserve">HYPERLINK("https://contrataciondelestado.es/wps/poc?uri=deeplink:detalle_licitacion&amp;idEvl=KZ0A4PtfOgCOUi78BmzhOQ%3D%3D","contrataciondelestado.es/wps/poc?uri=deeplink:detalle_licitacion&amp;idEvl=KZ0A4PtfOgCOUi78BmzhOQ%3D%3D")</x:f>
        <x:v>contrataciondelestado.es/wps/poc?uri=deeplink:detalle_licitacion&amp;idEvl=KZ0A4PtfOgCOUi78BmzhOQ%3D%3D</x:v>
      </x:c>
      <x:c r="M2" s="11" t="s">
        <x:v>27</x:v>
      </x:c>
      <x:c r="N2" s="13" t="s">
        <x:v>28</x:v>
      </x:c>
      <x:c r="O2" s="11" t="s">
        <x:v>29</x:v>
      </x:c>
      <x:c r="P2" s="11" t="s">
        <x:v>30</x:v>
      </x:c>
      <x:c r="Q2" s="14" t="str">
        <x:f xml:space="preserve">HYPERLINK("https://www.infonalia.es/licitaciones1125/2025166029.pdf","www.infonalia.es/licitaciones1125/2025166029.pdf")</x:f>
        <x:v>www.infonalia.es/licitaciones1125/2025166029.pdf</x:v>
      </x:c>
    </x:row>
    <x:row r="3">
      <x:c r="A3" s="6" t="s">
        <x:v>17</x:v>
      </x:c>
      <x:c r="B3" s="6" t="s">
        <x:v>18</x:v>
      </x:c>
      <x:c r="C3" s="7" t="s">
        <x:v>31</x:v>
      </x:c>
      <x:c r="D3" s="8" t="s">
        <x:v>32</x:v>
      </x:c>
      <x:c r="E3" s="9" t="s">
        <x:v>21</x:v>
      </x:c>
      <x:c r="F3" s="6" t="s">
        <x:v>33</x:v>
      </x:c>
      <x:c r="G3" s="6" t="s">
        <x:v>34</x:v>
      </x:c>
      <x:c r="H3" s="6" t="s">
        <x:v>35</x:v>
      </x:c>
      <x:c r="I3" s="10" t="n">
        <x:v>22314.05</x:v>
      </x:c>
      <x:c r="J3" s="11" t="s">
        <x:v>25</x:v>
      </x:c>
      <x:c r="K3" s="11" t="s">
        <x:v>26</x:v>
      </x:c>
      <x:c r="L3" s="12" t="str">
        <x:f xml:space="preserve">HYPERLINK("https://contrataciondelestado.es/wps/poc?uri=deeplink:detalle_licitacion&amp;idEvl=c0pnbSXzABp%2FP7lJ7Fu0SA%3D%3D","contrataciondelestado.es/wps/poc?uri=deeplink:detalle_licitacion&amp;idEvl=c0pnbSXzABp%2FP7lJ7Fu0SA%3D%3D")</x:f>
        <x:v>contrataciondelestado.es/wps/poc?uri=deeplink:detalle_licitacion&amp;idEvl=c0pnbSXzABp%2FP7lJ7Fu0SA%3D%3D</x:v>
      </x:c>
      <x:c r="M3" s="11" t="s">
        <x:v>27</x:v>
      </x:c>
      <x:c r="N3" s="13" t="s">
        <x:v>28</x:v>
      </x:c>
      <x:c r="O3" s="11" t="s">
        <x:v>36</x:v>
      </x:c>
      <x:c r="P3" s="11" t="s">
        <x:v>37</x:v>
      </x:c>
      <x:c r="Q3" s="14" t="str">
        <x:f xml:space="preserve">HYPERLINK("https://www.infonalia.es/licitaciones1125/2025166033.pdf","www.infonalia.es/licitaciones1125/2025166033.pdf")</x:f>
        <x:v>www.infonalia.es/licitaciones1125/2025166033.pdf</x:v>
      </x:c>
    </x:row>
    <x:row r="4">
      <x:c r="A4" s="6" t="s">
        <x:v>17</x:v>
      </x:c>
      <x:c r="B4" s="6" t="s">
        <x:v>18</x:v>
      </x:c>
      <x:c r="C4" s="7" t="s">
        <x:v>31</x:v>
      </x:c>
      <x:c r="D4" s="8" t="s">
        <x:v>38</x:v>
      </x:c>
      <x:c r="E4" s="9" t="s">
        <x:v>21</x:v>
      </x:c>
      <x:c r="F4" s="6" t="s">
        <x:v>39</x:v>
      </x:c>
      <x:c r="G4" s="6" t="s">
        <x:v>40</x:v>
      </x:c>
      <x:c r="H4" s="6" t="s">
        <x:v>41</x:v>
      </x:c>
      <x:c r="I4" s="10" t="n">
        <x:v>70245.00</x:v>
      </x:c>
      <x:c r="J4" s="11" t="s">
        <x:v>25</x:v>
      </x:c>
      <x:c r="K4" s="11" t="s">
        <x:v>26</x:v>
      </x:c>
      <x:c r="L4" s="12" t="str">
        <x:f xml:space="preserve">HYPERLINK("https://contrataciondelestado.es/wps/poc?uri=deeplink:detalle_licitacion&amp;idEvl=Pa%2FPeqFBReWS81gZFETWmA%3D%3D","contrataciondelestado.es/wps/poc?uri=deeplink:detalle_licitacion&amp;idEvl=Pa%2FPeqFBReWS81gZFETWmA%3D%3D")</x:f>
        <x:v>contrataciondelestado.es/wps/poc?uri=deeplink:detalle_licitacion&amp;idEvl=Pa%2FPeqFBReWS81gZFETWmA%3D%3D</x:v>
      </x:c>
      <x:c r="M4" s="11" t="s">
        <x:v>27</x:v>
      </x:c>
      <x:c r="N4" s="13" t="s">
        <x:v>28</x:v>
      </x:c>
      <x:c r="O4" s="11" t="s">
        <x:v>42</x:v>
      </x:c>
      <x:c r="P4" s="11" t="s">
        <x:v>43</x:v>
      </x:c>
      <x:c r="Q4" s="14" t="str">
        <x:f xml:space="preserve">HYPERLINK("https://www.infonalia.es/licitaciones1125/2025166181.pdf","www.infonalia.es/licitaciones1125/2025166181.pdf")</x:f>
        <x:v>www.infonalia.es/licitaciones1125/2025166181.pdf</x:v>
      </x:c>
    </x:row>
    <x:row r="5">
      <x:c r="A5" s="6" t="s">
        <x:v>17</x:v>
      </x:c>
      <x:c r="B5" s="6" t="s">
        <x:v>18</x:v>
      </x:c>
      <x:c r="C5" s="7" t="s">
        <x:v>31</x:v>
      </x:c>
      <x:c r="D5" s="8" t="s">
        <x:v>44</x:v>
      </x:c>
      <x:c r="E5" s="9" t="s">
        <x:v>21</x:v>
      </x:c>
      <x:c r="F5" s="6" t="s">
        <x:v>45</x:v>
      </x:c>
      <x:c r="G5" s="6" t="s">
        <x:v>46</x:v>
      </x:c>
      <x:c r="H5" s="6" t="s">
        <x:v>47</x:v>
      </x:c>
      <x:c r="I5" s="10" t="n">
        <x:v>44950.54</x:v>
      </x:c>
      <x:c r="J5" s="11" t="s">
        <x:v>25</x:v>
      </x:c>
      <x:c r="K5" s="11" t="s">
        <x:v>26</x:v>
      </x:c>
      <x:c r="L5" s="12" t="str">
        <x:f xml:space="preserve">HYPERLINK("https://contrataciondelestado.es/wps/poc?uri=deeplink:detalle_licitacion&amp;idEvl=ubQdnefxEQmdkQsA7ROvsg%3D%3D","contrataciondelestado.es/wps/poc?uri=deeplink:detalle_licitacion&amp;idEvl=ubQdnefxEQmdkQsA7ROvsg%3D%3D")</x:f>
        <x:v>contrataciondelestado.es/wps/poc?uri=deeplink:detalle_licitacion&amp;idEvl=ubQdnefxEQmdkQsA7ROvsg%3D%3D</x:v>
      </x:c>
      <x:c r="M5" s="11" t="s">
        <x:v>27</x:v>
      </x:c>
      <x:c r="N5" s="13" t="s">
        <x:v>28</x:v>
      </x:c>
      <x:c r="O5" s="11" t="s">
        <x:v>48</x:v>
      </x:c>
      <x:c r="P5" s="11" t="s">
        <x:v>30</x:v>
      </x:c>
      <x:c r="Q5" s="14" t="str">
        <x:f xml:space="preserve">HYPERLINK("https://www.infonalia.es/licitaciones1125/2025166187.pdf","www.infonalia.es/licitaciones1125/2025166187.pdf")</x:f>
        <x:v>www.infonalia.es/licitaciones1125/2025166187.pdf</x:v>
      </x:c>
    </x:row>
    <x:row r="6">
      <x:c r="A6" s="6" t="s">
        <x:v>17</x:v>
      </x:c>
      <x:c r="B6" s="6" t="s">
        <x:v>18</x:v>
      </x:c>
      <x:c r="C6" s="7" t="s">
        <x:v>31</x:v>
      </x:c>
      <x:c r="D6" s="8" t="s">
        <x:v>49</x:v>
      </x:c>
      <x:c r="E6" s="9" t="s">
        <x:v>21</x:v>
      </x:c>
      <x:c r="F6" s="6" t="s">
        <x:v>50</x:v>
      </x:c>
      <x:c r="G6" s="6" t="s">
        <x:v>51</x:v>
      </x:c>
      <x:c r="H6" s="6" t="s">
        <x:v>52</x:v>
      </x:c>
      <x:c r="I6" s="10" t="n">
        <x:v>162540.50</x:v>
      </x:c>
      <x:c r="J6" s="11" t="s">
        <x:v>25</x:v>
      </x:c>
      <x:c r="K6" s="11" t="s">
        <x:v>26</x:v>
      </x:c>
      <x:c r="L6" s="12" t="str">
        <x:f xml:space="preserve">HYPERLINK("https://contrataciondelestado.es/wps/poc?uri=deeplink:detalle_licitacion&amp;idEvl=sFkSOmzJeaX5Rey58Yagpg%3D%3D","contrataciondelestado.es/wps/poc?uri=deeplink:detalle_licitacion&amp;idEvl=sFkSOmzJeaX5Rey58Yagpg%3D%3D")</x:f>
        <x:v>contrataciondelestado.es/wps/poc?uri=deeplink:detalle_licitacion&amp;idEvl=sFkSOmzJeaX5Rey58Yagpg%3D%3D</x:v>
      </x:c>
      <x:c r="M6" s="11" t="s">
        <x:v>27</x:v>
      </x:c>
      <x:c r="N6" s="13" t="s">
        <x:v>28</x:v>
      </x:c>
      <x:c r="O6" s="11" t="s">
        <x:v>53</x:v>
      </x:c>
      <x:c r="P6" s="11" t="s">
        <x:v>37</x:v>
      </x:c>
      <x:c r="Q6" s="14" t="str">
        <x:f xml:space="preserve">HYPERLINK("https://www.infonalia.es/licitaciones1125/2025166250.pdf","www.infonalia.es/licitaciones1125/2025166250.pdf")</x:f>
        <x:v>www.infonalia.es/licitaciones1125/2025166250.pdf</x:v>
      </x:c>
    </x:row>
    <x:row r="7">
      <x:c r="A7" s="6" t="s">
        <x:v>17</x:v>
      </x:c>
      <x:c r="B7" s="6" t="s">
        <x:v>54</x:v>
      </x:c>
      <x:c r="C7" s="7" t="s">
        <x:v>55</x:v>
      </x:c>
      <x:c r="D7" s="8" t="s">
        <x:v>56</x:v>
      </x:c>
      <x:c r="E7" s="9" t="s">
        <x:v>21</x:v>
      </x:c>
      <x:c r="F7" s="6" t="s">
        <x:v>57</x:v>
      </x:c>
      <x:c r="G7" s="6" t="s">
        <x:v>58</x:v>
      </x:c>
      <x:c r="H7" s="6" t="s">
        <x:v>59</x:v>
      </x:c>
      <x:c r="I7" s="10"/>
      <x:c r="J7" s="11" t="s">
        <x:v>60</x:v>
      </x:c>
      <x:c r="K7" s="11" t="s">
        <x:v>61</x:v>
      </x:c>
      <x:c r="L7" s="12" t="str">
        <x:f xml:space="preserve">HYPERLINK("https://community.vortal.biz/public/?currentLanguage=es","community.vortal.biz/public/?currentLanguage=es")</x:f>
        <x:v>community.vortal.biz/public/?currentLanguage=es</x:v>
      </x:c>
      <x:c r="M7" s="11" t="s">
        <x:v>27</x:v>
      </x:c>
      <x:c r="N7" s="13" t="s">
        <x:v>28</x:v>
      </x:c>
      <x:c r="O7" s="11" t="s">
        <x:v>62</x:v>
      </x:c>
      <x:c r="P7" s="11" t="s">
        <x:v>63</x:v>
      </x:c>
      <x:c r="Q7" s="14" t="str">
        <x:f xml:space="preserve">HYPERLINK("https://www.infonalia.es/licitaciones1125/2025166281.pdf","www.infonalia.es/licitaciones1125/2025166281.pdf")</x:f>
        <x:v>www.infonalia.es/licitaciones1125/2025166281.pdf</x:v>
      </x:c>
    </x:row>
    <x:row r="8">
      <x:c r="A8" s="6" t="s">
        <x:v>17</x:v>
      </x:c>
      <x:c r="B8" s="6" t="s">
        <x:v>64</x:v>
      </x:c>
      <x:c r="C8" s="7" t="s">
        <x:v>65</x:v>
      </x:c>
      <x:c r="D8" s="8" t="s">
        <x:v>66</x:v>
      </x:c>
      <x:c r="E8" s="9" t="s">
        <x:v>21</x:v>
      </x:c>
      <x:c r="F8" s="6" t="s">
        <x:v>67</x:v>
      </x:c>
      <x:c r="G8" s="6" t="s">
        <x:v>68</x:v>
      </x:c>
      <x:c r="H8" s="6" t="s">
        <x:v>60</x:v>
      </x:c>
      <x:c r="I8" s="10"/>
      <x:c r="J8" s="11" t="s">
        <x:v>69</x:v>
      </x:c>
      <x:c r="K8" s="11" t="s">
        <x:v>70</x:v>
      </x:c>
      <x:c r="L8" s="12" t="str">
        <x:f xml:space="preserve">HYPERLINK("https://","")</x:f>
        <x:v/>
      </x:c>
      <x:c r="M8" s="11" t="s">
        <x:v>27</x:v>
      </x:c>
      <x:c r="N8" s="13" t="s">
        <x:v>21</x:v>
      </x:c>
      <x:c r="O8" s="11" t="s">
        <x:v>71</x:v>
      </x:c>
      <x:c r="P8" s="11" t="s">
        <x:v>63</x:v>
      </x:c>
      <x:c r="Q8" s="14" t="str">
        <x:f xml:space="preserve">HYPERLINK("https://www.infonalia.es/licitaciones1125/2025166305.pdf","www.infonalia.es/licitaciones1125/2025166305.pdf")</x:f>
        <x:v>www.infonalia.es/licitaciones1125/2025166305.pdf</x:v>
      </x:c>
    </x:row>
    <x:row r="9">
      <x:c r="A9" s="6" t="s">
        <x:v>17</x:v>
      </x:c>
      <x:c r="B9" s="6" t="s">
        <x:v>18</x:v>
      </x:c>
      <x:c r="C9" s="7" t="s">
        <x:v>26</x:v>
      </x:c>
      <x:c r="D9" s="8" t="s">
        <x:v>72</x:v>
      </x:c>
      <x:c r="E9" s="9" t="s">
        <x:v>21</x:v>
      </x:c>
      <x:c r="F9" s="6" t="s">
        <x:v>73</x:v>
      </x:c>
      <x:c r="G9" s="6" t="s">
        <x:v>74</x:v>
      </x:c>
      <x:c r="H9" s="6" t="s">
        <x:v>75</x:v>
      </x:c>
      <x:c r="I9" s="10" t="n">
        <x:v>200000.00</x:v>
      </x:c>
      <x:c r="J9" s="11" t="s">
        <x:v>25</x:v>
      </x:c>
      <x:c r="K9" s="11" t="s">
        <x:v>60</x:v>
      </x:c>
      <x:c r="L9" s="12" t="str">
        <x:f xml:space="preserve">HYPERLINK("https://contrataciondelestado.es/wps/poc?uri=deeplink:detalle_licitacion&amp;idEvl=YrNB%2BmJ4bsD10HRJw8TEnQ%3D%3D","contrataciondelestado.es/wps/poc?uri=deeplink:detalle_licitacion&amp;idEvl=YrNB%2BmJ4bsD10HRJw8TEnQ%3D%3D")</x:f>
        <x:v>contrataciondelestado.es/wps/poc?uri=deeplink:detalle_licitacion&amp;idEvl=YrNB%2BmJ4bsD10HRJw8TEnQ%3D%3D</x:v>
      </x:c>
      <x:c r="M9" s="11" t="s">
        <x:v>27</x:v>
      </x:c>
      <x:c r="N9" s="13" t="s">
        <x:v>21</x:v>
      </x:c>
      <x:c r="O9" s="11" t="s">
        <x:v>76</x:v>
      </x:c>
      <x:c r="P9" s="11" t="s">
        <x:v>30</x:v>
      </x:c>
      <x:c r="Q9" s="14" t="str">
        <x:f xml:space="preserve">HYPERLINK("https://www.infonalia.es/licitaciones1125/2025166375.pdf","www.infonalia.es/licitaciones1125/2025166375.pdf")</x:f>
        <x:v>www.infonalia.es/licitaciones1125/2025166375.pdf</x:v>
      </x:c>
    </x:row>
    <x:row r="10">
      <x:c r="A10" s="6" t="s">
        <x:v>17</x:v>
      </x:c>
      <x:c r="B10" s="6" t="s">
        <x:v>77</x:v>
      </x:c>
      <x:c r="C10" s="7" t="s">
        <x:v>78</x:v>
      </x:c>
      <x:c r="D10" s="8" t="s">
        <x:v>79</x:v>
      </x:c>
      <x:c r="E10" s="9" t="s">
        <x:v>21</x:v>
      </x:c>
      <x:c r="F10" s="6" t="s">
        <x:v>80</x:v>
      </x:c>
      <x:c r="G10" s="6" t="s">
        <x:v>81</x:v>
      </x:c>
      <x:c r="H10" s="6" t="s">
        <x:v>82</x:v>
      </x:c>
      <x:c r="I10" s="10" t="n">
        <x:v>28000.00</x:v>
      </x:c>
      <x:c r="J10" s="11" t="s">
        <x:v>83</x:v>
      </x:c>
      <x:c r="K10" s="11" t="s">
        <x:v>84</x:v>
      </x:c>
      <x:c r="L10" s="12" t="str">
        <x:f xml:space="preserve">HYPERLINK("https://contractaciopublica.cat/es/detall-publicacio/300621023","contractaciopublica.cat/es/detall-publicacio/300621023")</x:f>
        <x:v>contractaciopublica.cat/es/detall-publicacio/300621023</x:v>
      </x:c>
      <x:c r="M10" s="11" t="s">
        <x:v>27</x:v>
      </x:c>
      <x:c r="N10" s="13" t="s">
        <x:v>28</x:v>
      </x:c>
      <x:c r="O10" s="11" t="s">
        <x:v>85</x:v>
      </x:c>
      <x:c r="P10" s="11" t="s">
        <x:v>63</x:v>
      </x:c>
      <x:c r="Q10" s="14" t="str">
        <x:f xml:space="preserve">HYPERLINK("https://www.infonalia.es/licitaciones1125/2025166480.pdf","www.infonalia.es/licitaciones1125/2025166480.pdf")</x:f>
        <x:v>www.infonalia.es/licitaciones1125/2025166480.pdf</x:v>
      </x:c>
    </x:row>
    <x:row r="11">
      <x:c r="A11" s="6" t="s">
        <x:v>17</x:v>
      </x:c>
      <x:c r="B11" s="6" t="s">
        <x:v>77</x:v>
      </x:c>
      <x:c r="C11" s="7" t="s">
        <x:v>78</x:v>
      </x:c>
      <x:c r="D11" s="8" t="s">
        <x:v>86</x:v>
      </x:c>
      <x:c r="E11" s="9" t="s">
        <x:v>21</x:v>
      </x:c>
      <x:c r="F11" s="6" t="s">
        <x:v>87</x:v>
      </x:c>
      <x:c r="G11" s="6" t="s">
        <x:v>88</x:v>
      </x:c>
      <x:c r="H11" s="6" t="s">
        <x:v>89</x:v>
      </x:c>
      <x:c r="I11" s="10" t="n">
        <x:v>10300.00</x:v>
      </x:c>
      <x:c r="J11" s="11" t="s">
        <x:v>83</x:v>
      </x:c>
      <x:c r="K11" s="11" t="s">
        <x:v>90</x:v>
      </x:c>
      <x:c r="L11" s="12" t="str">
        <x:f xml:space="preserve">HYPERLINK("https://contractaciopublica.cat/es/detall-publicacio/300624955","contractaciopublica.cat/es/detall-publicacio/300624955")</x:f>
        <x:v>contractaciopublica.cat/es/detall-publicacio/300624955</x:v>
      </x:c>
      <x:c r="M11" s="11" t="s">
        <x:v>27</x:v>
      </x:c>
      <x:c r="N11" s="13" t="s">
        <x:v>28</x:v>
      </x:c>
      <x:c r="O11" s="11" t="s">
        <x:v>91</x:v>
      </x:c>
      <x:c r="P11" s="11" t="s">
        <x:v>63</x:v>
      </x:c>
      <x:c r="Q11" s="14" t="str">
        <x:f xml:space="preserve">HYPERLINK("https://www.infonalia.es/licitaciones1125/2025166495.pdf","www.infonalia.es/licitaciones1125/2025166495.pdf")</x:f>
        <x:v>www.infonalia.es/licitaciones1125/2025166495.pdf</x:v>
      </x:c>
    </x:row>
    <x:row r="12">
      <x:c r="A12" s="6" t="s">
        <x:v>17</x:v>
      </x:c>
      <x:c r="B12" s="6" t="s">
        <x:v>77</x:v>
      </x:c>
      <x:c r="C12" s="7" t="s">
        <x:v>78</x:v>
      </x:c>
      <x:c r="D12" s="8" t="s">
        <x:v>92</x:v>
      </x:c>
      <x:c r="E12" s="9" t="s">
        <x:v>21</x:v>
      </x:c>
      <x:c r="F12" s="6" t="s">
        <x:v>93</x:v>
      </x:c>
      <x:c r="G12" s="6" t="s">
        <x:v>94</x:v>
      </x:c>
      <x:c r="H12" s="6" t="s">
        <x:v>95</x:v>
      </x:c>
      <x:c r="I12" s="10" t="n">
        <x:v>33308.39</x:v>
      </x:c>
      <x:c r="J12" s="11" t="s">
        <x:v>83</x:v>
      </x:c>
      <x:c r="K12" s="11" t="s">
        <x:v>96</x:v>
      </x:c>
      <x:c r="L12" s="12" t="str">
        <x:f xml:space="preserve">HYPERLINK("https://contractaciopublica.cat/es/detall-publicacio/300622590","contractaciopublica.cat/es/detall-publicacio/300622590")</x:f>
        <x:v>contractaciopublica.cat/es/detall-publicacio/300622590</x:v>
      </x:c>
      <x:c r="M12" s="11" t="s">
        <x:v>27</x:v>
      </x:c>
      <x:c r="N12" s="13" t="s">
        <x:v>28</x:v>
      </x:c>
      <x:c r="O12" s="11" t="s">
        <x:v>97</x:v>
      </x:c>
      <x:c r="P12" s="11" t="s">
        <x:v>63</x:v>
      </x:c>
      <x:c r="Q12" s="14" t="str">
        <x:f xml:space="preserve">HYPERLINK("https://www.infonalia.es/licitaciones1125/2025166508.pdf","www.infonalia.es/licitaciones1125/2025166508.pdf")</x:f>
        <x:v>www.infonalia.es/licitaciones1125/2025166508.pdf</x:v>
      </x:c>
    </x:row>
    <x:row r="13">
      <x:c r="A13" s="6" t="s">
        <x:v>17</x:v>
      </x:c>
      <x:c r="B13" s="6" t="s">
        <x:v>77</x:v>
      </x:c>
      <x:c r="C13" s="7" t="s">
        <x:v>98</x:v>
      </x:c>
      <x:c r="D13" s="8" t="s">
        <x:v>99</x:v>
      </x:c>
      <x:c r="E13" s="9" t="s">
        <x:v>21</x:v>
      </x:c>
      <x:c r="F13" s="6" t="s">
        <x:v>100</x:v>
      </x:c>
      <x:c r="G13" s="6" t="s">
        <x:v>101</x:v>
      </x:c>
      <x:c r="H13" s="6" t="s">
        <x:v>102</x:v>
      </x:c>
      <x:c r="I13" s="10" t="n">
        <x:v>24941.00</x:v>
      </x:c>
      <x:c r="J13" s="11" t="s">
        <x:v>103</x:v>
      </x:c>
      <x:c r="K13" s="11" t="s">
        <x:v>104</x:v>
      </x:c>
      <x:c r="L13" s="12" t="str">
        <x:f xml:space="preserve">HYPERLINK("https://contractaciopublica.cat/es/detall-publicacio/300625485","contractaciopublica.cat/es/detall-publicacio/300625485")</x:f>
        <x:v>contractaciopublica.cat/es/detall-publicacio/300625485</x:v>
      </x:c>
      <x:c r="M13" s="11" t="s">
        <x:v>27</x:v>
      </x:c>
      <x:c r="N13" s="13" t="s">
        <x:v>21</x:v>
      </x:c>
      <x:c r="O13" s="11" t="s">
        <x:v>105</x:v>
      </x:c>
      <x:c r="P13" s="11" t="s">
        <x:v>63</x:v>
      </x:c>
      <x:c r="Q13" s="14" t="str">
        <x:f xml:space="preserve">HYPERLINK("https://www.infonalia.es/licitaciones1125/2025166528.pdf","www.infonalia.es/licitaciones1125/2025166528.pdf")</x:f>
        <x:v>www.infonalia.es/licitaciones1125/2025166528.pdf</x:v>
      </x:c>
    </x:row>
    <x:row r="14">
      <x:c r="A14" s="6" t="s">
        <x:v>17</x:v>
      </x:c>
      <x:c r="B14" s="6" t="s">
        <x:v>77</x:v>
      </x:c>
      <x:c r="C14" s="7" t="s">
        <x:v>19</x:v>
      </x:c>
      <x:c r="D14" s="8" t="s">
        <x:v>106</x:v>
      </x:c>
      <x:c r="E14" s="9" t="s">
        <x:v>21</x:v>
      </x:c>
      <x:c r="F14" s="6" t="s">
        <x:v>107</x:v>
      </x:c>
      <x:c r="G14" s="6" t="s">
        <x:v>108</x:v>
      </x:c>
      <x:c r="H14" s="6" t="s">
        <x:v>109</x:v>
      </x:c>
      <x:c r="I14" s="10" t="n">
        <x:v>43092.00</x:v>
      </x:c>
      <x:c r="J14" s="11" t="s">
        <x:v>103</x:v>
      </x:c>
      <x:c r="K14" s="11" t="s">
        <x:v>110</x:v>
      </x:c>
      <x:c r="L14" s="12" t="str">
        <x:f xml:space="preserve">HYPERLINK("https://contractaciopublica.cat/es/detall-publicacio/300620302","contractaciopublica.cat/es/detall-publicacio/300620302")</x:f>
        <x:v>contractaciopublica.cat/es/detall-publicacio/300620302</x:v>
      </x:c>
      <x:c r="M14" s="11" t="s">
        <x:v>27</x:v>
      </x:c>
      <x:c r="N14" s="13" t="s">
        <x:v>21</x:v>
      </x:c>
      <x:c r="O14" s="11" t="s">
        <x:v>111</x:v>
      </x:c>
      <x:c r="P14" s="11" t="s">
        <x:v>63</x:v>
      </x:c>
      <x:c r="Q14" s="14" t="str">
        <x:f xml:space="preserve">HYPERLINK("https://www.infonalia.es/licitaciones1125/2025166532.pdf","www.infonalia.es/licitaciones1125/2025166532.pdf")</x:f>
        <x:v>www.infonalia.es/licitaciones1125/2025166532.pdf</x:v>
      </x:c>
    </x:row>
    <x:row r="15">
      <x:c r="A15" s="6" t="s">
        <x:v>17</x:v>
      </x:c>
      <x:c r="B15" s="6" t="s">
        <x:v>77</x:v>
      </x:c>
      <x:c r="C15" s="7" t="s">
        <x:v>31</x:v>
      </x:c>
      <x:c r="D15" s="8" t="s">
        <x:v>112</x:v>
      </x:c>
      <x:c r="E15" s="9" t="s">
        <x:v>21</x:v>
      </x:c>
      <x:c r="F15" s="6" t="s">
        <x:v>113</x:v>
      </x:c>
      <x:c r="G15" s="6" t="s">
        <x:v>114</x:v>
      </x:c>
      <x:c r="H15" s="6" t="s">
        <x:v>115</x:v>
      </x:c>
      <x:c r="I15" s="10" t="n">
        <x:v>66719.24</x:v>
      </x:c>
      <x:c r="J15" s="11" t="s">
        <x:v>103</x:v>
      </x:c>
      <x:c r="K15" s="11" t="s">
        <x:v>116</x:v>
      </x:c>
      <x:c r="L15" s="12" t="str">
        <x:f xml:space="preserve">HYPERLINK("https://contractaciopublica.cat/es/detall-publicacio/300615068","contractaciopublica.cat/es/detall-publicacio/300615068")</x:f>
        <x:v>contractaciopublica.cat/es/detall-publicacio/300615068</x:v>
      </x:c>
      <x:c r="M15" s="11" t="s">
        <x:v>27</x:v>
      </x:c>
      <x:c r="N15" s="13" t="s">
        <x:v>28</x:v>
      </x:c>
      <x:c r="O15" s="11" t="s">
        <x:v>117</x:v>
      </x:c>
      <x:c r="P15" s="11" t="s">
        <x:v>118</x:v>
      </x:c>
      <x:c r="Q15" s="14" t="str">
        <x:f xml:space="preserve">HYPERLINK("https://www.infonalia.es/licitaciones1125/2025166553.pdf","www.infonalia.es/licitaciones1125/2025166553.pdf")</x:f>
        <x:v>www.infonalia.es/licitaciones1125/2025166553.pdf</x:v>
      </x:c>
    </x:row>
    <x:row r="16">
      <x:c r="A16" s="6" t="s">
        <x:v>17</x:v>
      </x:c>
      <x:c r="B16" s="6" t="s">
        <x:v>77</x:v>
      </x:c>
      <x:c r="C16" s="7" t="s">
        <x:v>19</x:v>
      </x:c>
      <x:c r="D16" s="8" t="s">
        <x:v>119</x:v>
      </x:c>
      <x:c r="E16" s="9" t="s">
        <x:v>21</x:v>
      </x:c>
      <x:c r="F16" s="6" t="s">
        <x:v>120</x:v>
      </x:c>
      <x:c r="G16" s="6" t="s">
        <x:v>121</x:v>
      </x:c>
      <x:c r="H16" s="6" t="s">
        <x:v>122</x:v>
      </x:c>
      <x:c r="I16" s="10" t="n">
        <x:v>44727.60</x:v>
      </x:c>
      <x:c r="J16" s="11" t="s">
        <x:v>103</x:v>
      </x:c>
      <x:c r="K16" s="11" t="s">
        <x:v>123</x:v>
      </x:c>
      <x:c r="L16" s="12" t="str">
        <x:f xml:space="preserve">HYPERLINK("https://contractaciopublica.cat/es/detall-publicacio/300624035","contractaciopublica.cat/es/detall-publicacio/300624035")</x:f>
        <x:v>contractaciopublica.cat/es/detall-publicacio/300624035</x:v>
      </x:c>
      <x:c r="M16" s="11" t="s">
        <x:v>27</x:v>
      </x:c>
      <x:c r="N16" s="13" t="s">
        <x:v>28</x:v>
      </x:c>
      <x:c r="O16" s="11" t="s">
        <x:v>124</x:v>
      </x:c>
      <x:c r="P16" s="11" t="s">
        <x:v>125</x:v>
      </x:c>
      <x:c r="Q16" s="14" t="str">
        <x:f xml:space="preserve">HYPERLINK("https://www.infonalia.es/licitaciones1125/2025166569.pdf","www.infonalia.es/licitaciones1125/2025166569.pdf")</x:f>
        <x:v>www.infonalia.es/licitaciones1125/2025166569.pdf</x:v>
      </x:c>
    </x:row>
    <x:row r="17">
      <x:c r="A17" s="6" t="s">
        <x:v>17</x:v>
      </x:c>
      <x:c r="B17" s="6" t="s">
        <x:v>77</x:v>
      </x:c>
      <x:c r="C17" s="7" t="s">
        <x:v>31</x:v>
      </x:c>
      <x:c r="D17" s="8" t="s">
        <x:v>126</x:v>
      </x:c>
      <x:c r="E17" s="9" t="s">
        <x:v>21</x:v>
      </x:c>
      <x:c r="F17" s="6" t="s">
        <x:v>127</x:v>
      </x:c>
      <x:c r="G17" s="6" t="s">
        <x:v>128</x:v>
      </x:c>
      <x:c r="H17" s="6" t="s">
        <x:v>129</x:v>
      </x:c>
      <x:c r="I17" s="10" t="n">
        <x:v>165800.00</x:v>
      </x:c>
      <x:c r="J17" s="11" t="s">
        <x:v>103</x:v>
      </x:c>
      <x:c r="K17" s="11" t="s">
        <x:v>130</x:v>
      </x:c>
      <x:c r="L17" s="12" t="str">
        <x:f xml:space="preserve">HYPERLINK("https://contractaciopublica.cat/es/detall-publicacio/300622827","contractaciopublica.cat/es/detall-publicacio/300622827")</x:f>
        <x:v>contractaciopublica.cat/es/detall-publicacio/300622827</x:v>
      </x:c>
      <x:c r="M17" s="11" t="s">
        <x:v>27</x:v>
      </x:c>
      <x:c r="N17" s="13" t="s">
        <x:v>28</x:v>
      </x:c>
      <x:c r="O17" s="11" t="s">
        <x:v>131</x:v>
      </x:c>
      <x:c r="P17" s="11" t="s">
        <x:v>132</x:v>
      </x:c>
      <x:c r="Q17" s="14" t="str">
        <x:f xml:space="preserve">HYPERLINK("https://www.infonalia.es/licitaciones1125/2025166574.pdf","www.infonalia.es/licitaciones1125/2025166574.pdf")</x:f>
        <x:v>www.infonalia.es/licitaciones1125/2025166574.pdf</x:v>
      </x:c>
    </x:row>
    <x:row r="18">
      <x:c r="A18" s="6" t="s">
        <x:v>17</x:v>
      </x:c>
      <x:c r="B18" s="6" t="s">
        <x:v>77</x:v>
      </x:c>
      <x:c r="C18" s="7" t="s">
        <x:v>133</x:v>
      </x:c>
      <x:c r="D18" s="8" t="s">
        <x:v>134</x:v>
      </x:c>
      <x:c r="E18" s="9" t="s">
        <x:v>21</x:v>
      </x:c>
      <x:c r="F18" s="6" t="s">
        <x:v>135</x:v>
      </x:c>
      <x:c r="G18" s="6" t="s">
        <x:v>136</x:v>
      </x:c>
      <x:c r="H18" s="6" t="s">
        <x:v>137</x:v>
      </x:c>
      <x:c r="I18" s="10" t="n">
        <x:v>82167.27</x:v>
      </x:c>
      <x:c r="J18" s="11" t="s">
        <x:v>103</x:v>
      </x:c>
      <x:c r="K18" s="11" t="s">
        <x:v>138</x:v>
      </x:c>
      <x:c r="L18" s="12" t="str">
        <x:f xml:space="preserve">HYPERLINK("https://contractaciopublica.cat/es/detall-publicacio/300623807","contractaciopublica.cat/es/detall-publicacio/300623807")</x:f>
        <x:v>contractaciopublica.cat/es/detall-publicacio/300623807</x:v>
      </x:c>
      <x:c r="M18" s="11" t="s">
        <x:v>27</x:v>
      </x:c>
      <x:c r="N18" s="13" t="s">
        <x:v>28</x:v>
      </x:c>
      <x:c r="O18" s="11" t="s">
        <x:v>139</x:v>
      </x:c>
      <x:c r="P18" s="11" t="s">
        <x:v>63</x:v>
      </x:c>
      <x:c r="Q18" s="14" t="str">
        <x:f xml:space="preserve">HYPERLINK("https://www.infonalia.es/licitaciones1125/2025166578.pdf","www.infonalia.es/licitaciones1125/2025166578.pdf")</x:f>
        <x:v>www.infonalia.es/licitaciones1125/2025166578.pdf</x:v>
      </x:c>
    </x:row>
    <x:row r="19">
      <x:c r="A19" s="6" t="s">
        <x:v>17</x:v>
      </x:c>
      <x:c r="B19" s="6" t="s">
        <x:v>77</x:v>
      </x:c>
      <x:c r="C19" s="7" t="s">
        <x:v>140</x:v>
      </x:c>
      <x:c r="D19" s="8" t="s">
        <x:v>141</x:v>
      </x:c>
      <x:c r="E19" s="9" t="s">
        <x:v>21</x:v>
      </x:c>
      <x:c r="F19" s="6" t="s">
        <x:v>142</x:v>
      </x:c>
      <x:c r="G19" s="6" t="s">
        <x:v>143</x:v>
      </x:c>
      <x:c r="H19" s="6" t="s">
        <x:v>144</x:v>
      </x:c>
      <x:c r="I19" s="10" t="n">
        <x:v>127000.00</x:v>
      </x:c>
      <x:c r="J19" s="11" t="s">
        <x:v>103</x:v>
      </x:c>
      <x:c r="K19" s="11" t="s">
        <x:v>145</x:v>
      </x:c>
      <x:c r="L19" s="12" t="str">
        <x:f xml:space="preserve">HYPERLINK("https://contractaciopublica.cat/es/detall-publicacio/300597069","contractaciopublica.cat/es/detall-publicacio/300597069")</x:f>
        <x:v>contractaciopublica.cat/es/detall-publicacio/300597069</x:v>
      </x:c>
      <x:c r="M19" s="11" t="s">
        <x:v>27</x:v>
      </x:c>
      <x:c r="N19" s="13" t="s">
        <x:v>28</x:v>
      </x:c>
      <x:c r="O19" s="11" t="s">
        <x:v>146</x:v>
      </x:c>
      <x:c r="P19" s="11" t="s">
        <x:v>118</x:v>
      </x:c>
      <x:c r="Q19" s="14" t="str">
        <x:f xml:space="preserve">HYPERLINK("https://www.infonalia.es/licitaciones1125/2025166596.pdf","www.infonalia.es/licitaciones1125/2025166596.pdf")</x:f>
        <x:v>www.infonalia.es/licitaciones1125/2025166596.pdf</x:v>
      </x:c>
    </x:row>
    <x:row r="20">
      <x:c r="A20" s="6" t="s">
        <x:v>17</x:v>
      </x:c>
      <x:c r="B20" s="6" t="s">
        <x:v>77</x:v>
      </x:c>
      <x:c r="C20" s="7" t="s">
        <x:v>140</x:v>
      </x:c>
      <x:c r="D20" s="8" t="s">
        <x:v>147</x:v>
      </x:c>
      <x:c r="E20" s="9" t="s">
        <x:v>21</x:v>
      </x:c>
      <x:c r="F20" s="6" t="s">
        <x:v>148</x:v>
      </x:c>
      <x:c r="G20" s="6" t="s">
        <x:v>149</x:v>
      </x:c>
      <x:c r="H20" s="6" t="s">
        <x:v>150</x:v>
      </x:c>
      <x:c r="I20" s="10" t="n">
        <x:v>327574.34</x:v>
      </x:c>
      <x:c r="J20" s="11" t="s">
        <x:v>103</x:v>
      </x:c>
      <x:c r="K20" s="11" t="s">
        <x:v>151</x:v>
      </x:c>
      <x:c r="L20" s="12" t="str">
        <x:f xml:space="preserve">HYPERLINK("https://contractaciopublica.cat/es/detall-publicacio/300623841","contractaciopublica.cat/es/detall-publicacio/300623841")</x:f>
        <x:v>contractaciopublica.cat/es/detall-publicacio/300623841</x:v>
      </x:c>
      <x:c r="M20" s="11" t="s">
        <x:v>27</x:v>
      </x:c>
      <x:c r="N20" s="13" t="s">
        <x:v>152</x:v>
      </x:c>
      <x:c r="O20" s="11" t="s">
        <x:v>153</x:v>
      </x:c>
      <x:c r="P20" s="11" t="s">
        <x:v>154</x:v>
      </x:c>
      <x:c r="Q20" s="14" t="str">
        <x:f xml:space="preserve">HYPERLINK("https://www.infonalia.es/licitaciones1125/2025166606.pdf","www.infonalia.es/licitaciones1125/2025166606.pdf")</x:f>
        <x:v>www.infonalia.es/licitaciones1125/2025166606.pdf</x:v>
      </x:c>
    </x:row>
    <x:row r="21">
      <x:c r="A21" s="6" t="s">
        <x:v>17</x:v>
      </x:c>
      <x:c r="B21" s="6" t="s">
        <x:v>77</x:v>
      </x:c>
      <x:c r="C21" s="7" t="s">
        <x:v>140</x:v>
      </x:c>
      <x:c r="D21" s="8" t="s">
        <x:v>155</x:v>
      </x:c>
      <x:c r="E21" s="9" t="s">
        <x:v>21</x:v>
      </x:c>
      <x:c r="F21" s="6" t="s">
        <x:v>156</x:v>
      </x:c>
      <x:c r="G21" s="6" t="s">
        <x:v>157</x:v>
      </x:c>
      <x:c r="H21" s="6" t="s">
        <x:v>158</x:v>
      </x:c>
      <x:c r="I21" s="10" t="n">
        <x:v>200000.00</x:v>
      </x:c>
      <x:c r="J21" s="11" t="s">
        <x:v>103</x:v>
      </x:c>
      <x:c r="K21" s="11" t="s">
        <x:v>159</x:v>
      </x:c>
      <x:c r="L21" s="12" t="str">
        <x:f xml:space="preserve">HYPERLINK("https://contractaciopublica.cat/es/detall-publicacio/300622158","contractaciopublica.cat/es/detall-publicacio/300622158")</x:f>
        <x:v>contractaciopublica.cat/es/detall-publicacio/300622158</x:v>
      </x:c>
      <x:c r="M21" s="11" t="s">
        <x:v>27</x:v>
      </x:c>
      <x:c r="N21" s="13" t="s">
        <x:v>152</x:v>
      </x:c>
      <x:c r="O21" s="11" t="s">
        <x:v>160</x:v>
      </x:c>
      <x:c r="P21" s="11" t="s">
        <x:v>132</x:v>
      </x:c>
      <x:c r="Q21" s="14" t="str">
        <x:f xml:space="preserve">HYPERLINK("https://www.infonalia.es/licitaciones1125/2025166656.pdf","www.infonalia.es/licitaciones1125/2025166656.pdf")</x:f>
        <x:v>www.infonalia.es/licitaciones1125/2025166656.pdf</x:v>
      </x:c>
    </x:row>
    <x:row r="22">
      <x:c r="A22" s="6" t="s">
        <x:v>17</x:v>
      </x:c>
      <x:c r="B22" s="6" t="s">
        <x:v>77</x:v>
      </x:c>
      <x:c r="C22" s="7" t="s">
        <x:v>161</x:v>
      </x:c>
      <x:c r="D22" s="8" t="s">
        <x:v>162</x:v>
      </x:c>
      <x:c r="E22" s="9" t="s">
        <x:v>21</x:v>
      </x:c>
      <x:c r="F22" s="6" t="s">
        <x:v>163</x:v>
      </x:c>
      <x:c r="G22" s="6" t="s">
        <x:v>164</x:v>
      </x:c>
      <x:c r="H22" s="6" t="s">
        <x:v>165</x:v>
      </x:c>
      <x:c r="I22" s="10" t="n">
        <x:v>19900.00</x:v>
      </x:c>
      <x:c r="J22" s="11" t="s">
        <x:v>103</x:v>
      </x:c>
      <x:c r="K22" s="11" t="s">
        <x:v>166</x:v>
      </x:c>
      <x:c r="L22" s="12" t="str">
        <x:f xml:space="preserve">HYPERLINK("https://contractaciopublica.cat/es/detall-publicacio/300600996","contractaciopublica.cat/es/detall-publicacio/300600996")</x:f>
        <x:v>contractaciopublica.cat/es/detall-publicacio/300600996</x:v>
      </x:c>
      <x:c r="M22" s="11" t="s">
        <x:v>27</x:v>
      </x:c>
      <x:c r="N22" s="13" t="s">
        <x:v>152</x:v>
      </x:c>
      <x:c r="O22" s="11" t="s">
        <x:v>167</x:v>
      </x:c>
      <x:c r="P22" s="11" t="s">
        <x:v>132</x:v>
      </x:c>
      <x:c r="Q22" s="14" t="str">
        <x:f xml:space="preserve">HYPERLINK("https://www.infonalia.es/licitaciones1125/2025166664.pdf","www.infonalia.es/licitaciones1125/2025166664.pdf")</x:f>
        <x:v>www.infonalia.es/licitaciones1125/2025166664.pdf</x:v>
      </x:c>
    </x:row>
    <x:row r="23">
      <x:c r="A23" s="6" t="s">
        <x:v>17</x:v>
      </x:c>
      <x:c r="B23" s="6" t="s">
        <x:v>77</x:v>
      </x:c>
      <x:c r="C23" s="7" t="s">
        <x:v>78</x:v>
      </x:c>
      <x:c r="D23" s="8" t="s">
        <x:v>168</x:v>
      </x:c>
      <x:c r="E23" s="9" t="s">
        <x:v>21</x:v>
      </x:c>
      <x:c r="F23" s="6" t="s">
        <x:v>169</x:v>
      </x:c>
      <x:c r="G23" s="6" t="s">
        <x:v>170</x:v>
      </x:c>
      <x:c r="H23" s="6" t="s">
        <x:v>171</x:v>
      </x:c>
      <x:c r="I23" s="10" t="n">
        <x:v>73200.00</x:v>
      </x:c>
      <x:c r="J23" s="11" t="s">
        <x:v>103</x:v>
      </x:c>
      <x:c r="K23" s="11" t="s">
        <x:v>172</x:v>
      </x:c>
      <x:c r="L23" s="12" t="str">
        <x:f xml:space="preserve">HYPERLINK("https://contractaciopublica.cat/es/detall-publicacio/300621877","contractaciopublica.cat/es/detall-publicacio/300621877")</x:f>
        <x:v>contractaciopublica.cat/es/detall-publicacio/300621877</x:v>
      </x:c>
      <x:c r="M23" s="11" t="s">
        <x:v>27</x:v>
      </x:c>
      <x:c r="N23" s="13" t="s">
        <x:v>152</x:v>
      </x:c>
      <x:c r="O23" s="11" t="s">
        <x:v>173</x:v>
      </x:c>
      <x:c r="P23" s="11" t="s">
        <x:v>63</x:v>
      </x:c>
      <x:c r="Q23" s="14" t="str">
        <x:f xml:space="preserve">HYPERLINK("https://www.infonalia.es/licitaciones1125/2025166679.pdf","www.infonalia.es/licitaciones1125/2025166679.pdf")</x:f>
        <x:v>www.infonalia.es/licitaciones1125/2025166679.pdf</x:v>
      </x:c>
    </x:row>
    <x:row r="24">
      <x:c r="A24" s="6" t="s">
        <x:v>17</x:v>
      </x:c>
      <x:c r="B24" s="6" t="s">
        <x:v>77</x:v>
      </x:c>
      <x:c r="C24" s="7" t="s">
        <x:v>78</x:v>
      </x:c>
      <x:c r="D24" s="8" t="s">
        <x:v>174</x:v>
      </x:c>
      <x:c r="E24" s="9" t="s">
        <x:v>21</x:v>
      </x:c>
      <x:c r="F24" s="6" t="s">
        <x:v>175</x:v>
      </x:c>
      <x:c r="G24" s="6" t="s">
        <x:v>176</x:v>
      </x:c>
      <x:c r="H24" s="6" t="s">
        <x:v>177</x:v>
      </x:c>
      <x:c r="I24" s="10" t="n">
        <x:v>6773.03</x:v>
      </x:c>
      <x:c r="J24" s="11" t="s">
        <x:v>103</x:v>
      </x:c>
      <x:c r="K24" s="11" t="s">
        <x:v>178</x:v>
      </x:c>
      <x:c r="L24" s="12" t="str">
        <x:f xml:space="preserve">HYPERLINK("https://contractaciopublica.cat/es/detall-publicacio/300622770","contractaciopublica.cat/es/detall-publicacio/300622770")</x:f>
        <x:v>contractaciopublica.cat/es/detall-publicacio/300622770</x:v>
      </x:c>
      <x:c r="M24" s="11" t="s">
        <x:v>27</x:v>
      </x:c>
      <x:c r="N24" s="13" t="s">
        <x:v>152</x:v>
      </x:c>
      <x:c r="O24" s="11" t="s">
        <x:v>179</x:v>
      </x:c>
      <x:c r="P24" s="11" t="s">
        <x:v>63</x:v>
      </x:c>
      <x:c r="Q24" s="14" t="str">
        <x:f xml:space="preserve">HYPERLINK("https://www.infonalia.es/licitaciones1125/2025166689.pdf","www.infonalia.es/licitaciones1125/2025166689.pdf")</x:f>
        <x:v>www.infonalia.es/licitaciones1125/2025166689.pdf</x:v>
      </x:c>
    </x:row>
    <x:row r="25">
      <x:c r="A25" s="6" t="s">
        <x:v>17</x:v>
      </x:c>
      <x:c r="B25" s="6" t="s">
        <x:v>77</x:v>
      </x:c>
      <x:c r="C25" s="7" t="s">
        <x:v>78</x:v>
      </x:c>
      <x:c r="D25" s="8" t="s">
        <x:v>180</x:v>
      </x:c>
      <x:c r="E25" s="9" t="s">
        <x:v>21</x:v>
      </x:c>
      <x:c r="F25" s="6" t="s">
        <x:v>175</x:v>
      </x:c>
      <x:c r="G25" s="6" t="s">
        <x:v>176</x:v>
      </x:c>
      <x:c r="H25" s="6" t="s">
        <x:v>177</x:v>
      </x:c>
      <x:c r="I25" s="10" t="n">
        <x:v>6773.03</x:v>
      </x:c>
      <x:c r="J25" s="11" t="s">
        <x:v>103</x:v>
      </x:c>
      <x:c r="K25" s="11" t="s">
        <x:v>181</x:v>
      </x:c>
      <x:c r="L25" s="12" t="str">
        <x:f xml:space="preserve">HYPERLINK("https://contractaciopublica.cat/es/detall-publicacio/300622770","contractaciopublica.cat/es/detall-publicacio/300622770")</x:f>
        <x:v>contractaciopublica.cat/es/detall-publicacio/300622770</x:v>
      </x:c>
      <x:c r="M25" s="11" t="s">
        <x:v>27</x:v>
      </x:c>
      <x:c r="N25" s="13" t="s">
        <x:v>152</x:v>
      </x:c>
      <x:c r="O25" s="11" t="s">
        <x:v>182</x:v>
      </x:c>
      <x:c r="P25" s="11" t="s">
        <x:v>63</x:v>
      </x:c>
      <x:c r="Q25" s="14" t="str">
        <x:f xml:space="preserve">HYPERLINK("https://www.infonalia.es/licitaciones1125/2025166691.pdf","www.infonalia.es/licitaciones1125/2025166691.pdf")</x:f>
        <x:v>www.infonalia.es/licitaciones1125/2025166691.pdf</x:v>
      </x:c>
    </x:row>
    <x:row r="26">
      <x:c r="A26" s="6" t="s">
        <x:v>17</x:v>
      </x:c>
      <x:c r="B26" s="6" t="s">
        <x:v>18</x:v>
      </x:c>
      <x:c r="C26" s="7" t="s">
        <x:v>133</x:v>
      </x:c>
      <x:c r="D26" s="8" t="s">
        <x:v>183</x:v>
      </x:c>
      <x:c r="E26" s="9" t="s">
        <x:v>21</x:v>
      </x:c>
      <x:c r="F26" s="6" t="s">
        <x:v>184</x:v>
      </x:c>
      <x:c r="G26" s="6" t="s">
        <x:v>185</x:v>
      </x:c>
      <x:c r="H26" s="6" t="s">
        <x:v>186</x:v>
      </x:c>
      <x:c r="I26" s="10" t="n">
        <x:v>33000.00</x:v>
      </x:c>
      <x:c r="J26" s="11" t="s">
        <x:v>25</x:v>
      </x:c>
      <x:c r="K26" s="11" t="s">
        <x:v>26</x:v>
      </x:c>
      <x:c r="L26" s="12" t="str">
        <x:f xml:space="preserve">HYPERLINK("https://contrataciondelestado.es/wps/poc?uri=deeplink:detalle_licitacion&amp;idEvl=oCQQAXDZrxgl5NjlNci%2BtA%3D%3D","contrataciondelestado.es/wps/poc?uri=deeplink:detalle_licitacion&amp;idEvl=oCQQAXDZrxgl5NjlNci%2BtA%3D%3D")</x:f>
        <x:v>contrataciondelestado.es/wps/poc?uri=deeplink:detalle_licitacion&amp;idEvl=oCQQAXDZrxgl5NjlNci%2BtA%3D%3D</x:v>
      </x:c>
      <x:c r="M26" s="11" t="s">
        <x:v>27</x:v>
      </x:c>
      <x:c r="N26" s="13" t="s">
        <x:v>21</x:v>
      </x:c>
      <x:c r="O26" s="11" t="s">
        <x:v>187</x:v>
      </x:c>
      <x:c r="P26" s="11" t="s">
        <x:v>63</x:v>
      </x:c>
      <x:c r="Q26" s="14" t="str">
        <x:f xml:space="preserve">HYPERLINK("https://www.infonalia.es/licitaciones1125/2025166793.pdf","www.infonalia.es/licitaciones1125/2025166793.pdf")</x:f>
        <x:v>www.infonalia.es/licitaciones1125/2025166793.pdf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