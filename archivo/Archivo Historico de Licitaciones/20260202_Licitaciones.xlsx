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<x:sst xmlns:x="http://schemas.openxmlformats.org/spreadsheetml/2006/main" count="17" uniqueCount="17">
  <x:si>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</x:si>
  <x:si>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</x:si>
  <x:si>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</x:si>
  <x:si>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</x:si>
  <x:si>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</x:si>
  <x:si>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</x:si>
  <x:si>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</x:si>
  <x:si>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</x:si>
  <x:si>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</x:si>
  <x:si>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</x:si>
  <x:si>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</x:si>
  <x:si>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</x:si>
  <x:si>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</x:si>
  <x:si>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</x:si>
  <x:si>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</x:si>
  <x:si>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</x:si>
  <x:si>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</x:si>
  <x:si>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</x:si>
  <x:si>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</x:si>
  <x:si>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02/03/2026</x:t>
  </x:si>
  <x:si>
    <x:t>2026010134</x:t>
  </x:si>
  <x:si>
    <x:t>02/02/2026</x:t>
  </x:si>
  <x:si>
    <x:t>CONSEJO DE ADMINISTRACIÓN DE ICEX ESPAÑA EXPORTACIÓN E INVERSIONES, E.P.E</x:t>
  </x:si>
  <x:si>
    <x:t>Servicio de consultoría para el desarrollo y conceptualización del espacio expositivo “La Casa del Comercio” en torno al comercio internacional y su impacto en la cultura y la civilización, que ICEX tiene previsto establecer en su nueva sede de avenida de Manoteras, 28, Madrid</x:t>
  </x:si>
  <x:si>
    <x:t>011/2026</x:t>
  </x:si>
  <x:si>
    <x:t>Importe sin impuestos</x:t>
  </x:si>
  <x:si>
    <x:t/>
  </x:si>
  <x:si>
    <x:t>-----</x:t>
  </x:si>
  <x:si>
    <x:t>30/01/2026</x:t>
  </x:si>
  <x:si>
    <x:t/>
  </x:si>
  <x:si>
    <x:t>Madrid</x:t>
  </x:si>
  <x:si>
    <x:t>16/02/2026</x:t>
  </x:si>
  <x:si>
    <x:t>2026010141</x:t>
  </x:si>
  <x:si>
    <x:t>VILADECANS QUALITAT, S.L</x:t>
  </x:si>
  <x:si>
    <x:t>Procedimiento abierto no sujeto a regulación armonizada por la contratación de los Servicios de analítica de usos y tendencias de consumo de la programación estable de Atrium Viladecans y gestión de acciones de nuevos públicos</x:t>
  </x:si>
  <x:si>
    <x:t>25/228</x:t>
  </x:si>
  <x:si>
    <x:t/>
  </x:si>
  <x:si>
    <x:t>Barcelona</x:t>
  </x:si>
  <x:si>
    <x:t>18/02/2026</x:t>
  </x:si>
  <x:si>
    <x:t>2026010211</x:t>
  </x:si>
  <x:si>
    <x:t>AYUNTAMIENTO DE MADRID. DISTRITO DE CHAMARTÍN</x:t>
  </x:si>
  <x:si>
    <x:t>Diseño, planificación y ejecución de un programa cultural de carácter científico-divulgativo para el barrio de la ciencia en Madrid (Distrito de Chamartín)</x:t>
  </x:si>
  <x:si>
    <x:t>300/2025/02732</x:t>
  </x:si>
  <x:si>
    <x:t/>
  </x:si>
  <x:si>
    <x:t>15/02/2026</x:t>
  </x:si>
  <x:si>
    <x:t>2026010397</x:t>
  </x:si>
  <x:si>
    <x:t>AYUNTAMIENTO DE DELTEBRE (TARRAGONA)</x:t>
  </x:si>
  <x:si>
    <x:t>Lote 1 Diseños anuales: Servicios de diseño gráfico recurrentes y de soporte continuado a la comunicación institucional del Ayuntamiento de Deltebre. Lote 2 Diseños #DeltebreProyección: Servicios de diseño gráfico vinculados a la promoción del municipio, proyección turística y difusión de eventos y acciones estratégicas. Lote 3 Diseños revista Desaigüe: Servicios de diseño, maquetación y redacción del boletín de información municipal Desaigüe</x:t>
  </x:si>
  <x:si>
    <x:t>2026/57</x:t>
  </x:si>
  <x:si>
    <x:t/>
  </x:si>
  <x:si>
    <x:t>Tarragona</x:t>
  </x:si>
  <x:si>
    <x:t>2026010414</x:t>
  </x:si>
  <x:si>
    <x:t>CONSELL COMARCAL DEL VALLÈS ORIENTAL (BARCELONA)</x:t>
  </x:si>
  <x:si>
    <x:t>1. El objeto de este contrato es la prestación del Servicio de Oficina en materia de Agenda 2030 y Objetivos de Desarrollo Sostenible (ODS) en los ayuntamientos de la comarca del Vallès Oriental. El tipo de servicio es especializado dado que las demandas y tipología de situaciones recibidas son muy variadas, en función del nivel de implementación de la Agenda 2030 y los ODS en cada ente local</x:t>
  </x:si>
  <x:si>
    <x:t>2026-01-S X2026000630</x:t>
  </x:si>
  <x:si>
    <x:t/>
  </x:si>
  <x:si>
    <x:t>14/03/2026</x:t>
  </x:si>
  <x:si>
    <x:t>2026010424</x:t>
  </x:si>
  <x:si>
    <x:t>GERENCIA DE LA FUNDACIÓN ENAIRE F.S.P</x:t>
  </x:si>
  <x:si>
    <x:t>ARCO 2026. Constituye el objeto del contrato la prestación del servicio de ejecución del diseño gráfico predeterminado, producción gráfica, cobertura audiovisual, mediación cultural y transporte, montaje y desmontaje de obras para el stand de la Feria ARCO 2026</x:t>
  </x:si>
  <x:si>
    <x:t>PAS FE-03/2026</x:t>
  </x:si>
  <x:si>
    <x:t/>
  </x:si>
  <x:si>
    <x:t>AENA - Aeropuertos Españoles y Navegación Aérea</x:t>
  </x:si>
  <x:si>
    <x:t>16/04/2026</x:t>
  </x:si>
  <x:si>
    <x:t>2026010431</x:t>
  </x:si>
  <x:si>
    <x:t>AENA - AEROPUERTOS ESPAÑOLES Y NAVEGACIÓN AÉREA</x:t>
  </x:si>
  <x:si>
    <x:t>Arrendamiento de espacios para la actividad publicitaria y promocional en aeropuerto de la red de Aena.</x:t>
  </x:si>
  <x:si>
    <x:t>C/PUB/001/26</x:t>
  </x:si>
  <x:si>
    <x:t>No consta</x:t>
  </x:si>
  <x:si>
    <x:t/>
  </x:si>
  <x:si>
    <x:t/>
  </x:si>
  <x:si>
    <x:t>Ver pliegos</x:t>
  </x:si>
  <x:si>
    <x:t>Barcelona. Perfil del Contratante del Ayuntamiento</x:t>
  </x:si>
  <x:si>
    <x:t>06/02/2026</x:t>
  </x:si>
  <x:si>
    <x:t>2026010435</x:t>
  </x:si>
  <x:si>
    <x:t>INSTITUTO DE CULTURA DE BARCELONA</x:t>
  </x:si>
  <x:si>
    <x:t>Servicios de fotografía de prensa y artística para diferentes festivales y actividades culturales promovidas por el ICUB en 2026 y 2027.</x:t>
  </x:si>
  <x:si>
    <x:t>006_P2600204</x:t>
  </x:si>
  <x:si>
    <x:t/>
  </x:si>
  <x:si>
    <x:t/>
  </x:si>
  <x:si>
    <x:t>Catalunya - Plataforma de Contratación</x:t>
  </x:si>
  <x:si>
    <x:t>09/02/2026</x:t>
  </x:si>
  <x:si>
    <x:t>2026010463</x:t>
  </x:si>
  <x:si>
    <x:t>AYUNTAMIENTO DE CALAFELL (TARRAGONA)</x:t>
  </x:si>
  <x:si>
    <x:t>Contratación del servicio de un evento planner y un social media manager para las actuaciones de la dinamización económica del área de promoción económica entre el 1 de marzo de 2026 y el 31 de enero de 2027</x:t>
  </x:si>
  <x:si>
    <x:t>09_2026-CNT Menor</x:t>
  </x:si>
  <x:si>
    <x:t>IVA excuido</x:t>
  </x:si>
  <x:si>
    <x:t/>
  </x:si>
  <x:si>
    <x:t/>
  </x:si>
  <x:si>
    <x:t>11/02/2026</x:t>
  </x:si>
  <x:si>
    <x:t>2026010464</x:t>
  </x:si>
  <x:si>
    <x:t>AYUNTAMIENTO DE VILADECANS (BARCELONA)</x:t>
  </x:si>
  <x:si>
    <x:t>Contratación de los servicios de diseño e implementación de una campaña de captación de jóvenes que participen en la definición y puesta en práctica de una metodología de participación juvenil, financiado por el ministerio de derechos sociales, consumo y agenda 2030</x:t>
  </x:si>
  <x:si>
    <x:t>11/2026/CMSERV2</x:t>
  </x:si>
  <x:si>
    <x:t/>
  </x:si>
  <x:si>
    <x:t/>
  </x:si>
  <x:si>
    <x:t>Cruz Roja</x:t>
  </x:si>
  <x:si>
    <x:t>2026010480</x:t>
  </x:si>
  <x:si>
    <x:t>CRUZ ROJA</x:t>
  </x:si>
  <x:si>
    <x:t>Selección de agencia de redes sociales Cruz Roja Española.</x:t>
  </x:si>
  <x:si>
    <x:t>Anuales</x:t>
  </x:si>
  <x:si>
    <x:t/>
  </x:si>
  <x:si>
    <x:t/>
  </x:si>
  <x:si>
    <x:t>Museo del Prado</x:t>
  </x:si>
  <x:si>
    <x:t>2026010484</x:t>
  </x:si>
  <x:si>
    <x:t>MUSEO DEL PRADO</x:t>
  </x:si>
  <x:si>
    <x:t>Solicitud de presupuesto para el copy editing de un catálogo del Museo del Prado. Catálogo «Hans Baldung Grien»</x:t>
  </x:si>
  <x:si>
    <x:t>0625</x:t>
  </x:si>
  <x:si>
    <x:t/>
  </x:si>
  <x:si>
    <x:t/>
  </x:si>
  <x:si>
    <x:t>2026010485</x:t>
  </x:si>
  <x:si>
    <x:t>Solicitud de presupuesto para el copy editing de un catálogo del Museo del Prado. Catálogo «Mariana de Austria»</x:t>
  </x:si>
  <x:si>
    <x:t>0624</x:t>
  </x:si>
  <x:si>
    <x:t/>
  </x:si>
  <x:si>
    <x:t/>
  </x:si>
  <x:si>
    <x:t>2026010526</x:t>
  </x:si>
  <x:si>
    <x:t>JUNTA DE GOBIERNO DEL AYUNTAMIENTO DE ALCOBENDAS (MADRID)</x:t>
  </x:si>
  <x:si>
    <x:t>Servicios para la producción de los eventos de “Imagina Sound Fest” durante el primer semestre de 2026 de la Concejalía de Juventud, Infancia y Adolescencia del Ayuntamiento de Alcobendas</x:t>
  </x:si>
  <x:si>
    <x:t>CM/2026/434/05</x:t>
  </x:si>
  <x:si>
    <x:t/>
  </x:si>
  <x:si>
    <x:t>03/02/2026</x:t>
  </x:si>
  <x:si>
    <x:t>2026010548</x:t>
  </x:si>
  <x:si>
    <x:t>COMISIÓN DELEGADA DE LA FUNDACIÓN PARA LA INVESTIGACIÓN BIOMÉDICA DEL HOSPITAL UNIVERSITARIO LA PAZ</x:t>
  </x:si>
  <x:si>
    <x:t>Gestion integral de evento : El medico de la puerta de al lado a celebrar en Matadero del 19 al 20 de junio de 2026</x:t>
  </x:si>
  <x:si>
    <x:t>CM 333/2026</x:t>
  </x:si>
  <x:si>
    <x:t/>
  </x:si>
  <x:si>
    <x:t>2026010638</x:t>
  </x:si>
  <x:si>
    <x:t>JUNTA DE GOBIERNO LOCAL DEL AYUNTAMIENTO DE TUDELA (NAVARRA)</x:t>
  </x:si>
  <x:si>
    <x:t>Organización de los actos de presentación en Madrid y Barcelona de las fiestas de la verdura de Tudela y la gestión de asistentes a dichos actos (2026 y 2027)</x:t>
  </x:si>
  <x:si>
    <x:t>3058_6-2026-CONAD Madrid y Barcelona</x:t>
  </x:si>
  <x:si>
    <x:t/>
  </x:si>
  <x:si>
    <x:t>DOUE - Diario Oficial de la Unión Europea (S)</x:t>
  </x:si>
  <x:si>
    <x:t>28/02/2026</x:t>
  </x:si>
  <x:si>
    <x:t>2026010662</x:t>
  </x:si>
  <x:si>
    <x:t>ASOCIACIÓN ESPAÑOLA DE FABRICANTES DE ALFALFA DESHIDRATADA (AEFA)</x:t>
  </x:si>
  <x:si>
    <x:t>Convocatoria de selección de una agencia implementadora para un programa múltiple destinado a promover los forrajes europeos en Japón, Vietnam, Indonesia y Taiwán
</x:t>
  </x:si>
  <x:si>
    <x:t/>
  </x:si>
  <x:si>
    <x:t>21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</x:si>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</x:sst>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2748979.00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HYPERLINK("https://contrataciondelestado.es/wps/poc?uri=deeplink:detalle_licitacion&amp;idEvl=zdVU5usgeF2GCFcHcNGIlQ%3D%3D","contrataciondelestado.es/wps/poc?uri=deeplink:detalle_licitacion&amp;idEvl=zdVU5usgeF2GCFcHcNGIlQ%3D%3D")</x:f>
        <x:v>contrataciondelestado.es/wps/poc?uri=deeplink:detalle_licitacion&amp;idEvl=zdVU5usgeF2GCFcHcNGIlQ%3D%3D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HYPERLINK("https://www.infonalia.es/licitaciones0226/2026010134.pdf","www.infonalia.es/licitaciones0226/2026010134.pdf")</x:f>
        <x:v>www.infonalia.es/licitaciones0226/2026010134.pdf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115000.00</x:v>
      </x:c>
      <x:c r="J3" s="11" t="s">
        <x:v>25</x:v>
      </x:c>
      <x:c r="K3" s="11" t="s">
        <x:v>26</x:v>
      </x:c>
      <x:c r="L3" s="12" t="str">
        <x:f xml:space="preserve">HYPERLINK("https://contractaciopublica.cat/ca/detall-publicacio/45a17ad7-319a-4b3b-a92a-4870921f28c4/300681114","contractaciopublica.cat/ca/detall-publicacio/45a17ad7-319a-4b3b-a92a-4870921f28c4/300681114")</x:f>
        <x:v>contractaciopublica.cat/ca/detall-publicacio/45a17ad7-319a-4b3b-a92a-4870921f28c4/300681114</x:v>
      </x:c>
      <x:c r="M3" s="11" t="s">
        <x:v>27</x:v>
      </x:c>
      <x:c r="N3" s="13" t="s">
        <x:v>28</x:v>
      </x:c>
      <x:c r="O3" s="11" t="s">
        <x:v>36</x:v>
      </x:c>
      <x:c r="P3" s="11" t="s">
        <x:v>37</x:v>
      </x:c>
      <x:c r="Q3" s="14" t="str">
        <x:f xml:space="preserve">HYPERLINK("https://www.infonalia.es/licitaciones0226/2026010141.pdf","www.infonalia.es/licitaciones0226/2026010141.pdf")</x:f>
        <x:v>www.infonalia.es/licitaciones0226/2026010141.pdf</x:v>
      </x:c>
    </x:row>
    <x:row r="4">
      <x:c r="A4" s="6" t="s">
        <x:v>17</x:v>
      </x:c>
      <x:c r="B4" s="6" t="s">
        <x:v>18</x:v>
      </x:c>
      <x:c r="C4" s="7" t="s">
        <x:v>38</x:v>
      </x:c>
      <x:c r="D4" s="8" t="s">
        <x:v>39</x:v>
      </x:c>
      <x:c r="E4" s="9" t="s">
        <x:v>21</x:v>
      </x:c>
      <x:c r="F4" s="6" t="s">
        <x:v>40</x:v>
      </x:c>
      <x:c r="G4" s="6" t="s">
        <x:v>41</x:v>
      </x:c>
      <x:c r="H4" s="6" t="s">
        <x:v>42</x:v>
      </x:c>
      <x:c r="I4" s="10" t="n">
        <x:v>324628.37</x:v>
      </x:c>
      <x:c r="J4" s="11" t="s">
        <x:v>25</x:v>
      </x:c>
      <x:c r="K4" s="11" t="s">
        <x:v>26</x:v>
      </x:c>
      <x:c r="L4" s="12" t="str">
        <x:f xml:space="preserve">HYPERLINK("https://contrataciondelestado.es/wps/poc?uri=deeplink:detalle_licitacion&amp;idEvl=H91lWhA6aux%2FP7lJ7Fu0SA%3D%3D","contrataciondelestado.es/wps/poc?uri=deeplink:detalle_licitacion&amp;idEvl=H91lWhA6aux%2FP7lJ7Fu0SA%3D%3D")</x:f>
        <x:v>contrataciondelestado.es/wps/poc?uri=deeplink:detalle_licitacion&amp;idEvl=H91lWhA6aux%2FP7lJ7Fu0SA%3D%3D</x:v>
      </x:c>
      <x:c r="M4" s="11" t="s">
        <x:v>27</x:v>
      </x:c>
      <x:c r="N4" s="13" t="s">
        <x:v>28</x:v>
      </x:c>
      <x:c r="O4" s="11" t="s">
        <x:v>43</x:v>
      </x:c>
      <x:c r="P4" s="11" t="s">
        <x:v>30</x:v>
      </x:c>
      <x:c r="Q4" s="14" t="str">
        <x:f xml:space="preserve">HYPERLINK("https://www.infonalia.es/licitaciones0226/2026010211.pdf","www.infonalia.es/licitaciones0226/2026010211.pdf")</x:f>
        <x:v>www.infonalia.es/licitaciones0226/2026010211.pdf</x:v>
      </x:c>
    </x:row>
    <x:row r="5">
      <x:c r="A5" s="6" t="s">
        <x:v>17</x:v>
      </x:c>
      <x:c r="B5" s="6" t="s">
        <x:v>18</x:v>
      </x:c>
      <x:c r="C5" s="7" t="s">
        <x:v>44</x:v>
      </x:c>
      <x:c r="D5" s="8" t="s">
        <x:v>45</x:v>
      </x:c>
      <x:c r="E5" s="9" t="s">
        <x:v>21</x:v>
      </x:c>
      <x:c r="F5" s="6" t="s">
        <x:v>46</x:v>
      </x:c>
      <x:c r="G5" s="6" t="s">
        <x:v>47</x:v>
      </x:c>
      <x:c r="H5" s="6" t="s">
        <x:v>48</x:v>
      </x:c>
      <x:c r="I5" s="10" t="n">
        <x:v>21198.34</x:v>
      </x:c>
      <x:c r="J5" s="11" t="s">
        <x:v>25</x:v>
      </x:c>
      <x:c r="K5" s="11" t="s">
        <x:v>26</x:v>
      </x:c>
      <x:c r="L5" s="12" t="str">
        <x:f xml:space="preserve">HYPERLINK("https://contractaciopublica.cat/ca/detall-publicacio/f75c40f9-650e-4b90-8a4e-fae0e7c0be58/300680603","contractaciopublica.cat/ca/detall-publicacio/f75c40f9-650e-4b90-8a4e-fae0e7c0be58/300680603")</x:f>
        <x:v>contractaciopublica.cat/ca/detall-publicacio/f75c40f9-650e-4b90-8a4e-fae0e7c0be58/300680603</x:v>
      </x:c>
      <x:c r="M5" s="11" t="s">
        <x:v>27</x:v>
      </x:c>
      <x:c r="N5" s="13" t="s">
        <x:v>28</x:v>
      </x:c>
      <x:c r="O5" s="11" t="s">
        <x:v>49</x:v>
      </x:c>
      <x:c r="P5" s="11" t="s">
        <x:v>50</x:v>
      </x:c>
      <x:c r="Q5" s="14" t="str">
        <x:f xml:space="preserve">HYPERLINK("https://www.infonalia.es/licitaciones0226/2026010397.pdf","www.infonalia.es/licitaciones0226/2026010397.pdf")</x:f>
        <x:v>www.infonalia.es/licitaciones0226/2026010397.pdf</x:v>
      </x:c>
    </x:row>
    <x:row r="6">
      <x:c r="A6" s="6" t="s">
        <x:v>17</x:v>
      </x:c>
      <x:c r="B6" s="6" t="s">
        <x:v>18</x:v>
      </x:c>
      <x:c r="C6" s="7" t="s">
        <x:v>31</x:v>
      </x:c>
      <x:c r="D6" s="8" t="s">
        <x:v>51</x:v>
      </x:c>
      <x:c r="E6" s="9" t="s">
        <x:v>21</x:v>
      </x:c>
      <x:c r="F6" s="6" t="s">
        <x:v>52</x:v>
      </x:c>
      <x:c r="G6" s="6" t="s">
        <x:v>53</x:v>
      </x:c>
      <x:c r="H6" s="6" t="s">
        <x:v>54</x:v>
      </x:c>
      <x:c r="I6" s="10" t="n">
        <x:v>35380.87</x:v>
      </x:c>
      <x:c r="J6" s="11" t="s">
        <x:v>25</x:v>
      </x:c>
      <x:c r="K6" s="11" t="s">
        <x:v>26</x:v>
      </x:c>
      <x:c r="L6" s="12" t="str">
        <x:f xml:space="preserve">HYPERLINK("https://contractaciopublica.cat/ca/detall-publicacio/dba3fdd0-f23a-4d47-b1d7-c83bbfc7b6ba/300679703","contractaciopublica.cat/ca/detall-publicacio/dba3fdd0-f23a-4d47-b1d7-c83bbfc7b6ba/300679703")</x:f>
        <x:v>contractaciopublica.cat/ca/detall-publicacio/dba3fdd0-f23a-4d47-b1d7-c83bbfc7b6ba/300679703</x:v>
      </x:c>
      <x:c r="M6" s="11" t="s">
        <x:v>27</x:v>
      </x:c>
      <x:c r="N6" s="13" t="s">
        <x:v>28</x:v>
      </x:c>
      <x:c r="O6" s="11" t="s">
        <x:v>55</x:v>
      </x:c>
      <x:c r="P6" s="11" t="s">
        <x:v>37</x:v>
      </x:c>
      <x:c r="Q6" s="14" t="str">
        <x:f xml:space="preserve">HYPERLINK("https://www.infonalia.es/licitaciones0226/2026010414.pdf","www.infonalia.es/licitaciones0226/2026010414.pdf")</x:f>
        <x:v>www.infonalia.es/licitaciones0226/2026010414.pdf</x:v>
      </x:c>
    </x:row>
    <x:row r="7">
      <x:c r="A7" s="6" t="s">
        <x:v>17</x:v>
      </x:c>
      <x:c r="B7" s="6" t="s">
        <x:v>18</x:v>
      </x:c>
      <x:c r="C7" s="7" t="s">
        <x:v>56</x:v>
      </x:c>
      <x:c r="D7" s="8" t="s">
        <x:v>57</x:v>
      </x:c>
      <x:c r="E7" s="9" t="s">
        <x:v>21</x:v>
      </x:c>
      <x:c r="F7" s="6" t="s">
        <x:v>58</x:v>
      </x:c>
      <x:c r="G7" s="6" t="s">
        <x:v>59</x:v>
      </x:c>
      <x:c r="H7" s="6" t="s">
        <x:v>60</x:v>
      </x:c>
      <x:c r="I7" s="10" t="n">
        <x:v>10082.64</x:v>
      </x:c>
      <x:c r="J7" s="11" t="s">
        <x:v>25</x:v>
      </x:c>
      <x:c r="K7" s="11" t="s">
        <x:v>26</x:v>
      </x:c>
      <x:c r="L7" s="12" t="str">
        <x:f xml:space="preserve">HYPERLINK("https://contrataciondelestado.es/wps/poc?uri=deeplink:detalle_licitacion&amp;idEvl=BkuAwZJHEVFQFSeKCRun4Q%3D%3D","contrataciondelestado.es/wps/poc?uri=deeplink:detalle_licitacion&amp;idEvl=BkuAwZJHEVFQFSeKCRun4Q%3D%3D")</x:f>
        <x:v>contrataciondelestado.es/wps/poc?uri=deeplink:detalle_licitacion&amp;idEvl=BkuAwZJHEVFQFSeKCRun4Q%3D%3D</x:v>
      </x:c>
      <x:c r="M7" s="11" t="s">
        <x:v>27</x:v>
      </x:c>
      <x:c r="N7" s="13" t="s">
        <x:v>28</x:v>
      </x:c>
      <x:c r="O7" s="11" t="s">
        <x:v>61</x:v>
      </x:c>
      <x:c r="P7" s="11" t="s">
        <x:v>30</x:v>
      </x:c>
      <x:c r="Q7" s="14" t="str">
        <x:f xml:space="preserve">HYPERLINK("https://www.infonalia.es/licitaciones0226/2026010424.pdf","www.infonalia.es/licitaciones0226/2026010424.pdf")</x:f>
        <x:v>www.infonalia.es/licitaciones0226/2026010424.pdf</x:v>
      </x:c>
    </x:row>
    <x:row r="8">
      <x:c r="A8" s="6" t="s">
        <x:v>17</x:v>
      </x:c>
      <x:c r="B8" s="6" t="s">
        <x:v>62</x:v>
      </x:c>
      <x:c r="C8" s="7" t="s">
        <x:v>63</x:v>
      </x:c>
      <x:c r="D8" s="8" t="s">
        <x:v>64</x:v>
      </x:c>
      <x:c r="E8" s="9" t="s">
        <x:v>21</x:v>
      </x:c>
      <x:c r="F8" s="6" t="s">
        <x:v>65</x:v>
      </x:c>
      <x:c r="G8" s="6" t="s">
        <x:v>66</x:v>
      </x:c>
      <x:c r="H8" s="6" t="s">
        <x:v>67</x:v>
      </x:c>
      <x:c r="I8" s="10"/>
      <x:c r="J8" s="11" t="s">
        <x:v>68</x:v>
      </x:c>
      <x:c r="K8" s="11" t="s">
        <x:v>69</x:v>
      </x:c>
      <x:c r="L8" s="12" t="str">
        <x:f xml:space="preserve">HYPERLINK("https://empresas.aena.es/empresas-contratacion/","empresas.aena.es/empresas-contratacion/")</x:f>
        <x:v>empresas.aena.es/empresas-contratacion/</x:v>
      </x:c>
      <x:c r="M8" s="11" t="s">
        <x:v>27</x:v>
      </x:c>
      <x:c r="N8" s="13" t="s">
        <x:v>28</x:v>
      </x:c>
      <x:c r="O8" s="11" t="s">
        <x:v>70</x:v>
      </x:c>
      <x:c r="P8" s="11" t="s">
        <x:v>71</x:v>
      </x:c>
      <x:c r="Q8" s="14" t="str">
        <x:f xml:space="preserve">HYPERLINK("https://www.infonalia.es/licitaciones0226/2026010431.pdf","www.infonalia.es/licitaciones0226/2026010431.pdf")</x:f>
        <x:v>www.infonalia.es/licitaciones0226/2026010431.pdf</x:v>
      </x:c>
    </x:row>
    <x:row r="9">
      <x:c r="A9" s="6" t="s">
        <x:v>17</x:v>
      </x:c>
      <x:c r="B9" s="6" t="s">
        <x:v>72</x:v>
      </x:c>
      <x:c r="C9" s="7" t="s">
        <x:v>73</x:v>
      </x:c>
      <x:c r="D9" s="8" t="s">
        <x:v>74</x:v>
      </x:c>
      <x:c r="E9" s="9" t="s">
        <x:v>21</x:v>
      </x:c>
      <x:c r="F9" s="6" t="s">
        <x:v>75</x:v>
      </x:c>
      <x:c r="G9" s="6" t="s">
        <x:v>76</x:v>
      </x:c>
      <x:c r="H9" s="6" t="s">
        <x:v>77</x:v>
      </x:c>
      <x:c r="I9" s="10" t="n">
        <x:v>14995.00</x:v>
      </x:c>
      <x:c r="J9" s="11" t="s">
        <x:v>25</x:v>
      </x:c>
      <x:c r="K9" s="11" t="s">
        <x:v>78</x:v>
      </x:c>
      <x:c r="L9" s="12" t="str">
        <x:f xml:space="preserve">HYPERLINK("https://licitacions.bcn.cat/licitacion/licitaciones/detalle?id=14623524","licitacions.bcn.cat/licitacion/licitaciones/detalle?id=14623524")</x:f>
        <x:v>licitacions.bcn.cat/licitacion/licitaciones/detalle?id=14623524</x:v>
      </x:c>
      <x:c r="M9" s="11" t="s">
        <x:v>27</x:v>
      </x:c>
      <x:c r="N9" s="13" t="s">
        <x:v>28</x:v>
      </x:c>
      <x:c r="O9" s="11" t="s">
        <x:v>79</x:v>
      </x:c>
      <x:c r="P9" s="11" t="s">
        <x:v>37</x:v>
      </x:c>
      <x:c r="Q9" s="14" t="str">
        <x:f xml:space="preserve">HYPERLINK("https://www.infonalia.es/licitaciones0226/2026010435.pdf","www.infonalia.es/licitaciones0226/2026010435.pdf")</x:f>
        <x:v>www.infonalia.es/licitaciones0226/2026010435.pdf</x:v>
      </x:c>
    </x:row>
    <x:row r="10">
      <x:c r="A10" s="6" t="s">
        <x:v>17</x:v>
      </x:c>
      <x:c r="B10" s="6" t="s">
        <x:v>80</x:v>
      </x:c>
      <x:c r="C10" s="7" t="s">
        <x:v>81</x:v>
      </x:c>
      <x:c r="D10" s="8" t="s">
        <x:v>82</x:v>
      </x:c>
      <x:c r="E10" s="9" t="s">
        <x:v>21</x:v>
      </x:c>
      <x:c r="F10" s="6" t="s">
        <x:v>83</x:v>
      </x:c>
      <x:c r="G10" s="6" t="s">
        <x:v>84</x:v>
      </x:c>
      <x:c r="H10" s="6" t="s">
        <x:v>85</x:v>
      </x:c>
      <x:c r="I10" s="10" t="n">
        <x:v>14800.00</x:v>
      </x:c>
      <x:c r="J10" s="11" t="s">
        <x:v>86</x:v>
      </x:c>
      <x:c r="K10" s="11" t="s">
        <x:v>87</x:v>
      </x:c>
      <x:c r="L10" s="12" t="str">
        <x:f xml:space="preserve">HYPERLINK("https://contractaciopublica.cat/es/detall-publicacio/300680860","contractaciopublica.cat/es/detall-publicacio/300680860")</x:f>
        <x:v>contractaciopublica.cat/es/detall-publicacio/300680860</x:v>
      </x:c>
      <x:c r="M10" s="11" t="s">
        <x:v>27</x:v>
      </x:c>
      <x:c r="N10" s="13" t="s">
        <x:v>28</x:v>
      </x:c>
      <x:c r="O10" s="11" t="s">
        <x:v>88</x:v>
      </x:c>
      <x:c r="P10" s="11" t="s">
        <x:v>50</x:v>
      </x:c>
      <x:c r="Q10" s="14" t="str">
        <x:f xml:space="preserve">HYPERLINK("https://www.infonalia.es/licitaciones0226/2026010463.pdf","www.infonalia.es/licitaciones0226/2026010463.pdf")</x:f>
        <x:v>www.infonalia.es/licitaciones0226/2026010463.pdf</x:v>
      </x:c>
    </x:row>
    <x:row r="11">
      <x:c r="A11" s="6" t="s">
        <x:v>17</x:v>
      </x:c>
      <x:c r="B11" s="6" t="s">
        <x:v>80</x:v>
      </x:c>
      <x:c r="C11" s="7" t="s">
        <x:v>89</x:v>
      </x:c>
      <x:c r="D11" s="8" t="s">
        <x:v>90</x:v>
      </x:c>
      <x:c r="E11" s="9" t="s">
        <x:v>21</x:v>
      </x:c>
      <x:c r="F11" s="6" t="s">
        <x:v>91</x:v>
      </x:c>
      <x:c r="G11" s="6" t="s">
        <x:v>92</x:v>
      </x:c>
      <x:c r="H11" s="6" t="s">
        <x:v>93</x:v>
      </x:c>
      <x:c r="I11" s="10" t="n">
        <x:v>8264.46</x:v>
      </x:c>
      <x:c r="J11" s="11" t="s">
        <x:v>86</x:v>
      </x:c>
      <x:c r="K11" s="11" t="s">
        <x:v>94</x:v>
      </x:c>
      <x:c r="L11" s="12" t="str">
        <x:f xml:space="preserve">HYPERLINK("https://contractaciopublica.cat/es/detall-publicacio/300680836","contractaciopublica.cat/es/detall-publicacio/300680836")</x:f>
        <x:v>contractaciopublica.cat/es/detall-publicacio/300680836</x:v>
      </x:c>
      <x:c r="M11" s="11" t="s">
        <x:v>27</x:v>
      </x:c>
      <x:c r="N11" s="13" t="s">
        <x:v>28</x:v>
      </x:c>
      <x:c r="O11" s="11" t="s">
        <x:v>95</x:v>
      </x:c>
      <x:c r="P11" s="11" t="s">
        <x:v>37</x:v>
      </x:c>
      <x:c r="Q11" s="14" t="str">
        <x:f xml:space="preserve">HYPERLINK("https://www.infonalia.es/licitaciones0226/2026010464.pdf","www.infonalia.es/licitaciones0226/2026010464.pdf")</x:f>
        <x:v>www.infonalia.es/licitaciones0226/2026010464.pdf</x:v>
      </x:c>
    </x:row>
    <x:row r="12">
      <x:c r="A12" s="6" t="s">
        <x:v>17</x:v>
      </x:c>
      <x:c r="B12" s="6" t="s">
        <x:v>96</x:v>
      </x:c>
      <x:c r="C12" s="7" t="s">
        <x:v>19</x:v>
      </x:c>
      <x:c r="D12" s="8" t="s">
        <x:v>97</x:v>
      </x:c>
      <x:c r="E12" s="9" t="s">
        <x:v>21</x:v>
      </x:c>
      <x:c r="F12" s="6" t="s">
        <x:v>98</x:v>
      </x:c>
      <x:c r="G12" s="6" t="s">
        <x:v>99</x:v>
      </x:c>
      <x:c r="H12" s="6" t="s">
        <x:v>68</x:v>
      </x:c>
      <x:c r="I12" s="10" t="n">
        <x:v>80000.00</x:v>
      </x:c>
      <x:c r="J12" s="11" t="s">
        <x:v>100</x:v>
      </x:c>
      <x:c r="K12" s="11" t="s">
        <x:v>101</x:v>
      </x:c>
      <x:c r="L12" s="12" t="str">
        <x:f xml:space="preserve">HYPERLINK("https://www2.cruzroja.es/licitaciones","www2.cruzroja.es/licitaciones")</x:f>
        <x:v>www2.cruzroja.es/licitaciones</x:v>
      </x:c>
      <x:c r="M12" s="11" t="s">
        <x:v>27</x:v>
      </x:c>
      <x:c r="N12" s="13" t="s">
        <x:v>28</x:v>
      </x:c>
      <x:c r="O12" s="11" t="s">
        <x:v>102</x:v>
      </x:c>
      <x:c r="P12" s="11" t="s">
        <x:v>71</x:v>
      </x:c>
      <x:c r="Q12" s="14" t="str">
        <x:f xml:space="preserve">HYPERLINK("https://www.infonalia.es/licitaciones0226/2026010480.pdf","www.infonalia.es/licitaciones0226/2026010480.pdf")</x:f>
        <x:v>www.infonalia.es/licitaciones0226/2026010480.pdf</x:v>
      </x:c>
    </x:row>
    <x:row r="13">
      <x:c r="A13" s="6" t="s">
        <x:v>17</x:v>
      </x:c>
      <x:c r="B13" s="6" t="s">
        <x:v>103</x:v>
      </x:c>
      <x:c r="C13" s="7" t="s">
        <x:v>73</x:v>
      </x:c>
      <x:c r="D13" s="8" t="s">
        <x:v>104</x:v>
      </x:c>
      <x:c r="E13" s="9" t="s">
        <x:v>21</x:v>
      </x:c>
      <x:c r="F13" s="6" t="s">
        <x:v>105</x:v>
      </x:c>
      <x:c r="G13" s="6" t="s">
        <x:v>106</x:v>
      </x:c>
      <x:c r="H13" s="6" t="s">
        <x:v>107</x:v>
      </x:c>
      <x:c r="I13" s="10"/>
      <x:c r="J13" s="11" t="s">
        <x:v>71</x:v>
      </x:c>
      <x:c r="K13" s="11" t="s">
        <x:v>108</x:v>
      </x:c>
      <x:c r="L13" s="12" t="str">
        <x:f xml:space="preserve">HYPERLINK("https://museodelpradodifusion.es/archivos/4127","museodelpradodifusion.es/archivos/4127")</x:f>
        <x:v>museodelpradodifusion.es/archivos/4127</x:v>
      </x:c>
      <x:c r="M13" s="11" t="s">
        <x:v>27</x:v>
      </x:c>
      <x:c r="N13" s="13" t="s">
        <x:v>28</x:v>
      </x:c>
      <x:c r="O13" s="11" t="s">
        <x:v>109</x:v>
      </x:c>
      <x:c r="P13" s="11" t="s">
        <x:v>30</x:v>
      </x:c>
      <x:c r="Q13" s="14" t="str">
        <x:f xml:space="preserve">HYPERLINK("https://www.infonalia.es/licitaciones0226/2026010484.pdf","www.infonalia.es/licitaciones0226/2026010484.pdf")</x:f>
        <x:v>www.infonalia.es/licitaciones0226/2026010484.pdf</x:v>
      </x:c>
    </x:row>
    <x:row r="14">
      <x:c r="A14" s="6" t="s">
        <x:v>17</x:v>
      </x:c>
      <x:c r="B14" s="6" t="s">
        <x:v>103</x:v>
      </x:c>
      <x:c r="C14" s="7" t="s">
        <x:v>73</x:v>
      </x:c>
      <x:c r="D14" s="8" t="s">
        <x:v>110</x:v>
      </x:c>
      <x:c r="E14" s="9" t="s">
        <x:v>21</x:v>
      </x:c>
      <x:c r="F14" s="6" t="s">
        <x:v>105</x:v>
      </x:c>
      <x:c r="G14" s="6" t="s">
        <x:v>111</x:v>
      </x:c>
      <x:c r="H14" s="6" t="s">
        <x:v>112</x:v>
      </x:c>
      <x:c r="I14" s="10"/>
      <x:c r="J14" s="11" t="s">
        <x:v>71</x:v>
      </x:c>
      <x:c r="K14" s="11" t="s">
        <x:v>113</x:v>
      </x:c>
      <x:c r="L14" s="12" t="str">
        <x:f xml:space="preserve">HYPERLINK("https://museodelpradodifusion.es/archivos/4124","museodelpradodifusion.es/archivos/4124")</x:f>
        <x:v>museodelpradodifusion.es/archivos/4124</x:v>
      </x:c>
      <x:c r="M14" s="11" t="s">
        <x:v>27</x:v>
      </x:c>
      <x:c r="N14" s="13" t="s">
        <x:v>28</x:v>
      </x:c>
      <x:c r="O14" s="11" t="s">
        <x:v>114</x:v>
      </x:c>
      <x:c r="P14" s="11" t="s">
        <x:v>30</x:v>
      </x:c>
      <x:c r="Q14" s="14" t="str">
        <x:f xml:space="preserve">HYPERLINK("https://www.infonalia.es/licitaciones0226/2026010485.pdf","www.infonalia.es/licitaciones0226/2026010485.pdf")</x:f>
        <x:v>www.infonalia.es/licitaciones0226/2026010485.pdf</x:v>
      </x:c>
    </x:row>
    <x:row r="15">
      <x:c r="A15" s="6" t="s">
        <x:v>17</x:v>
      </x:c>
      <x:c r="B15" s="6" t="s">
        <x:v>18</x:v>
      </x:c>
      <x:c r="C15" s="7" t="s">
        <x:v>73</x:v>
      </x:c>
      <x:c r="D15" s="8" t="s">
        <x:v>115</x:v>
      </x:c>
      <x:c r="E15" s="9" t="s">
        <x:v>21</x:v>
      </x:c>
      <x:c r="F15" s="6" t="s">
        <x:v>116</x:v>
      </x:c>
      <x:c r="G15" s="6" t="s">
        <x:v>117</x:v>
      </x:c>
      <x:c r="H15" s="6" t="s">
        <x:v>118</x:v>
      </x:c>
      <x:c r="I15" s="10" t="n">
        <x:v>14900.00</x:v>
      </x:c>
      <x:c r="J15" s="11" t="s">
        <x:v>25</x:v>
      </x:c>
      <x:c r="K15" s="11" t="s">
        <x:v>26</x:v>
      </x:c>
      <x:c r="L15" s="12" t="str">
        <x:f xml:space="preserve">HYPERLINK("https://contrataciondelestado.es/wps/poc?uri=deeplink:detalle_licitacion&amp;idEvl=2FEB%2FAhYO8IzjChw4z%2FXvw%3D%3D","contrataciondelestado.es/wps/poc?uri=deeplink:detalle_licitacion&amp;idEvl=2FEB%2FAhYO8IzjChw4z%2FXvw%3D%3D")</x:f>
        <x:v>contrataciondelestado.es/wps/poc?uri=deeplink:detalle_licitacion&amp;idEvl=2FEB%2FAhYO8IzjChw4z%2FXvw%3D%3D</x:v>
      </x:c>
      <x:c r="M15" s="11" t="s">
        <x:v>27</x:v>
      </x:c>
      <x:c r="N15" s="13" t="s">
        <x:v>21</x:v>
      </x:c>
      <x:c r="O15" s="11" t="s">
        <x:v>119</x:v>
      </x:c>
      <x:c r="P15" s="11" t="s">
        <x:v>30</x:v>
      </x:c>
      <x:c r="Q15" s="14" t="str">
        <x:f xml:space="preserve">HYPERLINK("https://www.infonalia.es/licitaciones0226/2026010526.pdf","www.infonalia.es/licitaciones0226/2026010526.pdf")</x:f>
        <x:v>www.infonalia.es/licitaciones0226/2026010526.pdf</x:v>
      </x:c>
    </x:row>
    <x:row r="16">
      <x:c r="A16" s="6" t="s">
        <x:v>17</x:v>
      </x:c>
      <x:c r="B16" s="6" t="s">
        <x:v>18</x:v>
      </x:c>
      <x:c r="C16" s="7" t="s">
        <x:v>120</x:v>
      </x:c>
      <x:c r="D16" s="8" t="s">
        <x:v>121</x:v>
      </x:c>
      <x:c r="E16" s="9" t="s">
        <x:v>21</x:v>
      </x:c>
      <x:c r="F16" s="6" t="s">
        <x:v>122</x:v>
      </x:c>
      <x:c r="G16" s="6" t="s">
        <x:v>123</x:v>
      </x:c>
      <x:c r="H16" s="6" t="s">
        <x:v>124</x:v>
      </x:c>
      <x:c r="I16" s="10" t="n">
        <x:v>25050.00</x:v>
      </x:c>
      <x:c r="J16" s="11" t="s">
        <x:v>25</x:v>
      </x:c>
      <x:c r="K16" s="11" t="s">
        <x:v>26</x:v>
      </x:c>
      <x:c r="L16" s="12" t="str">
        <x:f xml:space="preserve">HYPERLINK("https://contrataciondelestado.es/wps/poc?uri=deeplink:detalle_licitacion&amp;idEvl=a7fTmojH0a2qb7rCcv76BA%3D%3D","contrataciondelestado.es/wps/poc?uri=deeplink:detalle_licitacion&amp;idEvl=a7fTmojH0a2qb7rCcv76BA%3D%3D")</x:f>
        <x:v>contrataciondelestado.es/wps/poc?uri=deeplink:detalle_licitacion&amp;idEvl=a7fTmojH0a2qb7rCcv76BA%3D%3D</x:v>
      </x:c>
      <x:c r="M16" s="11" t="s">
        <x:v>27</x:v>
      </x:c>
      <x:c r="N16" s="13" t="s">
        <x:v>28</x:v>
      </x:c>
      <x:c r="O16" s="11" t="s">
        <x:v>125</x:v>
      </x:c>
      <x:c r="P16" s="11" t="s">
        <x:v>30</x:v>
      </x:c>
      <x:c r="Q16" s="14" t="str">
        <x:f xml:space="preserve">HYPERLINK("https://www.infonalia.es/licitaciones0226/2026010548.pdf","www.infonalia.es/licitaciones0226/2026010548.pdf")</x:f>
        <x:v>www.infonalia.es/licitaciones0226/2026010548.pdf</x:v>
      </x:c>
    </x:row>
    <x:row r="17">
      <x:c r="A17" s="6" t="s">
        <x:v>17</x:v>
      </x:c>
      <x:c r="B17" s="6" t="s">
        <x:v>18</x:v>
      </x:c>
      <x:c r="C17" s="7" t="s">
        <x:v>31</x:v>
      </x:c>
      <x:c r="D17" s="8" t="s">
        <x:v>126</x:v>
      </x:c>
      <x:c r="E17" s="9" t="s">
        <x:v>21</x:v>
      </x:c>
      <x:c r="F17" s="6" t="s">
        <x:v>127</x:v>
      </x:c>
      <x:c r="G17" s="6" t="s">
        <x:v>128</x:v>
      </x:c>
      <x:c r="H17" s="6" t="s">
        <x:v>129</x:v>
      </x:c>
      <x:c r="I17" s="10" t="n">
        <x:v>50000.00</x:v>
      </x:c>
      <x:c r="J17" s="11" t="s">
        <x:v>25</x:v>
      </x:c>
      <x:c r="K17" s="11" t="s">
        <x:v>26</x:v>
      </x:c>
      <x:c r="L17" s="12" t="str">
        <x:f xml:space="preserve">HYPERLINK("https://hacienda.navarra.es/sicpportal/mtoAnunciosModalidad.aspx?cod=260130114233370242FD","hacienda.navarra.es/sicpportal/mtoAnunciosModalidad.aspx?cod=260130114233370242FD")</x:f>
        <x:v>hacienda.navarra.es/sicpportal/mtoAnunciosModalidad.aspx?cod=260130114233370242FD</x:v>
      </x:c>
      <x:c r="M17" s="11" t="s">
        <x:v>27</x:v>
      </x:c>
      <x:c r="N17" s="13" t="s">
        <x:v>21</x:v>
      </x:c>
      <x:c r="O17" s="11" t="s">
        <x:v>130</x:v>
      </x:c>
      <x:c r="P17" s="11" t="s">
        <x:v>71</x:v>
      </x:c>
      <x:c r="Q17" s="14" t="str">
        <x:f xml:space="preserve">HYPERLINK("https://www.infonalia.es/licitaciones0226/2026010638.pdf","www.infonalia.es/licitaciones0226/2026010638.pdf")</x:f>
        <x:v>www.infonalia.es/licitaciones0226/2026010638.pdf</x:v>
      </x:c>
    </x:row>
    <x:row r="18">
      <x:c r="A18" s="6" t="s">
        <x:v>17</x:v>
      </x:c>
      <x:c r="B18" s="6" t="s">
        <x:v>131</x:v>
      </x:c>
      <x:c r="C18" s="7" t="s">
        <x:v>132</x:v>
      </x:c>
      <x:c r="D18" s="8" t="s">
        <x:v>133</x:v>
      </x:c>
      <x:c r="E18" s="9" t="s">
        <x:v>21</x:v>
      </x:c>
      <x:c r="F18" s="6" t="s">
        <x:v>134</x:v>
      </x:c>
      <x:c r="G18" s="6" t="s">
        <x:v>135</x:v>
      </x:c>
      <x:c r="H18" s="6" t="s">
        <x:v>68</x:v>
      </x:c>
      <x:c r="I18" s="10"/>
      <x:c r="J18" s="11" t="s">
        <x:v>68</x:v>
      </x:c>
      <x:c r="K18" s="11" t="s">
        <x:v>136</x:v>
      </x:c>
      <x:c r="L18" s="12" t="str">
        <x:f xml:space="preserve">HYPERLINK("https://www.alfalfaspain.es/proyectos","www.alfalfaspain.es/proyectos")</x:f>
        <x:v>www.alfalfaspain.es/proyectos</x:v>
      </x:c>
      <x:c r="M18" s="11" t="s">
        <x:v>137</x:v>
      </x:c>
      <x:c r="N18" s="13" t="s">
        <x:v>28</x:v>
      </x:c>
      <x:c r="O18" s="11" t="s">
        <x:v>138</x:v>
      </x:c>
      <x:c r="P18" s="11" t="s">
        <x:v>71</x:v>
      </x:c>
      <x:c r="Q18" s="14" t="str">
        <x:f xml:space="preserve">HYPERLINK("https://www.infonalia.es/licitaciones0226/2026010662.pdf","www.infonalia.es/licitaciones0226/2026010662.pdf")</x:f>
        <x:v>www.infonalia.es/licitaciones0226/2026010662.pdf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