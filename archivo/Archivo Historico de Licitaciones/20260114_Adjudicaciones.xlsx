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loext="http://schemas.libreoffice.org/" xmlns:r="http://schemas.openxmlformats.org/officeDocument/2006/relationships" xmlns:x="http://schemas.openxmlformats.org/spreadsheetml/2006/main">
  <x:fileVersion appName="xl" lastEdited="4" lowestEdited="4" rupBuild="4506"/>
  <x:workbookPr/>
  <x:bookViews>
    <x:workbookView xWindow="0" yWindow="0" windowWidth="16380" windowHeight="8190" tabRatio="500"/>
  </x:bookViews>
  <x:sheets>
    <x:sheet name="Adjudicaciones" sheetId="1" r:id="rId1"/>
  </x:sheets>
  <x:definedNames>
    <x:definedName name="_xlnm._FilterDatabase" localSheetId="0" hidden="1">Adjudicaciones!$A$1:$K$1</x:definedName>
  </x:definedNames>
  <x:calcPr calcId="125725" iterateDelta="1E-4"/>
  <x:extLst>
    <x:ext xmlns:loext="http://schemas.libreoffice.org/" uri="{7626C862-2A13-11E5-B345-FEFF819CDC9F}">
      <loext:extCalcPr stringRefSyntax="CalcA1ExcelA1"/>
    </x:ext>
  </x:extLst>
</x:workbook>
</file>

<file path=xl/sharedStrings.xml><?xml version="1.0" encoding="utf-8"?>
<x:sst xmlns:x="http://schemas.openxmlformats.org/spreadsheetml/2006/main" count="11" uniqueCount="11">
  <x:si>
    <x:t>Tipo Adjudicacion</x:t>
  </x:si>
  <x:si>
    <x:t>Contratista</x:t>
  </x:si>
  <x:si>
    <x:t>Fecha</x:t>
  </x:si>
  <x:si>
    <x:t>Pdf Adjudicacion</x:t>
  </x:si>
  <x:si>
    <x:t>Referencia</x:t>
  </x:si>
  <x:si>
    <x:t>Organismo Convocante</x:t>
  </x:si>
  <x:si>
    <x:t>Objeto</x:t>
  </x:si>
  <x:si>
    <x:t>Nº Expediente</x:t>
  </x:si>
  <x:si>
    <x:t>Lugar Ejecucion</x:t>
  </x:si>
  <x:si>
    <x:t>Importe Adjudicacion</x:t>
  </x:si>
  <x:si>
    <x:t>Presupuesto Licitacion</x:t>
  </x:si>
  <x:si>
    <x:t>Adjudicado</x:t>
  </x:si>
  <x:si>
    <x:t>VARIOS ADJUDICATARIOS. VER TEXTO ÍNTEGRO DE LA ADJUDICACIÓN</x:t>
  </x:si>
  <x:si>
    <x:t>14/01/2026 0:00:00</x:t>
  </x:si>
  <x:si>
    <x:t>26004452</x:t>
  </x:si>
  <x:si>
    <x:t>FUNDACIÓN PARA LA UNIVERSITAT OBERTA DE CATALUNYA</x:t>
  </x:si>
  <x:si>
    <x:t>Las necesidades específicas en referencia a la producción de recursos de aprendizaje textuales y editoriales y la experiencia en este proceso determinan la existencia de un modelo propio de la UOC. En el modelo UOC se interrelacionan un conjunto de tareas que son necesarias para producir contenidos textuales.</x:t>
  </x:si>
  <x:si>
    <x:t>HSE00006/2025</x:t>
  </x:si>
  <x:si>
    <x:t>Catalunya</x:t>
  </x:si>
  <x:si>
    <x:t>Ver detalle de la adjudicación</x:t>
  </x:si>
  <x:si>
    <x:t>INNOVACIÓN Y DESARROLLO LOCAL, S.L</x:t>
  </x:si>
  <x:si>
    <x:t>26004508</x:t>
  </x:si>
  <x:si>
    <x:t>JUNTA DE GOBIERNO DEL AYUNTAMIENTO DE TORREJÓN DE ARDOZ (MADRID)</x:t>
  </x:si>
  <x:si>
    <x:t>Servicio de transporte con conductor y personal de gestión para Plataforma Mercatorrejón y Servicios Tecnológicos</x:t>
  </x:si>
  <x:si>
    <x:t>PA 3/2026</x:t>
  </x:si>
  <x:si>
    <x:t>Madrid</x:t>
  </x:si>
  <x:si>
    <x:t>STUDIO APARTE (ELLEN DIEDRICH)</x:t>
  </x:si>
  <x:si>
    <x:t>26004697</x:t>
  </x:si>
  <x:si>
    <x:t>INSTITUTO CATALÁN DE LAS EMPRESAS CULTURALES</x:t>
  </x:si>
  <x:si>
    <x:t>Servicios de adaptación de la imagen gráfica, diseño y maquetación de los materiales de comunicación y difusión de l’ICEC.</x:t>
  </x:si>
  <x:si>
    <x:t>ICEC-2026-8</x:t>
  </x:si>
  <x:si>
    <x:t>Barcelona</x:t>
  </x:si>
  <x:si>
    <x:t>WE ARE MEDIANUTS SL</x:t>
  </x:si>
  <x:si>
    <x:t>26004813</x:t>
  </x:si>
  <x:si>
    <x:t>RECTORADO DE LA UNIVERSIDAD AUTÓNOMA DE MADRID</x:t>
  </x:si>
  <x:si>
    <x:t>Publicidad, promoción, información y marketing de la oferta académica del Centro de Postgrado de la UAM, siendo el objetivo general potenciar y promocionar a nivel nacional e internacional, especialmente en Latinoamérica, la oferta de másteres universitarios oficiales de la UAM, de modo que llegue al mayor número de potenciales estudiantes y sus prescriptores.</x:t>
  </x:si>
  <x:si>
    <x:t>A-15/26</x:t>
  </x:si>
  <x:si>
    <x:t>HALLON INTELLIGENCE, S.L</x:t>
  </x:si>
  <x:si>
    <x:t>26004826</x:t>
  </x:si>
  <x:si>
    <x:t>FUNDACIÓN CANAL DE ISABEL II</x:t>
  </x:si>
  <x:si>
    <x:t>El objeto de la presente contratación abarca los servicios de seguimiento y clipping de noticias sobre la Fundación Canal y sus actividades en medios de comunicación, tanto en sus ediciones físicas como digitales: medios escritos, audiovisuales (radio, y televisión) y digitales (incluyendo muros de pago); tanto de ámbito nacional como regional, abarcando en este caso todo el territorio español, con especial atención a los medios propios de la Comunidad de Madrid, y ya sean éstos medios gratuitos u onerosos.</x:t>
  </x:si>
  <x:si>
    <x:t>202508</x:t>
  </x:si>
  <x:si>
    <x:t>LOTE 1 AREA BROADCAST S.L ; LOTE 3 SERVICIOS INTEGRALES UNITECNIC, S.L. ; LOTE 4 SERVICIOS INTEGRALES UNITECNIC, S.L. ; LOTE 5 HIBERUS IT DEVELOPMENT SERVICES, SLU ; LOTE 6 SERVICIOS INTEGRALES UNITECNIC, S.L. ; LOTE 7 DATOS MEDIA TECHNOLOGIES S.A ; LOTE 8 NTT SPAIN INTELLIGENT TECHNOLOGIES AND SERVICES S.L.U. (ANTES DIMENSION DATA ESPAÑA, S.L.U.) ; LOTE 9 DATOS MEDIA TECHNOLOGIES S.A ; LOTE 10 PAPYRO SERVICIOS Y PROYECTOS, S.L.    </x:t>
  </x:si>
  <x:si>
    <x:t>26005194</x:t>
  </x:si>
  <x:si>
    <x:t>DIRECCIÓN DE COMPRAS DE LA CORPORACIÓN DE RADIO Y TELEVISIÓN ESPAÑOLA S.A.</x:t>
  </x:si>
  <x:si>
    <x:t>Sistema de teletexto y accesibilidad. Lote 1: Servidores accesibilidad. Lote 2: Servidores para virtualizado. Lote 3: Estaciones clientes teletexto y accesibilidad. Lote 4: Estaciones para administradores de accesibilidad. Lote 5: Estaciones para transcripción de directos. Lote 6: Cabinas de almacenamiento. Lote 7: Sistema multipantalla IP y monitorado. Lote 8: Arquitecturas de red. Lote 9: Codificadores flujos IP comprimidos. Lote 10: Instalación, integración e implantación.</x:t>
  </x:si>
  <x:si>
    <x:t>S-03020-2025</x:t>
  </x:si>
</x:sst>
</file>

<file path=xl/styles.xml><?xml version="1.0" encoding="utf-8"?>
<styleSheet xmlns="http://schemas.openxmlformats.org/spreadsheetml/2006/main">
  <numFmts count="1">
    <numFmt numFmtId="164" formatCode="#,##0.00&quot; €&quot;;[Red]\-#,##0.00&quot; €&quot;"/>
  </numFmts>
  <fonts count="5">
    <font>
      <sz val="11"/>
      <name val="Calibri"/>
      <charset val="1"/>
    </font>
    <font>
      <sz val="10"/>
      <name val="Calibri"/>
      <family val="2"/>
      <charset val="1"/>
    </font>
    <font>
      <b/>
      <sz val="10"/>
      <color theme="0"/>
      <name val="Calibri"/>
      <family val="2"/>
      <charset val="1"/>
    </font>
    <font>
      <u/>
      <sz val="11"/>
      <color theme="10"/>
      <name val="Calibri"/>
      <family val="2"/>
      <charset val="1"/>
    </font>
    <font>
      <u/>
      <sz val="10"/>
      <color theme="10"/>
      <name val="Calibri"/>
      <family val="2"/>
      <charset val="1"/>
    </font>
  </fonts>
  <fills count="3">
    <fill>
      <patternFill patternType="none"/>
    </fill>
    <fill>
      <patternFill patternType="gray125"/>
    </fill>
    <fill>
      <patternFill patternType="solid">
        <fgColor theme="3"/>
        <bgColor rgb="FF003366"/>
      </patternFill>
    </fill>
  </fills>
  <borders count="2">
    <border>
      <left/>
      <right/>
      <top/>
      <bottom/>
      <diagonal/>
    </border>
    <border>
      <left/>
      <right/>
      <top/>
      <bottom style="thin">
        <color auto="1"/>
      </bottom>
      <diagonal/>
    </border>
  </borders>
  <cellStyleXfs count="2">
    <xf numFmtId="0" fontId="0" fillId="0" borderId="0"/>
    <xf numFmtId="0" fontId="3" fillId="0" borderId="0" applyBorder="0" applyProtection="0"/>
  </cellStyleXfs>
  <cellXfs count="10">
    <xf numFmtId="0" fontId="0" fillId="0" borderId="0" xfId="0"/>
    <xf numFmtId="0" fontId="1" fillId="0" borderId="0" xfId="0" applyFont="1" applyAlignment="1">
      <alignment vertical="center" wrapText="1"/>
    </xf>
    <xf numFmtId="0" fontId="1" fillId="0" borderId="0" xfId="0" applyFont="1" applyAlignment="1">
      <alignment horizontal="center" vertical="center" wrapText="1"/>
    </xf>
    <xf numFmtId="0" fontId="2" fillId="2" borderId="0" xfId="0" applyFont="1" applyFill="1" applyAlignment="1">
      <alignment vertical="center"/>
    </xf>
    <xf numFmtId="0" fontId="2" fillId="2" borderId="0" xfId="0" applyFont="1" applyFill="1" applyAlignment="1">
      <alignment horizontal="center" vertical="center"/>
    </xf>
    <xf numFmtId="0" fontId="1" fillId="0" borderId="0" xfId="0" applyFont="1" applyAlignment="1">
      <alignment vertical="center"/>
    </xf>
    <xf numFmtId="0" fontId="1" fillId="0" borderId="1" xfId="0" applyFont="1" applyBorder="1" applyAlignment="1">
      <alignment vertical="center" wrapText="1"/>
    </xf>
    <xf numFmtId="0" fontId="4" fillId="0" borderId="1" xfId="1" applyFont="1" applyBorder="1" applyAlignment="1" applyProtection="1">
      <alignment vertical="center" wrapText="1"/>
    </xf>
    <xf numFmtId="0" fontId="1" fillId="0" borderId="1" xfId="0" applyFont="1" applyBorder="1" applyAlignment="1">
      <alignment horizontal="center" vertical="center" wrapText="1"/>
    </xf>
    <xf numFmtId="164" fontId="1" fillId="0" borderId="1" xfId="0" applyNumberFormat="1" applyFont="1" applyBorder="1" applyAlignment="1">
      <alignment vertical="center" wrapText="1"/>
    </xf>
  </cellXfs>
  <cellStyles count="2">
    <cellStyle name="Hipervínculo" xfId="1" builtinId="8"/>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dimension ref="A1:K2"/>
  <x:sheetViews>
    <x:sheetView showGridLines="0" tabSelected="1" zoomScaleNormal="100" workbookViewId="0">
      <x:selection sqref="A1:XFD1"/>
    </x:sheetView>
  </x:sheetViews>
  <x:sheetFormatPr baseColWidth="10" defaultColWidth="16" defaultRowHeight="12.75"/>
  <x:cols>
    <x:col min="1" max="1" width="14.42578125" style="1" customWidth="1"/>
    <x:col min="2" max="2" width="19.85546875" style="1" customWidth="1"/>
    <x:col min="3" max="3" width="11.5703125" style="1" hidden="1" customWidth="1"/>
    <x:col min="4" max="4" width="20.140625" style="1" customWidth="1"/>
    <x:col min="5" max="5" width="11.140625" style="2" customWidth="1"/>
    <x:col min="6" max="6" width="26.7109375" style="1" customWidth="1"/>
    <x:col min="7" max="7" width="47.28515625" style="1" customWidth="1"/>
    <x:col min="8" max="8" width="15.7109375" style="1" customWidth="1"/>
    <x:col min="9" max="9" width="13.42578125" style="1" customWidth="1"/>
    <x:col min="10" max="10" width="17.28515625" style="1" customWidth="1"/>
    <x:col min="11" max="11" width="18" style="1" customWidth="1"/>
    <x:col min="12" max="16384" width="16" style="1"/>
  </x:cols>
  <x:sheetData>
    <x:row r="1" spans="1:11" s="5" customFormat="1">
      <x:c r="A1" s="3" t="s">
        <x:v>0</x:v>
      </x:c>
      <x:c r="B1" s="3" t="s">
        <x:v>1</x:v>
      </x:c>
      <x:c r="C1" s="3" t="s">
        <x:v>2</x:v>
      </x:c>
      <x:c r="D1" s="3" t="s">
        <x:v>3</x:v>
      </x:c>
      <x:c r="E1" s="4" t="s">
        <x:v>4</x:v>
      </x:c>
      <x:c r="F1" s="3" t="s">
        <x:v>5</x:v>
      </x:c>
      <x:c r="G1" s="3" t="s">
        <x:v>6</x:v>
      </x:c>
      <x:c r="H1" s="3" t="s">
        <x:v>7</x:v>
      </x:c>
      <x:c r="I1" s="3" t="s">
        <x:v>8</x:v>
      </x:c>
      <x:c r="J1" s="3" t="s">
        <x:v>9</x:v>
      </x:c>
      <x:c r="K1" s="3" t="s">
        <x:v>10</x:v>
      </x:c>
    </x:row>
    <x:row r="2" spans="1:11">
      <x:c r="A2" s="6" t="s">
        <x:v>11</x:v>
      </x:c>
      <x:c r="B2" s="6" t="s">
        <x:v>12</x:v>
      </x:c>
      <x:c r="C2" s="6" t="s">
        <x:v>13</x:v>
      </x:c>
      <x:c r="D2" s="7" t="str">
        <x:f xml:space="preserve">HYPERLINK("https://www.infonalia.es/adjudicaciones0126/26004452.pdf","www.infonalia.es/adjudicaciones0126/26004452.pdf")</x:f>
        <x:v>www.infonalia.es/adjudicaciones0126/26004452.pdf</x:v>
      </x:c>
      <x:c r="E2" s="8" t="s">
        <x:v>14</x:v>
      </x:c>
      <x:c r="F2" s="6" t="s">
        <x:v>15</x:v>
      </x:c>
      <x:c r="G2" s="6" t="s">
        <x:v>16</x:v>
      </x:c>
      <x:c r="H2" s="6" t="s">
        <x:v>17</x:v>
      </x:c>
      <x:c r="I2" s="6" t="s">
        <x:v>18</x:v>
      </x:c>
      <x:c r="J2" s="9" t="s">
        <x:v>19</x:v>
      </x:c>
      <x:c r="K2" s="9" t="n">
        <x:v>1000000.00</x:v>
      </x:c>
    </x:row>
    <x:row r="3">
      <x:c r="A3" s="6" t="s">
        <x:v>11</x:v>
      </x:c>
      <x:c r="B3" s="6" t="s">
        <x:v>20</x:v>
      </x:c>
      <x:c r="C3" s="6" t="s">
        <x:v>13</x:v>
      </x:c>
      <x:c r="D3" s="7" t="str">
        <x:f xml:space="preserve">HYPERLINK("https://www.infonalia.es/adjudicaciones0126/26004508.pdf","www.infonalia.es/adjudicaciones0126/26004508.pdf")</x:f>
        <x:v>www.infonalia.es/adjudicaciones0126/26004508.pdf</x:v>
      </x:c>
      <x:c r="E3" s="8" t="s">
        <x:v>21</x:v>
      </x:c>
      <x:c r="F3" s="6" t="s">
        <x:v>22</x:v>
      </x:c>
      <x:c r="G3" s="6" t="s">
        <x:v>23</x:v>
      </x:c>
      <x:c r="H3" s="6" t="s">
        <x:v>24</x:v>
      </x:c>
      <x:c r="I3" s="6" t="s">
        <x:v>25</x:v>
      </x:c>
      <x:c r="J3" s="9" t="n">
        <x:v>68600.00</x:v>
      </x:c>
      <x:c r="K3" s="9" t="n">
        <x:v>70000.00</x:v>
      </x:c>
    </x:row>
    <x:row r="4">
      <x:c r="A4" s="6" t="s">
        <x:v>11</x:v>
      </x:c>
      <x:c r="B4" s="6" t="s">
        <x:v>26</x:v>
      </x:c>
      <x:c r="C4" s="6" t="s">
        <x:v>13</x:v>
      </x:c>
      <x:c r="D4" s="7" t="str">
        <x:f xml:space="preserve">HYPERLINK("https://www.infonalia.es/adjudicaciones0126/26004697.pdf","www.infonalia.es/adjudicaciones0126/26004697.pdf")</x:f>
        <x:v>www.infonalia.es/adjudicaciones0126/26004697.pdf</x:v>
      </x:c>
      <x:c r="E4" s="8" t="s">
        <x:v>27</x:v>
      </x:c>
      <x:c r="F4" s="6" t="s">
        <x:v>28</x:v>
      </x:c>
      <x:c r="G4" s="6" t="s">
        <x:v>29</x:v>
      </x:c>
      <x:c r="H4" s="6" t="s">
        <x:v>30</x:v>
      </x:c>
      <x:c r="I4" s="6" t="s">
        <x:v>31</x:v>
      </x:c>
      <x:c r="J4" s="9" t="n">
        <x:v>55730.00</x:v>
      </x:c>
      <x:c r="K4" s="9" t="n">
        <x:v>55730.00</x:v>
      </x:c>
    </x:row>
    <x:row r="5">
      <x:c r="A5" s="6" t="s">
        <x:v>11</x:v>
      </x:c>
      <x:c r="B5" s="6" t="s">
        <x:v>32</x:v>
      </x:c>
      <x:c r="C5" s="6" t="s">
        <x:v>13</x:v>
      </x:c>
      <x:c r="D5" s="7" t="str">
        <x:f xml:space="preserve">HYPERLINK("https://www.infonalia.es/adjudicaciones0126/26004813.pdf","www.infonalia.es/adjudicaciones0126/26004813.pdf")</x:f>
        <x:v>www.infonalia.es/adjudicaciones0126/26004813.pdf</x:v>
      </x:c>
      <x:c r="E5" s="8" t="s">
        <x:v>33</x:v>
      </x:c>
      <x:c r="F5" s="6" t="s">
        <x:v>34</x:v>
      </x:c>
      <x:c r="G5" s="6" t="s">
        <x:v>35</x:v>
      </x:c>
      <x:c r="H5" s="6" t="s">
        <x:v>36</x:v>
      </x:c>
      <x:c r="I5" s="6" t="s">
        <x:v>25</x:v>
      </x:c>
      <x:c r="J5" s="9" t="n">
        <x:v>43600.00</x:v>
      </x:c>
      <x:c r="K5" s="9" t="n">
        <x:v>49586.78</x:v>
      </x:c>
    </x:row>
    <x:row r="6">
      <x:c r="A6" s="6" t="s">
        <x:v>11</x:v>
      </x:c>
      <x:c r="B6" s="6" t="s">
        <x:v>37</x:v>
      </x:c>
      <x:c r="C6" s="6" t="s">
        <x:v>13</x:v>
      </x:c>
      <x:c r="D6" s="7" t="str">
        <x:f xml:space="preserve">HYPERLINK("https://www.infonalia.es/adjudicaciones0126/26004826.pdf","www.infonalia.es/adjudicaciones0126/26004826.pdf")</x:f>
        <x:v>www.infonalia.es/adjudicaciones0126/26004826.pdf</x:v>
      </x:c>
      <x:c r="E6" s="8" t="s">
        <x:v>38</x:v>
      </x:c>
      <x:c r="F6" s="6" t="s">
        <x:v>39</x:v>
      </x:c>
      <x:c r="G6" s="6" t="s">
        <x:v>40</x:v>
      </x:c>
      <x:c r="H6" s="6" t="s">
        <x:v>41</x:v>
      </x:c>
      <x:c r="I6" s="6" t="s">
        <x:v>25</x:v>
      </x:c>
      <x:c r="J6" s="9" t="n">
        <x:v>7295.00</x:v>
      </x:c>
      <x:c r="K6" s="9" t="n">
        <x:v>7500.00</x:v>
      </x:c>
    </x:row>
    <x:row r="7">
      <x:c r="A7" s="6" t="s">
        <x:v>11</x:v>
      </x:c>
      <x:c r="B7" s="6" t="s">
        <x:v>42</x:v>
      </x:c>
      <x:c r="C7" s="6" t="s">
        <x:v>13</x:v>
      </x:c>
      <x:c r="D7" s="7" t="str">
        <x:f xml:space="preserve">HYPERLINK("https://www.infonalia.es/adjudicaciones0126/26005194.pdf","www.infonalia.es/adjudicaciones0126/26005194.pdf")</x:f>
        <x:v>www.infonalia.es/adjudicaciones0126/26005194.pdf</x:v>
      </x:c>
      <x:c r="E7" s="8" t="s">
        <x:v>43</x:v>
      </x:c>
      <x:c r="F7" s="6" t="s">
        <x:v>44</x:v>
      </x:c>
      <x:c r="G7" s="6" t="s">
        <x:v>45</x:v>
      </x:c>
      <x:c r="H7" s="6" t="s">
        <x:v>46</x:v>
      </x:c>
      <x:c r="I7" s="6" t="s">
        <x:v>25</x:v>
      </x:c>
      <x:c r="J7" s="9" t="s">
        <x:v>19</x:v>
      </x:c>
      <x:c r="K7" s="9" t="n">
        <x:v>1408750.00</x:v>
      </x:c>
    </x:row>
  </x:sheetData>
  <x:autoFilter ref="A1:K1"/>
  <x:pageMargins left="0.7" right="0.7" top="0.75" bottom="0.75" header="0.511811023622047" footer="0.511811023622047"/>
  <x:pageSetup paperSize="9" orientation="portrait" horizontalDpi="300" verticalDpi="300"/>
</x: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Adjudicaciones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direc</dc:creator>
  <dc:description/>
  <cp:lastModifiedBy>.</cp:lastModifiedBy>
  <cp:revision>1</cp:revision>
  <dcterms:created xsi:type="dcterms:W3CDTF">2024-12-04T08:58:32Z</dcterms:created>
  <dcterms:modified xsi:type="dcterms:W3CDTF">2025-01-20T07:55:24Z</dcterms:modified>
  <dc:language>es-ES</dc:language>
</cp:coreProperties>
</file>