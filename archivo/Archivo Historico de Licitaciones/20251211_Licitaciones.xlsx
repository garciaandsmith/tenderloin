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<x:sst xmlns:x="http://schemas.openxmlformats.org/spreadsheetml/2006/main" count="17" uniqueCount="17">
  <x:si>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</x:si>
  <x:si>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</x:si>
  <x:si>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</x:si>
  <x:si>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</x:si>
  <x:si>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</x:si>
  <x:si>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</x:si>
  <x:si>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</x:si>
  <x:si>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</x:si>
  <x:si>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</x:si>
  <x:si>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</x:si>
  <x:si>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</x:si>
  <x:si>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</x:si>
  <x:si>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</x:si>
  <x:si>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</x:si>
  <x:si>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</x:si>
  <x:si>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</x:si>
  <x:si>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</x:si>
  <x:si>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</x:si>
  <x:si>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</x:si>
  <x:si>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12/01/2026</x:t>
  </x:si>
  <x:si>
    <x:t>2025175694</x:t>
  </x:si>
  <x:si>
    <x:t>11/12/2025</x:t>
  </x:si>
  <x:si>
    <x:t>PROMOTORA D'EXPORTACIONS CATALANES, SA (PRODECA)</x:t>
  </x:si>
  <x:si>
    <x:t>Servicios necesarios para la implementación de actividades y para la evaluación correspondientes al proyecto europeo “The Creative Revolution: European Wines and Charcuterie (Crewcas)”, en los mercados de Corea del Sur, Japón y China, de acuerdo con lo definido en el pliego de prescripciones técnicas</x:t>
  </x:si>
  <x:si>
    <x:t>PRODECA-2026-6</x:t>
  </x:si>
  <x:si>
    <x:t>Importe sin impuestos</x:t>
  </x:si>
  <x:si>
    <x:t/>
  </x:si>
  <x:si>
    <x:t>-----</x:t>
  </x:si>
  <x:si>
    <x:t>10/12/2025</x:t>
  </x:si>
  <x:si>
    <x:t/>
  </x:si>
  <x:si>
    <x:t>Japón</x:t>
  </x:si>
  <x:si>
    <x:t>2025175702</x:t>
  </x:si>
  <x:si>
    <x:t>JEFATURA DE UNIDAD DE MEDIOS INTERNOS -ÁREA DE COMPRAS DE LA COMPAÑÍA ESPAÑOLA DE SEGUROS DE CRÉDITO A LA EXPORTACIÓN S.A., S.M.E. (CESCE)</x:t>
  </x:si>
  <x:si>
    <x:t>Prestación de servicios de Televenta para CESCE, S.A. (S.M.E.)</x:t>
  </x:si>
  <x:si>
    <x:t>A52-1225</x:t>
  </x:si>
  <x:si>
    <x:t/>
  </x:si>
  <x:si>
    <x:t>Madrid</x:t>
  </x:si>
  <x:si>
    <x:t>02/01/2026</x:t>
  </x:si>
  <x:si>
    <x:t>2025175846</x:t>
  </x:si>
  <x:si>
    <x:t>COMUNIDAD DE MADRID. CONSEJERÍA DE MEDIO AMBIENTE, AGRICULTURA E INTERIOR CONSEJERÍA DE MEDIO AMBIENTE, AGRICULTURA E INTERIOR</x:t>
  </x:si>
  <x:si>
    <x:t>Coordinación, transporte, montaje, decoración, mantenimiento y desmontaje del Mercado Itinerante de Alimentos de Madrid durante el año 2026 4-G/26</x:t>
  </x:si>
  <x:si>
    <x:t>A/SER-037512/2025</x:t>
  </x:si>
  <x:si>
    <x:t/>
  </x:si>
  <x:si>
    <x:t>09/01/2026</x:t>
  </x:si>
  <x:si>
    <x:t>2025175948</x:t>
  </x:si>
  <x:si>
    <x:t>AYUNTAMIENTO DE ESPLUGUES DE LLOBREGAT (BARCELONA)</x:t>
  </x:si>
  <x:si>
    <x:t>Servicio de reactivación de la Red de Empresas, Entidades y Comercios para la Reforma Horaria de Esplugues de Llobregat, de acuerdo con lo estipulado en los pliegos de condiciones técnicas redactados por los servicios técnicos municipales</x:t>
  </x:si>
  <x:si>
    <x:t>2025/14460/3085</x:t>
  </x:si>
  <x:si>
    <x:t/>
  </x:si>
  <x:si>
    <x:t>Barcelona</x:t>
  </x:si>
  <x:si>
    <x:t>Community.Vortal</x:t>
  </x:si>
  <x:si>
    <x:t>02/02/2026</x:t>
  </x:si>
  <x:si>
    <x:t>2025176070</x:t>
  </x:si>
  <x:si>
    <x:t>WORLD TRADE CENTER BARCELONA, S.A.S.M.E.</x:t>
  </x:si>
  <x:si>
    <x:t>Contrato regulador de la gestión de congresos y del restaurante Club, por WORLD TRADE CENTER BARCELONA, S.A. S.M.E.</x:t>
  </x:si>
  <x:si>
    <x:t>Exp.: 86-2025 Gestió de Congressos al WTCB</x:t>
  </x:si>
  <x:si>
    <x:t>No consta</x:t>
  </x:si>
  <x:si>
    <x:t/>
  </x:si>
  <x:si>
    <x:t/>
  </x:si>
  <x:si>
    <x:t>Catalunya - Plataforma de Contratación</x:t>
  </x:si>
  <x:si>
    <x:t>23/12/2025</x:t>
  </x:si>
  <x:si>
    <x:t>2025176073</x:t>
  </x:si>
  <x:si>
    <x:t>GENERALITAT DE CATALUNYA. DEPARTAMENTO DE EDUCACIÓN Y FORMACIÓN PROFESIONAL SERVICIOS CENTRALES</x:t>
  </x:si>
  <x:si>
    <x:t>Servicios de edición, impresión, preparación, empaquetado y envío del material por la anonimización de los datos para la realización de la primera prueba de la fase de oposición del concurso de oposición para el ingreso en la función pública docente</x:t>
  </x:si>
  <x:si>
    <x:t>ED-2026-125</x:t>
  </x:si>
  <x:si>
    <x:t>I.V.A. excluido</x:t>
  </x:si>
  <x:si>
    <x:t/>
  </x:si>
  <x:si>
    <x:t/>
  </x:si>
  <x:si>
    <x:t>Catalunya</x:t>
  </x:si>
  <x:si>
    <x:t>19/01/2026</x:t>
  </x:si>
  <x:si>
    <x:t>2025176178</x:t>
  </x:si>
  <x:si>
    <x:t>JUNTA DE ANDALUCÍA. AGENCIA EMPRESARIAL PARA LA TRANSFORMACIÓN Y EL DESARROLLO ECONÓMICO</x:t>
  </x:si>
  <x:si>
    <x:t>Contratación de servicios a demanda relacionados con la internacionalización de empresas andaluzas en China.</x:t>
  </x:si>
  <x:si>
    <x:t>CONTR 2025 0000659045</x:t>
  </x:si>
  <x:si>
    <x:t/>
  </x:si>
  <x:si>
    <x:t>Ver pliegos</x:t>
  </x:si>
  <x:si>
    <x:t>2025176179</x:t>
  </x:si>
  <x:si>
    <x:t>Contratación de servicios a demanda relacionados con la internacionalización de empresas andaluzas en Japón.</x:t>
  </x:si>
  <x:si>
    <x:t>CONTR 2025 0000659108</x:t>
  </x:si>
  <x:si>
    <x:t/>
  </x:si>
  <x:si>
    <x:t>26/12/2025</x:t>
  </x:si>
  <x:si>
    <x:t>2025176260</x:t>
  </x:si>
  <x:si>
    <x:t>DIRECCIÓN GENERAL DE LA SOCIEDAD DE GESTIÓN PÚBLICA DE EXTREMADURA, S.A.U</x:t>
  </x:si>
  <x:si>
    <x:t>Servicio de restauración y servicios complementarios para el stand de Extremadura en FITUR 2026</x:t>
  </x:si>
  <x:si>
    <x:t>GPEXCGPD25005</x:t>
  </x:si>
  <x:si>
    <x:t/>
  </x:si>
  <x:si>
    <x:t>Badajoz - Madrid</x:t>
  </x:si>
  <x:si>
    <x:t>2025176309</x:t>
  </x:si>
  <x:si>
    <x:t>MINISTERIO DE CULTURA. DIRECCIÓN GENERAL DE LA FUNDACIÓN DEL TEATRO REAL</x:t>
  </x:si>
  <x:si>
    <x:t>Servicio para la realización de la campaña de temporada y abonos para la Fundación del Teatro Real FSP en la temporada 2026/2027</x:t>
  </x:si>
  <x:si>
    <x:t>CL_054/2025</x:t>
  </x:si>
  <x:si>
    <x:t/>
  </x:si>
  <x:si>
    <x:t>DOUE - Diario Oficial de la Unión Europea (S)</x:t>
  </x:si>
  <x:si>
    <x:t>2025176325</x:t>
  </x:si>
  <x:si>
    <x:t>DEPARTAMENTO DE AGRICULTURA, GANADERÍA, PESCA Y ALIMENTACIÓN DE LA GENERALIDAD DE CATALUÑA</x:t>
  </x:si>
  <x:si>
    <x:t>Servicios de producción y edición de contenidos audiovisuales e imagen. Lote 1: Servicios de vídeo. Lote 2: Servicios de fotografía. Lote 3: Servicios de diseño gráfico. Lote 4: Servicios de foto-periodismo.</x:t>
  </x:si>
  <x:si>
    <x:t>AG-2026-42-Lot 1</x:t>
  </x:si>
  <x:si>
    <x:t>IVA Excluido.</x:t>
  </x:si>
  <x:si>
    <x:t/>
  </x:si>
  <x:si>
    <x:t>238</x:t>
  </x:si>
  <x:si>
    <x:t/>
  </x:si>
  <x:si>
    <x:t>2025176327</x:t>
  </x:si>
  <x:si>
    <x:t>AYUNTAMIENTO DE SANTA COLOMA DE GRAMENET (BARCELONA)</x:t>
  </x:si>
  <x:si>
    <x:t>Servicios de una central de medios para la gestión e inserción de la publicidad institucional del Ayuntamiento de Santa Coloma de Gramenet (2 lotes). Lote 1: Publicidad institucional. Lote 2: Anuncios oficiales.</x:t>
  </x:si>
  <x:si>
    <x:t>2025-SE-OH-39</x:t>
  </x:si>
  <x:si>
    <x:t/>
  </x:si>
  <x:si>
    <x:t/>
  </x:si>
  <x:si>
    <x:t>27/09/2024</x:t>
  </x:si>
  <x:si>
    <x:t>2025176329</x:t>
  </x:si>
  <x:si>
    <x:t>UNIVERSITAT ROVIRA I VIRGILI</x:t>
  </x:si>
  <x:si>
    <x:t>Acuerdo marco para el servicio de asesoramiento, planificación, negociación e inserción de publicidad y contenidos en los medios de comunicación de las campañas promocionales de la Universidad Rovira y Virgili y de la Fundación URV</x:t>
  </x:si>
  <x:si>
    <x:t/>
  </x:si>
  <x:si>
    <x:t/>
  </x:si>
  <x:si>
    <x:t>Tarragona</x:t>
  </x:si>
  <x:si>
    <x:t>2025176331</x:t>
  </x:si>
  <x:si>
    <x:t>PRINCIPADO DE ASTURIAS. CONSEJERÍA DE PRESIDENCIA, RETO DEMOGRÁFICO, IGUALDAD Y TURISMO</x:t>
  </x:si>
  <x:si>
    <x:t>Campaña de prevención y sensibilización frente a los incendios forestales en el principado de Asturias. Lote 1 Estrategia general y diseño del concepto de campaña. Desarrollo y producción de piezas y adaptaciones. Lote 2 Plan de medios flexible y activable a demanda. Ejecución, seguimiento y cierre de campaña</x:t>
  </x:si>
  <x:si>
    <x:t>Anuncio de información previa</x:t>
  </x:si>
  <x:si>
    <x:t/>
  </x:si>
  <x:si>
    <x:t>Asturias</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</x:si>
</x:sst>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913684.30</x:v>
      </x:c>
      <x:c r="J2" s="11" t="s">
        <x:v>25</x:v>
      </x:c>
      <x:c r="K2" s="11" t="s">
        <x:v>26</x:v>
      </x:c>
      <x:c r="L2" s="12" t="str">
        <x:f xml:space="preserve">HYPERLINK("https://contractaciopublica.cat/ca/detall-publicacio/302b1f66-3edd-4a4a-bbcd-cbd8b47575dc/300642330","contractaciopublica.cat/ca/detall-publicacio/302b1f66-3edd-4a4a-bbcd-cbd8b47575dc/300642330")</x:f>
        <x:v>contractaciopublica.cat/ca/detall-publicacio/302b1f66-3edd-4a4a-bbcd-cbd8b47575dc/300642330</x:v>
      </x:c>
      <x:c r="M2" s="11" t="s">
        <x:v>27</x:v>
      </x:c>
      <x:c r="N2" s="13" t="s">
        <x:v>28</x:v>
      </x:c>
      <x:c r="O2" s="11" t="s">
        <x:v>29</x:v>
      </x:c>
      <x:c r="P2" s="11" t="s">
        <x:v>30</x:v>
      </x:c>
      <x:c r="Q2" s="14" t="str">
        <x:f xml:space="preserve">HYPERLINK("https://www.infonalia.es/licitaciones1225/2025175694.pdf","www.infonalia.es/licitaciones1225/2025175694.pdf")</x:f>
        <x:v>www.infonalia.es/licitaciones1225/2025175694.pdf</x:v>
      </x:c>
    </x:row>
    <x:row r="3">
      <x:c r="A3" s="6" t="s">
        <x:v>17</x:v>
      </x:c>
      <x:c r="B3" s="6" t="s">
        <x:v>18</x:v>
      </x:c>
      <x:c r="C3" s="7" t="s">
        <x:v>19</x:v>
      </x:c>
      <x:c r="D3" s="8" t="s">
        <x:v>31</x:v>
      </x:c>
      <x:c r="E3" s="9" t="s">
        <x:v>21</x:v>
      </x:c>
      <x:c r="F3" s="6" t="s">
        <x:v>32</x:v>
      </x:c>
      <x:c r="G3" s="6" t="s">
        <x:v>33</x:v>
      </x:c>
      <x:c r="H3" s="6" t="s">
        <x:v>34</x:v>
      </x:c>
      <x:c r="I3" s="10" t="n">
        <x:v>390000.00</x:v>
      </x:c>
      <x:c r="J3" s="11" t="s">
        <x:v>25</x:v>
      </x:c>
      <x:c r="K3" s="11" t="s">
        <x:v>26</x:v>
      </x:c>
      <x:c r="L3" s="12" t="str">
        <x:f xml:space="preserve">HYPERLINK("https://contrataciondelestado.es/wps/poc?uri=deeplink:detalle_licitacion&amp;idEvl=KijnqB0CpzjyoM4us5k4vw%3D%3D","contrataciondelestado.es/wps/poc?uri=deeplink:detalle_licitacion&amp;idEvl=KijnqB0CpzjyoM4us5k4vw%3D%3D")</x:f>
        <x:v>contrataciondelestado.es/wps/poc?uri=deeplink:detalle_licitacion&amp;idEvl=KijnqB0CpzjyoM4us5k4vw%3D%3D</x:v>
      </x:c>
      <x:c r="M3" s="11" t="s">
        <x:v>27</x:v>
      </x:c>
      <x:c r="N3" s="13" t="s">
        <x:v>28</x:v>
      </x:c>
      <x:c r="O3" s="11" t="s">
        <x:v>35</x:v>
      </x:c>
      <x:c r="P3" s="11" t="s">
        <x:v>36</x:v>
      </x:c>
      <x:c r="Q3" s="14" t="str">
        <x:f xml:space="preserve">HYPERLINK("https://www.infonalia.es/licitaciones1225/2025175702.pdf","www.infonalia.es/licitaciones1225/2025175702.pdf")</x:f>
        <x:v>www.infonalia.es/licitaciones1225/2025175702.pdf</x:v>
      </x:c>
    </x:row>
    <x:row r="4">
      <x:c r="A4" s="6" t="s">
        <x:v>17</x:v>
      </x:c>
      <x:c r="B4" s="6" t="s">
        <x:v>18</x:v>
      </x:c>
      <x:c r="C4" s="7" t="s">
        <x:v>37</x:v>
      </x:c>
      <x:c r="D4" s="8" t="s">
        <x:v>38</x:v>
      </x:c>
      <x:c r="E4" s="9" t="s">
        <x:v>21</x:v>
      </x:c>
      <x:c r="F4" s="6" t="s">
        <x:v>39</x:v>
      </x:c>
      <x:c r="G4" s="6" t="s">
        <x:v>40</x:v>
      </x:c>
      <x:c r="H4" s="6" t="s">
        <x:v>41</x:v>
      </x:c>
      <x:c r="I4" s="10" t="n">
        <x:v>148769.98</x:v>
      </x:c>
      <x:c r="J4" s="11" t="s">
        <x:v>25</x:v>
      </x:c>
      <x:c r="K4" s="11" t="s">
        <x:v>26</x:v>
      </x:c>
      <x:c r="L4" s="12" t="str">
        <x:f xml:space="preserve">HYPERLINK("https://contratos-publicos.comunidad.madrid/contrato-publico/coordinacion-transporte-montaje-decoracion-mantenimiento-desmontaje-mercado-9","contratos-publicos.comunidad.madrid/contrato-publico/coordinacion-transporte-montaje-decoracion-mantenimiento-desmontaje-mercado-9")</x:f>
        <x:v>contratos-publicos.comunidad.madrid/contrato-publico/coordinacion-transporte-montaje-decoracion-mantenimiento-desmontaje-mercado-9</x:v>
      </x:c>
      <x:c r="M4" s="11" t="s">
        <x:v>27</x:v>
      </x:c>
      <x:c r="N4" s="13" t="s">
        <x:v>28</x:v>
      </x:c>
      <x:c r="O4" s="11" t="s">
        <x:v>42</x:v>
      </x:c>
      <x:c r="P4" s="11" t="s">
        <x:v>36</x:v>
      </x:c>
      <x:c r="Q4" s="14" t="str">
        <x:f xml:space="preserve">HYPERLINK("https://www.infonalia.es/licitaciones1225/2025175846.pdf","www.infonalia.es/licitaciones1225/2025175846.pdf")</x:f>
        <x:v>www.infonalia.es/licitaciones1225/2025175846.pdf</x:v>
      </x:c>
    </x:row>
    <x:row r="5">
      <x:c r="A5" s="6" t="s">
        <x:v>17</x:v>
      </x:c>
      <x:c r="B5" s="6" t="s">
        <x:v>18</x:v>
      </x:c>
      <x:c r="C5" s="7" t="s">
        <x:v>43</x:v>
      </x:c>
      <x:c r="D5" s="8" t="s">
        <x:v>44</x:v>
      </x:c>
      <x:c r="E5" s="9" t="s">
        <x:v>21</x:v>
      </x:c>
      <x:c r="F5" s="6" t="s">
        <x:v>45</x:v>
      </x:c>
      <x:c r="G5" s="6" t="s">
        <x:v>46</x:v>
      </x:c>
      <x:c r="H5" s="6" t="s">
        <x:v>47</x:v>
      </x:c>
      <x:c r="I5" s="10" t="n">
        <x:v>24793.39</x:v>
      </x:c>
      <x:c r="J5" s="11" t="s">
        <x:v>25</x:v>
      </x:c>
      <x:c r="K5" s="11" t="s">
        <x:v>26</x:v>
      </x:c>
      <x:c r="L5" s="12" t="str">
        <x:f xml:space="preserve">HYPERLINK("https://contractaciopublica.cat/ca/detall-publicacio/1fa50c87-4bd5-443c-85bc-2115683a4a4a/300638896","contractaciopublica.cat/ca/detall-publicacio/1fa50c87-4bd5-443c-85bc-2115683a4a4a/300638896")</x:f>
        <x:v>contractaciopublica.cat/ca/detall-publicacio/1fa50c87-4bd5-443c-85bc-2115683a4a4a/300638896</x:v>
      </x:c>
      <x:c r="M5" s="11" t="s">
        <x:v>27</x:v>
      </x:c>
      <x:c r="N5" s="13" t="s">
        <x:v>28</x:v>
      </x:c>
      <x:c r="O5" s="11" t="s">
        <x:v>48</x:v>
      </x:c>
      <x:c r="P5" s="11" t="s">
        <x:v>49</x:v>
      </x:c>
      <x:c r="Q5" s="14" t="str">
        <x:f xml:space="preserve">HYPERLINK("https://www.infonalia.es/licitaciones1225/2025175948.pdf","www.infonalia.es/licitaciones1225/2025175948.pdf")</x:f>
        <x:v>www.infonalia.es/licitaciones1225/2025175948.pdf</x:v>
      </x:c>
    </x:row>
    <x:row r="6">
      <x:c r="A6" s="6" t="s">
        <x:v>17</x:v>
      </x:c>
      <x:c r="B6" s="6" t="s">
        <x:v>50</x:v>
      </x:c>
      <x:c r="C6" s="7" t="s">
        <x:v>51</x:v>
      </x:c>
      <x:c r="D6" s="8" t="s">
        <x:v>52</x:v>
      </x:c>
      <x:c r="E6" s="9" t="s">
        <x:v>21</x:v>
      </x:c>
      <x:c r="F6" s="6" t="s">
        <x:v>53</x:v>
      </x:c>
      <x:c r="G6" s="6" t="s">
        <x:v>54</x:v>
      </x:c>
      <x:c r="H6" s="6" t="s">
        <x:v>55</x:v>
      </x:c>
      <x:c r="I6" s="10"/>
      <x:c r="J6" s="11" t="s">
        <x:v>56</x:v>
      </x:c>
      <x:c r="K6" s="11" t="s">
        <x:v>57</x:v>
      </x:c>
      <x:c r="L6" s="12" t="str">
        <x:f xml:space="preserve">HYPERLINK("https://community.vortal.biz/public/?currentLanguage=es","community.vortal.biz/public/?currentLanguage=es")</x:f>
        <x:v>community.vortal.biz/public/?currentLanguage=es</x:v>
      </x:c>
      <x:c r="M6" s="11" t="s">
        <x:v>27</x:v>
      </x:c>
      <x:c r="N6" s="13" t="s">
        <x:v>28</x:v>
      </x:c>
      <x:c r="O6" s="11" t="s">
        <x:v>58</x:v>
      </x:c>
      <x:c r="P6" s="11" t="s">
        <x:v>49</x:v>
      </x:c>
      <x:c r="Q6" s="14" t="str">
        <x:f xml:space="preserve">HYPERLINK("https://www.infonalia.es/licitaciones1225/2025176070.pdf","www.infonalia.es/licitaciones1225/2025176070.pdf")</x:f>
        <x:v>www.infonalia.es/licitaciones1225/2025176070.pdf</x:v>
      </x:c>
    </x:row>
    <x:row r="7">
      <x:c r="A7" s="6" t="s">
        <x:v>17</x:v>
      </x:c>
      <x:c r="B7" s="6" t="s">
        <x:v>59</x:v>
      </x:c>
      <x:c r="C7" s="7" t="s">
        <x:v>60</x:v>
      </x:c>
      <x:c r="D7" s="8" t="s">
        <x:v>61</x:v>
      </x:c>
      <x:c r="E7" s="9" t="s">
        <x:v>21</x:v>
      </x:c>
      <x:c r="F7" s="6" t="s">
        <x:v>62</x:v>
      </x:c>
      <x:c r="G7" s="6" t="s">
        <x:v>63</x:v>
      </x:c>
      <x:c r="H7" s="6" t="s">
        <x:v>64</x:v>
      </x:c>
      <x:c r="I7" s="10" t="n">
        <x:v>5700.00</x:v>
      </x:c>
      <x:c r="J7" s="11" t="s">
        <x:v>65</x:v>
      </x:c>
      <x:c r="K7" s="11" t="s">
        <x:v>66</x:v>
      </x:c>
      <x:c r="L7" s="12" t="str">
        <x:f xml:space="preserve">HYPERLINK("https://contractaciopublica.cat/es/detall-publicacio/300639185","contractaciopublica.cat/es/detall-publicacio/300639185")</x:f>
        <x:v>contractaciopublica.cat/es/detall-publicacio/300639185</x:v>
      </x:c>
      <x:c r="M7" s="11" t="s">
        <x:v>27</x:v>
      </x:c>
      <x:c r="N7" s="13" t="s">
        <x:v>28</x:v>
      </x:c>
      <x:c r="O7" s="11" t="s">
        <x:v>67</x:v>
      </x:c>
      <x:c r="P7" s="11" t="s">
        <x:v>68</x:v>
      </x:c>
      <x:c r="Q7" s="14" t="str">
        <x:f xml:space="preserve">HYPERLINK("https://www.infonalia.es/licitaciones1225/2025176073.pdf","www.infonalia.es/licitaciones1225/2025176073.pdf")</x:f>
        <x:v>www.infonalia.es/licitaciones1225/2025176073.pdf</x:v>
      </x:c>
    </x:row>
    <x:row r="8">
      <x:c r="A8" s="6" t="s">
        <x:v>17</x:v>
      </x:c>
      <x:c r="B8" s="6" t="s">
        <x:v>18</x:v>
      </x:c>
      <x:c r="C8" s="7" t="s">
        <x:v>69</x:v>
      </x:c>
      <x:c r="D8" s="8" t="s">
        <x:v>70</x:v>
      </x:c>
      <x:c r="E8" s="9" t="s">
        <x:v>21</x:v>
      </x:c>
      <x:c r="F8" s="6" t="s">
        <x:v>71</x:v>
      </x:c>
      <x:c r="G8" s="6" t="s">
        <x:v>72</x:v>
      </x:c>
      <x:c r="H8" s="6" t="s">
        <x:v>73</x:v>
      </x:c>
      <x:c r="I8" s="10" t="n">
        <x:v>153898.84</x:v>
      </x:c>
      <x:c r="J8" s="11" t="s">
        <x:v>25</x:v>
      </x:c>
      <x:c r="K8" s="11" t="s">
        <x:v>26</x:v>
      </x:c>
      <x:c r="L8" s="12" t="str">
        <x:f xml:space="preserve">HYPERLINK("https://www.juntadeandalucia.es/haciendayadministracionpublica/apl/pdc_sirec/perfiles-licitaciones/detalle-licitacion.jsf?idExpediente=883922","www.juntadeandalucia.es/haciendayadministracionpublica/apl/pdc_sirec/perfiles-licitaciones/detalle-licitacion.jsf?idExpediente=883922")</x:f>
        <x:v>www.juntadeandalucia.es/haciendayadministracionpublica/apl/pdc_sirec/perfiles-licitaciones/detalle-licitacion.jsf?idExpediente=883922</x:v>
      </x:c>
      <x:c r="M8" s="11" t="s">
        <x:v>27</x:v>
      </x:c>
      <x:c r="N8" s="13" t="s">
        <x:v>21</x:v>
      </x:c>
      <x:c r="O8" s="11" t="s">
        <x:v>74</x:v>
      </x:c>
      <x:c r="P8" s="11" t="s">
        <x:v>75</x:v>
      </x:c>
      <x:c r="Q8" s="14" t="str">
        <x:f xml:space="preserve">HYPERLINK("https://www.infonalia.es/licitaciones1225/2025176178.pdf","www.infonalia.es/licitaciones1225/2025176178.pdf")</x:f>
        <x:v>www.infonalia.es/licitaciones1225/2025176178.pdf</x:v>
      </x:c>
    </x:row>
    <x:row r="9">
      <x:c r="A9" s="6" t="s">
        <x:v>17</x:v>
      </x:c>
      <x:c r="B9" s="6" t="s">
        <x:v>18</x:v>
      </x:c>
      <x:c r="C9" s="7" t="s">
        <x:v>69</x:v>
      </x:c>
      <x:c r="D9" s="8" t="s">
        <x:v>76</x:v>
      </x:c>
      <x:c r="E9" s="9" t="s">
        <x:v>21</x:v>
      </x:c>
      <x:c r="F9" s="6" t="s">
        <x:v>71</x:v>
      </x:c>
      <x:c r="G9" s="6" t="s">
        <x:v>77</x:v>
      </x:c>
      <x:c r="H9" s="6" t="s">
        <x:v>78</x:v>
      </x:c>
      <x:c r="I9" s="10" t="n">
        <x:v>377146.70</x:v>
      </x:c>
      <x:c r="J9" s="11" t="s">
        <x:v>25</x:v>
      </x:c>
      <x:c r="K9" s="11" t="s">
        <x:v>26</x:v>
      </x:c>
      <x:c r="L9" s="12" t="str">
        <x:f xml:space="preserve">HYPERLINK("https://www.juntadeandalucia.es/haciendayadministracionpublica/apl/pdc_sirec/perfiles-licitaciones/detalle-licitacion.jsf?idExpediente=884032","www.juntadeandalucia.es/haciendayadministracionpublica/apl/pdc_sirec/perfiles-licitaciones/detalle-licitacion.jsf?idExpediente=884032")</x:f>
        <x:v>www.juntadeandalucia.es/haciendayadministracionpublica/apl/pdc_sirec/perfiles-licitaciones/detalle-licitacion.jsf?idExpediente=884032</x:v>
      </x:c>
      <x:c r="M9" s="11" t="s">
        <x:v>27</x:v>
      </x:c>
      <x:c r="N9" s="13" t="s">
        <x:v>21</x:v>
      </x:c>
      <x:c r="O9" s="11" t="s">
        <x:v>79</x:v>
      </x:c>
      <x:c r="P9" s="11" t="s">
        <x:v>75</x:v>
      </x:c>
      <x:c r="Q9" s="14" t="str">
        <x:f xml:space="preserve">HYPERLINK("https://www.infonalia.es/licitaciones1225/2025176179.pdf","www.infonalia.es/licitaciones1225/2025176179.pdf")</x:f>
        <x:v>www.infonalia.es/licitaciones1225/2025176179.pdf</x:v>
      </x:c>
    </x:row>
    <x:row r="10">
      <x:c r="A10" s="6" t="s">
        <x:v>17</x:v>
      </x:c>
      <x:c r="B10" s="6" t="s">
        <x:v>18</x:v>
      </x:c>
      <x:c r="C10" s="7" t="s">
        <x:v>80</x:v>
      </x:c>
      <x:c r="D10" s="8" t="s">
        <x:v>81</x:v>
      </x:c>
      <x:c r="E10" s="9" t="s">
        <x:v>21</x:v>
      </x:c>
      <x:c r="F10" s="6" t="s">
        <x:v>82</x:v>
      </x:c>
      <x:c r="G10" s="6" t="s">
        <x:v>83</x:v>
      </x:c>
      <x:c r="H10" s="6" t="s">
        <x:v>84</x:v>
      </x:c>
      <x:c r="I10" s="10" t="n">
        <x:v>30135.00</x:v>
      </x:c>
      <x:c r="J10" s="11" t="s">
        <x:v>25</x:v>
      </x:c>
      <x:c r="K10" s="11" t="s">
        <x:v>26</x:v>
      </x:c>
      <x:c r="L10" s="12" t="str">
        <x:f xml:space="preserve">HYPERLINK("https://contrataciondelestado.es/wps/poc?uri=deeplink:detalle_licitacion&amp;idEvl=8yoPrYAZAtbN3k3tjedSGw%3D%3D","contrataciondelestado.es/wps/poc?uri=deeplink:detalle_licitacion&amp;idEvl=8yoPrYAZAtbN3k3tjedSGw%3D%3D")</x:f>
        <x:v>contrataciondelestado.es/wps/poc?uri=deeplink:detalle_licitacion&amp;idEvl=8yoPrYAZAtbN3k3tjedSGw%3D%3D</x:v>
      </x:c>
      <x:c r="M10" s="11" t="s">
        <x:v>27</x:v>
      </x:c>
      <x:c r="N10" s="13" t="s">
        <x:v>21</x:v>
      </x:c>
      <x:c r="O10" s="11" t="s">
        <x:v>85</x:v>
      </x:c>
      <x:c r="P10" s="11" t="s">
        <x:v>86</x:v>
      </x:c>
      <x:c r="Q10" s="14" t="str">
        <x:f xml:space="preserve">HYPERLINK("https://www.infonalia.es/licitaciones1225/2025176260.pdf","www.infonalia.es/licitaciones1225/2025176260.pdf")</x:f>
        <x:v>www.infonalia.es/licitaciones1225/2025176260.pdf</x:v>
      </x:c>
    </x:row>
    <x:row r="11">
      <x:c r="A11" s="6" t="s">
        <x:v>17</x:v>
      </x:c>
      <x:c r="B11" s="6" t="s">
        <x:v>18</x:v>
      </x:c>
      <x:c r="C11" s="7" t="s">
        <x:v>80</x:v>
      </x:c>
      <x:c r="D11" s="8" t="s">
        <x:v>87</x:v>
      </x:c>
      <x:c r="E11" s="9" t="s">
        <x:v>21</x:v>
      </x:c>
      <x:c r="F11" s="6" t="s">
        <x:v>88</x:v>
      </x:c>
      <x:c r="G11" s="6" t="s">
        <x:v>89</x:v>
      </x:c>
      <x:c r="H11" s="6" t="s">
        <x:v>90</x:v>
      </x:c>
      <x:c r="I11" s="10" t="n">
        <x:v>29500.00</x:v>
      </x:c>
      <x:c r="J11" s="11" t="s">
        <x:v>25</x:v>
      </x:c>
      <x:c r="K11" s="11" t="s">
        <x:v>26</x:v>
      </x:c>
      <x:c r="L11" s="12" t="str">
        <x:f xml:space="preserve">HYPERLINK("https://contrataciondelestado.es/wps/poc?uri=deeplink:detalle_licitacion&amp;idEvl=%2F1w%2BnBd1htK2gkLQ8TeYKA%3D%3D","contrataciondelestado.es/wps/poc?uri=deeplink:detalle_licitacion&amp;idEvl=%2F1w%2BnBd1htK2gkLQ8TeYKA%3D%3D")</x:f>
        <x:v>contrataciondelestado.es/wps/poc?uri=deeplink:detalle_licitacion&amp;idEvl=%2F1w%2BnBd1htK2gkLQ8TeYKA%3D%3D</x:v>
      </x:c>
      <x:c r="M11" s="11" t="s">
        <x:v>27</x:v>
      </x:c>
      <x:c r="N11" s="13" t="s">
        <x:v>21</x:v>
      </x:c>
      <x:c r="O11" s="11" t="s">
        <x:v>91</x:v>
      </x:c>
      <x:c r="P11" s="11" t="s">
        <x:v>36</x:v>
      </x:c>
      <x:c r="Q11" s="14" t="str">
        <x:f xml:space="preserve">HYPERLINK("https://www.infonalia.es/licitaciones1225/2025176309.pdf","www.infonalia.es/licitaciones1225/2025176309.pdf")</x:f>
        <x:v>www.infonalia.es/licitaciones1225/2025176309.pdf</x:v>
      </x:c>
    </x:row>
    <x:row r="12">
      <x:c r="A12" s="6" t="s">
        <x:v>17</x:v>
      </x:c>
      <x:c r="B12" s="6" t="s">
        <x:v>92</x:v>
      </x:c>
      <x:c r="C12" s="7" t="s">
        <x:v>43</x:v>
      </x:c>
      <x:c r="D12" s="8" t="s">
        <x:v>93</x:v>
      </x:c>
      <x:c r="E12" s="9" t="s">
        <x:v>21</x:v>
      </x:c>
      <x:c r="F12" s="6" t="s">
        <x:v>94</x:v>
      </x:c>
      <x:c r="G12" s="6" t="s">
        <x:v>95</x:v>
      </x:c>
      <x:c r="H12" s="6" t="s">
        <x:v>96</x:v>
      </x:c>
      <x:c r="I12" s="10" t="n">
        <x:v>267000.00</x:v>
      </x:c>
      <x:c r="J12" s="11" t="s">
        <x:v>97</x:v>
      </x:c>
      <x:c r="K12" s="11" t="s">
        <x:v>98</x:v>
      </x:c>
      <x:c r="L12" s="12" t="str">
        <x:f xml:space="preserve">HYPERLINK("https://contractaciopublica.gencat.cat/perfil/agricultura","contractaciopublica.gencat.cat/perfil/agricultura")</x:f>
        <x:v>contractaciopublica.gencat.cat/perfil/agricultura</x:v>
      </x:c>
      <x:c r="M12" s="11" t="s">
        <x:v>99</x:v>
      </x:c>
      <x:c r="N12" s="13" t="s">
        <x:v>28</x:v>
      </x:c>
      <x:c r="O12" s="11" t="s">
        <x:v>100</x:v>
      </x:c>
      <x:c r="P12" s="11" t="s">
        <x:v>49</x:v>
      </x:c>
      <x:c r="Q12" s="14" t="str">
        <x:f xml:space="preserve">HYPERLINK("https://www.infonalia.es/licitaciones1225/2025176325.pdf","www.infonalia.es/licitaciones1225/2025176325.pdf")</x:f>
        <x:v>www.infonalia.es/licitaciones1225/2025176325.pdf</x:v>
      </x:c>
    </x:row>
    <x:row r="13">
      <x:c r="A13" s="6" t="s">
        <x:v>17</x:v>
      </x:c>
      <x:c r="B13" s="6" t="s">
        <x:v>92</x:v>
      </x:c>
      <x:c r="C13" s="7" t="s">
        <x:v>37</x:v>
      </x:c>
      <x:c r="D13" s="8" t="s">
        <x:v>101</x:v>
      </x:c>
      <x:c r="E13" s="9" t="s">
        <x:v>21</x:v>
      </x:c>
      <x:c r="F13" s="6" t="s">
        <x:v>102</x:v>
      </x:c>
      <x:c r="G13" s="6" t="s">
        <x:v>103</x:v>
      </x:c>
      <x:c r="H13" s="6" t="s">
        <x:v>104</x:v>
      </x:c>
      <x:c r="I13" s="10"/>
      <x:c r="J13" s="11" t="s">
        <x:v>56</x:v>
      </x:c>
      <x:c r="K13" s="11" t="s">
        <x:v>105</x:v>
      </x:c>
      <x:c r="L13" s="12" t="str">
        <x:f xml:space="preserve">HYPERLINK("https://contractaciopublica.gencat.cat/ecofin_pscp/AppJava/perfil/gramenet/customProf","contractaciopublica.gencat.cat/ecofin_pscp/AppJava/perfil/gramenet/customProf")</x:f>
        <x:v>contractaciopublica.gencat.cat/ecofin_pscp/AppJava/perfil/gramenet/customProf</x:v>
      </x:c>
      <x:c r="M13" s="11" t="s">
        <x:v>99</x:v>
      </x:c>
      <x:c r="N13" s="13" t="s">
        <x:v>28</x:v>
      </x:c>
      <x:c r="O13" s="11" t="s">
        <x:v>106</x:v>
      </x:c>
      <x:c r="P13" s="11" t="s">
        <x:v>49</x:v>
      </x:c>
      <x:c r="Q13" s="14" t="str">
        <x:f xml:space="preserve">HYPERLINK("https://www.infonalia.es/licitaciones1225/2025176327.pdf","www.infonalia.es/licitaciones1225/2025176327.pdf")</x:f>
        <x:v>www.infonalia.es/licitaciones1225/2025176327.pdf</x:v>
      </x:c>
    </x:row>
    <x:row r="14">
      <x:c r="A14" s="6" t="s">
        <x:v>17</x:v>
      </x:c>
      <x:c r="B14" s="6" t="s">
        <x:v>92</x:v>
      </x:c>
      <x:c r="C14" s="7" t="s">
        <x:v>107</x:v>
      </x:c>
      <x:c r="D14" s="8" t="s">
        <x:v>108</x:v>
      </x:c>
      <x:c r="E14" s="9" t="s">
        <x:v>21</x:v>
      </x:c>
      <x:c r="F14" s="6" t="s">
        <x:v>109</x:v>
      </x:c>
      <x:c r="G14" s="6" t="s">
        <x:v>110</x:v>
      </x:c>
      <x:c r="H14" s="6" t="s">
        <x:v>56</x:v>
      </x:c>
      <x:c r="I14" s="10"/>
      <x:c r="J14" s="11" t="s">
        <x:v>56</x:v>
      </x:c>
      <x:c r="K14" s="11" t="s">
        <x:v>111</x:v>
      </x:c>
      <x:c r="L14" s="12" t="str">
        <x:f xml:space="preserve">HYPERLINK("https://www.urv.cat/ca/universitat/seu-electronica/contractacio-publica","www.urv.cat/ca/universitat/seu-electronica/contractacio-publica")</x:f>
        <x:v>www.urv.cat/ca/universitat/seu-electronica/contractacio-publica</x:v>
      </x:c>
      <x:c r="M14" s="11" t="s">
        <x:v>99</x:v>
      </x:c>
      <x:c r="N14" s="13" t="s">
        <x:v>28</x:v>
      </x:c>
      <x:c r="O14" s="11" t="s">
        <x:v>112</x:v>
      </x:c>
      <x:c r="P14" s="11" t="s">
        <x:v>113</x:v>
      </x:c>
      <x:c r="Q14" s="14" t="str">
        <x:f xml:space="preserve">HYPERLINK("https://www.infonalia.es/licitaciones1225/2025176329.pdf","www.infonalia.es/licitaciones1225/2025176329.pdf")</x:f>
        <x:v>www.infonalia.es/licitaciones1225/2025176329.pdf</x:v>
      </x:c>
    </x:row>
    <x:row r="15">
      <x:c r="A15" s="6" t="s">
        <x:v>17</x:v>
      </x:c>
      <x:c r="B15" s="6" t="s">
        <x:v>92</x:v>
      </x:c>
      <x:c r="C15" s="7" t="s">
        <x:v>26</x:v>
      </x:c>
      <x:c r="D15" s="8" t="s">
        <x:v>114</x:v>
      </x:c>
      <x:c r="E15" s="9" t="s">
        <x:v>21</x:v>
      </x:c>
      <x:c r="F15" s="6" t="s">
        <x:v>115</x:v>
      </x:c>
      <x:c r="G15" s="6" t="s">
        <x:v>116</x:v>
      </x:c>
      <x:c r="H15" s="6" t="s">
        <x:v>117</x:v>
      </x:c>
      <x:c r="I15" s="10"/>
      <x:c r="J15" s="11" t="s">
        <x:v>56</x:v>
      </x:c>
      <x:c r="K15" s="11" t="s">
        <x:v>56</x:v>
      </x:c>
      <x:c r="L15" s="12" t="str">
        <x:f xml:space="preserve">HYPERLINK("https://perfil.asturias.es","perfil.asturias.es")</x:f>
        <x:v>perfil.asturias.es</x:v>
      </x:c>
      <x:c r="M15" s="11" t="s">
        <x:v>99</x:v>
      </x:c>
      <x:c r="N15" s="13" t="s">
        <x:v>28</x:v>
      </x:c>
      <x:c r="O15" s="11" t="s">
        <x:v>118</x:v>
      </x:c>
      <x:c r="P15" s="11" t="s">
        <x:v>119</x:v>
      </x:c>
      <x:c r="Q15" s="14" t="str">
        <x:f xml:space="preserve">HYPERLINK("https://www.infonalia.es/licitaciones1225/2025176331.pdf","www.infonalia.es/licitaciones1225/2025176331.pdf")</x:f>
        <x:v>www.infonalia.es/licitaciones1225/2025176331.pdf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