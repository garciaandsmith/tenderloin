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<x:sst xmlns:x="http://schemas.openxmlformats.org/spreadsheetml/2006/main" count="17" uniqueCount="17">
  <x:si>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</x:si>
  <x:si>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</x:si>
  <x:si>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</x:si>
  <x:si>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</x:si>
  <x:si>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</x:si>
  <x:si>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</x:si>
  <x:si>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</x:si>
  <x:si>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</x:si>
  <x:si>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</x:si>
  <x:si>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</x:si>
  <x:si>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</x:si>
  <x:si>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</x:si>
  <x:si>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</x:si>
  <x:si>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</x:si>
  <x:si>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</x:si>
  <x:si>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</x:si>
  <x:si>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</x:si>
  <x:si>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</x:si>
  <x:si>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</x:si>
  <x:si>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09/02/2026</x:t>
  </x:si>
  <x:si>
    <x:t>2026002011</x:t>
  </x:si>
  <x:si>
    <x:t>12/01/2026</x:t>
  </x:si>
  <x:si>
    <x:t>CONSEJO DE ADMINISTRACIÓN DE LA SOCIEDAD MERCANTIL ESTATAL PARA LA GESTIÓN DE LA INNOVACIÓN Y LAS TECNOLOGÍAS TURÍSTICAS, S.A.M.P. (SEGITTUR)</x:t>
  </x:si>
  <x:si>
    <x:t>Servicios de apoyo en la gestión de contenidos y diseño multimedia para el mantenimiento de las webs de Turespaña gestionadas por SEGITTUR: www.spain.info, www.visitspain.com.cn y www.tourspain.es, en todas sus versiones internacionales y subdominios. Las necesidades a satisfacer se especifican con mayor detalle en el “PLIEGO DE PRESCRIPCIONES TÉCNICAS QUE HA DE REGIR LA CONTRATACIÓN"</x:t>
  </x:si>
  <x:si>
    <x:t>012026</x:t>
  </x:si>
  <x:si>
    <x:t>Importe sin impuestos</x:t>
  </x:si>
  <x:si>
    <x:t/>
  </x:si>
  <x:si>
    <x:t>-----</x:t>
  </x:si>
  <x:si>
    <x:t>11/01/2026</x:t>
  </x:si>
  <x:si>
    <x:t/>
  </x:si>
  <x:si>
    <x:t>Madrid</x:t>
  </x:si>
  <x:si>
    <x:t>2026002016</x:t>
  </x:si>
  <x:si>
    <x:t>DIRECCIÓN DE COMPRAS DE LA CORPORACIÓN DE RADIO Y TELEVISIÓN ESPAÑOLA S.A</x:t>
  </x:si>
  <x:si>
    <x:t>Servicio de grabación y contenidos multimedia Jerusalén</x:t>
  </x:si>
  <x:si>
    <x:t>S-05393-2025</x:t>
  </x:si>
  <x:si>
    <x:t/>
  </x:si>
  <x:si>
    <x:t>Israel </x:t>
  </x:si>
  <x:si>
    <x:t>26/01/2026</x:t>
  </x:si>
  <x:si>
    <x:t>2026002076</x:t>
  </x:si>
  <x:si>
    <x:t>DIRECCIÓN DE COMPRAS DE LA CORPORACIÓN DE RADIO Y TELEVISIÓN ESPAÑOLA S.A.</x:t>
  </x:si>
  <x:si>
    <x:t>Servicio de auxiliares de set - Cataluña y exteriores</x:t>
  </x:si>
  <x:si>
    <x:t>S-05345-2025</x:t>
  </x:si>
  <x:si>
    <x:t>09/01/2026</x:t>
  </x:si>
  <x:si>
    <x:t/>
  </x:si>
  <x:si>
    <x:t>Barcelona</x:t>
  </x:si>
  <x:si>
    <x:t>13/02/2026</x:t>
  </x:si>
  <x:si>
    <x:t>2026002087</x:t>
  </x:si>
  <x:si>
    <x:t>AYUNTAMIENTO DE BARCELONA</x:t>
  </x:si>
  <x:si>
    <x:t>Alquiler de material de infraestructura (estructuras no permanentes desmontables, tarimas, fondos de escenario, rampas, sillas, mesas, etc.), equipos de sonido, iluminación y audiovisuales, así como el transporte, montaje, operación, asistencia técnica y desmontaje de los mismos, para el desarrollo de actos y eventos organizados por el Departamento de Comunicación el Espacio Público, Gerencia de Área de Movilidad, Infraestructuras y Obras, y Gerencia de Área de Urbanismo y Vivienda (en adelante, Gerencias de SUMEP, MIO y UH), con medidas de contratación pública sostenible</x:t>
  </x:si>
  <x:si>
    <x:t>001_25002756</x:t>
  </x:si>
  <x:si>
    <x:t/>
  </x:si>
  <x:si>
    <x:t>20/01/2026</x:t>
  </x:si>
  <x:si>
    <x:t>2026002119</x:t>
  </x:si>
  <x:si>
    <x:t>MINISTERIO DE TRANSPORTES Y MOVILIDAD SOSTENIBLE. INECO-COMITÉ DE DIRECCIÓN</x:t>
  </x:si>
  <x:si>
    <x:t>Servicio de diseño, montaje y desmontaje de stand en Passenger Terminal 2026</x:t>
  </x:si>
  <x:si>
    <x:t>20251211-00801</x:t>
  </x:si>
  <x:si>
    <x:t/>
  </x:si>
  <x:si>
    <x:t>Reino Unido</x:t>
  </x:si>
  <x:si>
    <x:t>24/01/2026</x:t>
  </x:si>
  <x:si>
    <x:t>2026002160</x:t>
  </x:si>
  <x:si>
    <x:t>CONSELL COMARCAL DEL RIPOLLÈS (GIRONA)</x:t>
  </x:si>
  <x:si>
    <x:t>Es objeto de este contrato la prestación del servicio para la ejecución del programa operativo de marketing digital y acciones de comunicación 2026. Dado que el objeto del contrato es una de las actuaciones previstas del Plan de Sostenibilidad Turística del Ripollès, uno de los 19 PSTD del Plan Territorial de Sostenibilidad Turística en Destinos. obligado dar cumplimiento a la normativa ya las medidas previstas en el marco del PRTR y del MRR en la ejecución de las actuaciones</x:t>
  </x:si>
  <x:si>
    <x:t>2664/2025</x:t>
  </x:si>
  <x:si>
    <x:t/>
  </x:si>
  <x:si>
    <x:t>Girona</x:t>
  </x:si>
  <x:si>
    <x:t>2026002162</x:t>
  </x:si>
  <x:si>
    <x:t>CONSORCI HOSPITALARI DE VIC</x:t>
  </x:si>
  <x:si>
    <x:t>Servicio permanente de diseño, producción/impresión e instalación de elementos gráficos dirigidos a los usuarios y trabajadores de los distintos centros para que dispongan de toda la información necesaria para disfrutar de sus servicios y actividades. Lote 1 Servicio de diseño y adaptaciones gráficas de materiales de difusión y humanización. Lote 2 Servicio de impresión y producción de materiales de difusión y de humanización</x:t>
  </x:si>
  <x:si>
    <x:t>CHV 20/25 NH</x:t>
  </x:si>
  <x:si>
    <x:t/>
  </x:si>
  <x:si>
    <x:t>28/01/2026</x:t>
  </x:si>
  <x:si>
    <x:t>2026002170</x:t>
  </x:si>
  <x:si>
    <x:t>MINISTERIO PARA LA TRANSICIÓN ECOLÓGICA Y EL RETO DEMOGRÁFICO. DIRECCIÓN GENERAL DEL INSTITUTO PARA LA DIVERSIFICACIÓN Y AHORRO DE LA ENERGÍA (IDAE)</x:t>
  </x:si>
  <x:si>
    <x:t>El objeto es la contratación de una empresa especializada en la organización y puesta en marcha de webinars para dar al IDAE un servicio de apoyo técnico para los webinars del IDAE</x:t>
  </x:si>
  <x:si>
    <x:t>CONTR/2025/040</x:t>
  </x:si>
  <x:si>
    <x:t/>
  </x:si>
  <x:si>
    <x:t>2026002178</x:t>
  </x:si>
  <x:si>
    <x:t>SECRETARÍA GENERAL DE LA FEDERACIÓN ESPAÑOLA DE MUNICIPIOS Y PROVINCIAS</x:t>
  </x:si>
  <x:si>
    <x:t>Contrato de servicios para la sistematización en formato audiovisual y difusión de buenas prácticas en la implementación de la Agenda 2030 en el ámbito local y en la elaboración de Informes Voluntarios Locales. Lote 1: Sistematización buenas prácticas en formato vídeo y en formato ficha PDF. Lote 2: Diseño y puesta en marcha de una campaña de comunicación y difusión. </x:t>
  </x:si>
  <x:si>
    <x:t>CF_02_2026</x:t>
  </x:si>
  <x:si>
    <x:t/>
  </x:si>
  <x:si>
    <x:t>2026002241</x:t>
  </x:si>
  <x:si>
    <x:t>AYUNTAMIENTO DE ARENYS DE MAR (BARCELONA)</x:t>
  </x:si>
  <x:si>
    <x:t>Realización de un evento cultural relacionado con el mundo del libro y la literatura, con experiencias y actividades literarias para todos los públicos</x:t>
  </x:si>
  <x:si>
    <x:t>7358/2025</x:t>
  </x:si>
  <x:si>
    <x:t/>
  </x:si>
  <x:si>
    <x:t>2026002290</x:t>
  </x:si>
  <x:si>
    <x:t>JUNTA DE GOBIERNO DEL AYUNTAMIENTO DE ALCALÁ DE HENARES (MADRID)</x:t>
  </x:si>
  <x:si>
    <x:t>Contrato mixto del servicio de un festival de comic e ilustración en la Ciudad de Alcalá de Henares</x:t>
  </x:si>
  <x:si>
    <x:t>6802 BIS</x:t>
  </x:si>
  <x:si>
    <x:t/>
  </x:si>
  <x:si>
    <x:t>2026002291</x:t>
  </x:si>
  <x:si>
    <x:t>Posicionamiento en buscadores y aplicaciones SEO y ASO</x:t>
  </x:si>
  <x:si>
    <x:t>S-05925-2025</x:t>
  </x:si>
  <x:si>
    <x:t/>
  </x:si>
  <x:si>
    <x:t>Barcelona. Perfil del Contratante del Ayuntamiento</x:t>
  </x:si>
  <x:si>
    <x:t>16/01/2026</x:t>
  </x:si>
  <x:si>
    <x:t>2026002312</x:t>
  </x:si>
  <x:si>
    <x:t>INSTITUTO DE CULTURA DE BARCELONA</x:t>
  </x:si>
  <x:si>
    <x:t>Diseño y producción de productos gráficos (en papel y digital) de la programación de las 
actividades del Museu Frederic Marès y de elementos de señalética del edificio.</x:t>
  </x:si>
  <x:si>
    <x:t>006_P2600011</x:t>
  </x:si>
  <x:si>
    <x:t/>
  </x:si>
  <x:si>
    <x:t/>
  </x:si>
  <x:si>
    <x:t>Catalunya - Plataforma de Contratación</x:t>
  </x:si>
  <x:si>
    <x:t>15/01/2026</x:t>
  </x:si>
  <x:si>
    <x:t>2026002329</x:t>
  </x:si>
  <x:si>
    <x:t>AYUNTAMIENTO DE CASTELLDEFELS (BARCELONA). COMUNICACIÓN E IMAGEN</x:t>
  </x:si>
  <x:si>
    <x:t>Servicio de grabación de eventos municipales en vídeo y edición de estos vídeos para las redes sociales (formato vertical), pantallas digitales (formato horizontal) y webs del Ayuntamiento de Castelldefels para el año 2026</x:t>
  </x:si>
  <x:si>
    <x:t>COMUNICACIO-SER-MEN/2026000020</x:t>
  </x:si>
  <x:si>
    <x:t>IVA excluido</x:t>
  </x:si>
  <x:si>
    <x:t/>
  </x:si>
  <x:si>
    <x:t/>
  </x:si>
  <x:si>
    <x:t>2026002338</x:t>
  </x:si>
  <x:si>
    <x:t>JUNTA DIRECTIVA DE LA ASOCIACIÓN CLUB DE PRODUCTO CICLOTURISMO EN MADRID</x:t>
  </x:si>
  <x:si>
    <x:t>Prestación de servicios de gerencia y gestión para la Asociación Club de Producto Cicloturismo en Madrid, incluyendo apoyo administrativo, comunicación interna y externa, supervisión de contratos de marketing y coordinación operativa de la asociación</x:t>
  </x:si>
  <x:si>
    <x:t>2026-GERENCIA ANUNCIO PREVIO</x:t>
  </x:si>
  <x:si>
    <x:t>No consta</x:t>
  </x:si>
  <x:si>
    <x:t/>
  </x:si>
  <x:si>
    <x:t>2026002359</x:t>
  </x:si>
  <x:si>
    <x:t>Con el fin de profesionalizar su gestión y asegurar el cumplimiento de sus acciones y plazos, se contrata un servicio de apoyo técnico que permita mejorar la gestión interna, impulsar las iniciativas decididas y garantizar el cumplimiento de los acuerdos de sus órganos de gobierno, contribuyendo al logro de sus objetivos</x:t>
  </x:si>
  <x:si>
    <x:t>2026-01-APOYO-TECNICO</x:t>
  </x:si>
  <x:si>
    <x:t/>
  </x:si>
  <x:si>
    <x:t>BOCM - Boletín Oficial de la Comunidad de Madrid</x:t>
  </x:si>
  <x:si>
    <x:t>2026002448</x:t>
  </x:si>
  <x:si>
    <x:t>AYUNTAMIENTO DE LAS ROZAS DE MADRID (MADRID)</x:t>
  </x:si>
  <x:si>
    <x:t>Ocupación en el Recinto Ferial, del 5 al 8 de febrero, (montaje los días 2, 3 y 4 y desmontaje el 9 y 10 de febrero) para la realización del evento: “The Champions Cheescake”.</x:t>
  </x:si>
  <x:si>
    <x:t/>
  </x:si>
  <x:si>
    <x:t>9</x:t>
  </x:si>
  <x:si>
    <x:t/>
  </x:si>
  <x:si>
    <x:t>2026002449</x:t>
  </x:si>
  <x:si>
    <x:t>Otorgamiento de autorización demanial en el Centro Multiusos de Las Rozas, del día 12 al 22 de marzo de 2026 (montaje los días 9. 10 y 11 y desmontaje el 22 y 23 de marzo) con el objeto de realizar el evento gastronómico “Chifa Nikkei Fest”.</x:t>
  </x:si>
  <x:si>
    <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</x:si>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</x:sst>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175200.00</x:v>
      </x:c>
      <x:c r="J2" s="11" t="s">
        <x:v>25</x:v>
      </x:c>
      <x:c r="K2" s="11" t="s">
        <x:v>26</x:v>
      </x:c>
      <x:c r="L2" s="12" t="str">
        <x:f xml:space="preserve">HYPERLINK("https://contrataciondelestado.es/wps/poc?uri=deeplink:detalle_licitacion&amp;idEvl=7nj1F6GaYIuKeVWTb9Scog%3D%3D","contrataciondelestado.es/wps/poc?uri=deeplink:detalle_licitacion&amp;idEvl=7nj1F6GaYIuKeVWTb9Scog%3D%3D")</x:f>
        <x:v>contrataciondelestado.es/wps/poc?uri=deeplink:detalle_licitacion&amp;idEvl=7nj1F6GaYIuKeVWTb9Scog%3D%3D</x:v>
      </x:c>
      <x:c r="M2" s="11" t="s">
        <x:v>27</x:v>
      </x:c>
      <x:c r="N2" s="13" t="s">
        <x:v>28</x:v>
      </x:c>
      <x:c r="O2" s="11" t="s">
        <x:v>29</x:v>
      </x:c>
      <x:c r="P2" s="11" t="s">
        <x:v>30</x:v>
      </x:c>
      <x:c r="Q2" s="14" t="str">
        <x:f xml:space="preserve">HYPERLINK("https://www.infonalia.es/licitaciones0126/2026002011.pdf","www.infonalia.es/licitaciones0126/2026002011.pdf")</x:f>
        <x:v>www.infonalia.es/licitaciones0126/2026002011.pdf</x:v>
      </x:c>
    </x:row>
    <x:row r="3">
      <x:c r="A3" s="6" t="s">
        <x:v>17</x:v>
      </x:c>
      <x:c r="B3" s="6" t="s">
        <x:v>18</x:v>
      </x:c>
      <x:c r="C3" s="7" t="s">
        <x:v>19</x:v>
      </x:c>
      <x:c r="D3" s="8" t="s">
        <x:v>31</x:v>
      </x:c>
      <x:c r="E3" s="9" t="s">
        <x:v>21</x:v>
      </x:c>
      <x:c r="F3" s="6" t="s">
        <x:v>32</x:v>
      </x:c>
      <x:c r="G3" s="6" t="s">
        <x:v>33</x:v>
      </x:c>
      <x:c r="H3" s="6" t="s">
        <x:v>34</x:v>
      </x:c>
      <x:c r="I3" s="10" t="n">
        <x:v>174344.58</x:v>
      </x:c>
      <x:c r="J3" s="11" t="s">
        <x:v>25</x:v>
      </x:c>
      <x:c r="K3" s="11" t="s">
        <x:v>26</x:v>
      </x:c>
      <x:c r="L3" s="12" t="str">
        <x:f xml:space="preserve">HYPERLINK("https://contrataciondelestado.es/wps/poc?uri=deeplink:detalle_licitacion&amp;idEvl=ThKKt6HEvEXs%2BnLj3vAg5A%3D%3D","contrataciondelestado.es/wps/poc?uri=deeplink:detalle_licitacion&amp;idEvl=ThKKt6HEvEXs%2BnLj3vAg5A%3D%3D")</x:f>
        <x:v>contrataciondelestado.es/wps/poc?uri=deeplink:detalle_licitacion&amp;idEvl=ThKKt6HEvEXs%2BnLj3vAg5A%3D%3D</x:v>
      </x:c>
      <x:c r="M3" s="11" t="s">
        <x:v>27</x:v>
      </x:c>
      <x:c r="N3" s="13" t="s">
        <x:v>28</x:v>
      </x:c>
      <x:c r="O3" s="11" t="s">
        <x:v>35</x:v>
      </x:c>
      <x:c r="P3" s="11" t="s">
        <x:v>36</x:v>
      </x:c>
      <x:c r="Q3" s="14" t="str">
        <x:f xml:space="preserve">HYPERLINK("https://www.infonalia.es/licitaciones0126/2026002016.pdf","www.infonalia.es/licitaciones0126/2026002016.pdf")</x:f>
        <x:v>www.infonalia.es/licitaciones0126/2026002016.pdf</x:v>
      </x:c>
    </x:row>
    <x:row r="4">
      <x:c r="A4" s="6" t="s">
        <x:v>17</x:v>
      </x:c>
      <x:c r="B4" s="6" t="s">
        <x:v>18</x:v>
      </x:c>
      <x:c r="C4" s="7" t="s">
        <x:v>37</x:v>
      </x:c>
      <x:c r="D4" s="8" t="s">
        <x:v>38</x:v>
      </x:c>
      <x:c r="E4" s="9" t="s">
        <x:v>21</x:v>
      </x:c>
      <x:c r="F4" s="6" t="s">
        <x:v>39</x:v>
      </x:c>
      <x:c r="G4" s="6" t="s">
        <x:v>40</x:v>
      </x:c>
      <x:c r="H4" s="6" t="s">
        <x:v>41</x:v>
      </x:c>
      <x:c r="I4" s="10" t="n">
        <x:v>49930.00</x:v>
      </x:c>
      <x:c r="J4" s="11" t="s">
        <x:v>25</x:v>
      </x:c>
      <x:c r="K4" s="11" t="s">
        <x:v>26</x:v>
      </x:c>
      <x:c r="L4" s="12" t="str">
        <x:f xml:space="preserve">HYPERLINK("https://contrataciondelestado.es/wps/poc?uri=deeplink:detalle_licitacion&amp;idEvl=8UKzMoFsySs2wEhQbcAqug%3D%3D","contrataciondelestado.es/wps/poc?uri=deeplink:detalle_licitacion&amp;idEvl=8UKzMoFsySs2wEhQbcAqug%3D%3D")</x:f>
        <x:v>contrataciondelestado.es/wps/poc?uri=deeplink:detalle_licitacion&amp;idEvl=8UKzMoFsySs2wEhQbcAqug%3D%3D</x:v>
      </x:c>
      <x:c r="M4" s="11" t="s">
        <x:v>27</x:v>
      </x:c>
      <x:c r="N4" s="13" t="s">
        <x:v>42</x:v>
      </x:c>
      <x:c r="O4" s="11" t="s">
        <x:v>43</x:v>
      </x:c>
      <x:c r="P4" s="11" t="s">
        <x:v>44</x:v>
      </x:c>
      <x:c r="Q4" s="14" t="str">
        <x:f xml:space="preserve">HYPERLINK("https://www.infonalia.es/licitaciones0126/2026002076.pdf","www.infonalia.es/licitaciones0126/2026002076.pdf")</x:f>
        <x:v>www.infonalia.es/licitaciones0126/2026002076.pdf</x:v>
      </x:c>
    </x:row>
    <x:row r="5">
      <x:c r="A5" s="6" t="s">
        <x:v>17</x:v>
      </x:c>
      <x:c r="B5" s="6" t="s">
        <x:v>18</x:v>
      </x:c>
      <x:c r="C5" s="7" t="s">
        <x:v>45</x:v>
      </x:c>
      <x:c r="D5" s="8" t="s">
        <x:v>46</x:v>
      </x:c>
      <x:c r="E5" s="9" t="s">
        <x:v>21</x:v>
      </x:c>
      <x:c r="F5" s="6" t="s">
        <x:v>47</x:v>
      </x:c>
      <x:c r="G5" s="6" t="s">
        <x:v>48</x:v>
      </x:c>
      <x:c r="H5" s="6" t="s">
        <x:v>49</x:v>
      </x:c>
      <x:c r="I5" s="10" t="n">
        <x:v>301383.63</x:v>
      </x:c>
      <x:c r="J5" s="11" t="s">
        <x:v>25</x:v>
      </x:c>
      <x:c r="K5" s="11" t="s">
        <x:v>26</x:v>
      </x:c>
      <x:c r="L5" s="12" t="str">
        <x:f xml:space="preserve">HYPERLINK("https://contractaciopublica.cat/ca/detall-publicacio/cb75886b-c812-41db-8568-a191a9674f9d/300661904","contractaciopublica.cat/ca/detall-publicacio/cb75886b-c812-41db-8568-a191a9674f9d/300661904")</x:f>
        <x:v>contractaciopublica.cat/ca/detall-publicacio/cb75886b-c812-41db-8568-a191a9674f9d/300661904</x:v>
      </x:c>
      <x:c r="M5" s="11" t="s">
        <x:v>27</x:v>
      </x:c>
      <x:c r="N5" s="13" t="s">
        <x:v>42</x:v>
      </x:c>
      <x:c r="O5" s="11" t="s">
        <x:v>50</x:v>
      </x:c>
      <x:c r="P5" s="11" t="s">
        <x:v>44</x:v>
      </x:c>
      <x:c r="Q5" s="14" t="str">
        <x:f xml:space="preserve">HYPERLINK("https://www.infonalia.es/licitaciones0126/2026002087.pdf","www.infonalia.es/licitaciones0126/2026002087.pdf")</x:f>
        <x:v>www.infonalia.es/licitaciones0126/2026002087.pdf</x:v>
      </x:c>
    </x:row>
    <x:row r="6">
      <x:c r="A6" s="6" t="s">
        <x:v>17</x:v>
      </x:c>
      <x:c r="B6" s="6" t="s">
        <x:v>18</x:v>
      </x:c>
      <x:c r="C6" s="7" t="s">
        <x:v>51</x:v>
      </x:c>
      <x:c r="D6" s="8" t="s">
        <x:v>52</x:v>
      </x:c>
      <x:c r="E6" s="9" t="s">
        <x:v>21</x:v>
      </x:c>
      <x:c r="F6" s="6" t="s">
        <x:v>53</x:v>
      </x:c>
      <x:c r="G6" s="6" t="s">
        <x:v>54</x:v>
      </x:c>
      <x:c r="H6" s="6" t="s">
        <x:v>55</x:v>
      </x:c>
      <x:c r="I6" s="10" t="n">
        <x:v>35000.00</x:v>
      </x:c>
      <x:c r="J6" s="11" t="s">
        <x:v>25</x:v>
      </x:c>
      <x:c r="K6" s="11" t="s">
        <x:v>26</x:v>
      </x:c>
      <x:c r="L6" s="12" t="str">
        <x:f xml:space="preserve">HYPERLINK("https://contrataciondelestado.es/wps/poc?uri=deeplink:detalle_licitacion&amp;idEvl=j8Q5XV8l7Twtm4eBPtV6eQ%3D%3D","contrataciondelestado.es/wps/poc?uri=deeplink:detalle_licitacion&amp;idEvl=j8Q5XV8l7Twtm4eBPtV6eQ%3D%3D")</x:f>
        <x:v>contrataciondelestado.es/wps/poc?uri=deeplink:detalle_licitacion&amp;idEvl=j8Q5XV8l7Twtm4eBPtV6eQ%3D%3D</x:v>
      </x:c>
      <x:c r="M6" s="11" t="s">
        <x:v>27</x:v>
      </x:c>
      <x:c r="N6" s="13" t="s">
        <x:v>42</x:v>
      </x:c>
      <x:c r="O6" s="11" t="s">
        <x:v>56</x:v>
      </x:c>
      <x:c r="P6" s="11" t="s">
        <x:v>57</x:v>
      </x:c>
      <x:c r="Q6" s="14" t="str">
        <x:f xml:space="preserve">HYPERLINK("https://www.infonalia.es/licitaciones0126/2026002119.pdf","www.infonalia.es/licitaciones0126/2026002119.pdf")</x:f>
        <x:v>www.infonalia.es/licitaciones0126/2026002119.pdf</x:v>
      </x:c>
    </x:row>
    <x:row r="7">
      <x:c r="A7" s="6" t="s">
        <x:v>17</x:v>
      </x:c>
      <x:c r="B7" s="6" t="s">
        <x:v>18</x:v>
      </x:c>
      <x:c r="C7" s="7" t="s">
        <x:v>58</x:v>
      </x:c>
      <x:c r="D7" s="8" t="s">
        <x:v>59</x:v>
      </x:c>
      <x:c r="E7" s="9" t="s">
        <x:v>21</x:v>
      </x:c>
      <x:c r="F7" s="6" t="s">
        <x:v>60</x:v>
      </x:c>
      <x:c r="G7" s="6" t="s">
        <x:v>61</x:v>
      </x:c>
      <x:c r="H7" s="6" t="s">
        <x:v>62</x:v>
      </x:c>
      <x:c r="I7" s="10" t="n">
        <x:v>54090.68</x:v>
      </x:c>
      <x:c r="J7" s="11" t="s">
        <x:v>25</x:v>
      </x:c>
      <x:c r="K7" s="11" t="s">
        <x:v>26</x:v>
      </x:c>
      <x:c r="L7" s="12" t="str">
        <x:f xml:space="preserve">HYPERLINK("https://contractaciopublica.cat/ca/detall-publicacio/5b771eea-4718-4922-8d25-f24015065ad3/300660829","contractaciopublica.cat/ca/detall-publicacio/5b771eea-4718-4922-8d25-f24015065ad3/300660829")</x:f>
        <x:v>contractaciopublica.cat/ca/detall-publicacio/5b771eea-4718-4922-8d25-f24015065ad3/300660829</x:v>
      </x:c>
      <x:c r="M7" s="11" t="s">
        <x:v>27</x:v>
      </x:c>
      <x:c r="N7" s="13" t="s">
        <x:v>42</x:v>
      </x:c>
      <x:c r="O7" s="11" t="s">
        <x:v>63</x:v>
      </x:c>
      <x:c r="P7" s="11" t="s">
        <x:v>64</x:v>
      </x:c>
      <x:c r="Q7" s="14" t="str">
        <x:f xml:space="preserve">HYPERLINK("https://www.infonalia.es/licitaciones0126/2026002160.pdf","www.infonalia.es/licitaciones0126/2026002160.pdf")</x:f>
        <x:v>www.infonalia.es/licitaciones0126/2026002160.pdf</x:v>
      </x:c>
    </x:row>
    <x:row r="8">
      <x:c r="A8" s="6" t="s">
        <x:v>17</x:v>
      </x:c>
      <x:c r="B8" s="6" t="s">
        <x:v>18</x:v>
      </x:c>
      <x:c r="C8" s="7" t="s">
        <x:v>37</x:v>
      </x:c>
      <x:c r="D8" s="8" t="s">
        <x:v>65</x:v>
      </x:c>
      <x:c r="E8" s="9" t="s">
        <x:v>21</x:v>
      </x:c>
      <x:c r="F8" s="6" t="s">
        <x:v>66</x:v>
      </x:c>
      <x:c r="G8" s="6" t="s">
        <x:v>67</x:v>
      </x:c>
      <x:c r="H8" s="6" t="s">
        <x:v>68</x:v>
      </x:c>
      <x:c r="I8" s="10" t="n">
        <x:v>45000.00</x:v>
      </x:c>
      <x:c r="J8" s="11" t="s">
        <x:v>25</x:v>
      </x:c>
      <x:c r="K8" s="11" t="s">
        <x:v>26</x:v>
      </x:c>
      <x:c r="L8" s="12" t="str">
        <x:f xml:space="preserve">HYPERLINK("https://contractaciopublica.cat/ca/detall-publicacio/6908749c-ec99-4513-9874-7af1ca2a91f9/300657381","contractaciopublica.cat/ca/detall-publicacio/6908749c-ec99-4513-9874-7af1ca2a91f9/300657381")</x:f>
        <x:v>contractaciopublica.cat/ca/detall-publicacio/6908749c-ec99-4513-9874-7af1ca2a91f9/300657381</x:v>
      </x:c>
      <x:c r="M8" s="11" t="s">
        <x:v>27</x:v>
      </x:c>
      <x:c r="N8" s="13" t="s">
        <x:v>42</x:v>
      </x:c>
      <x:c r="O8" s="11" t="s">
        <x:v>69</x:v>
      </x:c>
      <x:c r="P8" s="11" t="s">
        <x:v>44</x:v>
      </x:c>
      <x:c r="Q8" s="14" t="str">
        <x:f xml:space="preserve">HYPERLINK("https://www.infonalia.es/licitaciones0126/2026002162.pdf","www.infonalia.es/licitaciones0126/2026002162.pdf")</x:f>
        <x:v>www.infonalia.es/licitaciones0126/2026002162.pdf</x:v>
      </x:c>
    </x:row>
    <x:row r="9">
      <x:c r="A9" s="6" t="s">
        <x:v>17</x:v>
      </x:c>
      <x:c r="B9" s="6" t="s">
        <x:v>18</x:v>
      </x:c>
      <x:c r="C9" s="7" t="s">
        <x:v>70</x:v>
      </x:c>
      <x:c r="D9" s="8" t="s">
        <x:v>71</x:v>
      </x:c>
      <x:c r="E9" s="9" t="s">
        <x:v>21</x:v>
      </x:c>
      <x:c r="F9" s="6" t="s">
        <x:v>72</x:v>
      </x:c>
      <x:c r="G9" s="6" t="s">
        <x:v>73</x:v>
      </x:c>
      <x:c r="H9" s="6" t="s">
        <x:v>74</x:v>
      </x:c>
      <x:c r="I9" s="10" t="n">
        <x:v>60000.00</x:v>
      </x:c>
      <x:c r="J9" s="11" t="s">
        <x:v>25</x:v>
      </x:c>
      <x:c r="K9" s="11" t="s">
        <x:v>26</x:v>
      </x:c>
      <x:c r="L9" s="12" t="str">
        <x:f xml:space="preserve">HYPERLINK("https://contrataciondelestado.es/wps/poc?uri=deeplink:detalle_licitacion&amp;idEvl=ykQI5fyyOgkIYE3ZiZ%2BxmQ%3D%3D","contrataciondelestado.es/wps/poc?uri=deeplink:detalle_licitacion&amp;idEvl=ykQI5fyyOgkIYE3ZiZ%2BxmQ%3D%3D")</x:f>
        <x:v>contrataciondelestado.es/wps/poc?uri=deeplink:detalle_licitacion&amp;idEvl=ykQI5fyyOgkIYE3ZiZ%2BxmQ%3D%3D</x:v>
      </x:c>
      <x:c r="M9" s="11" t="s">
        <x:v>27</x:v>
      </x:c>
      <x:c r="N9" s="13" t="s">
        <x:v>42</x:v>
      </x:c>
      <x:c r="O9" s="11" t="s">
        <x:v>75</x:v>
      </x:c>
      <x:c r="P9" s="11" t="s">
        <x:v>30</x:v>
      </x:c>
      <x:c r="Q9" s="14" t="str">
        <x:f xml:space="preserve">HYPERLINK("https://www.infonalia.es/licitaciones0126/2026002170.pdf","www.infonalia.es/licitaciones0126/2026002170.pdf")</x:f>
        <x:v>www.infonalia.es/licitaciones0126/2026002170.pdf</x:v>
      </x:c>
    </x:row>
    <x:row r="10">
      <x:c r="A10" s="6" t="s">
        <x:v>17</x:v>
      </x:c>
      <x:c r="B10" s="6" t="s">
        <x:v>18</x:v>
      </x:c>
      <x:c r="C10" s="7" t="s">
        <x:v>70</x:v>
      </x:c>
      <x:c r="D10" s="8" t="s">
        <x:v>76</x:v>
      </x:c>
      <x:c r="E10" s="9" t="s">
        <x:v>21</x:v>
      </x:c>
      <x:c r="F10" s="6" t="s">
        <x:v>77</x:v>
      </x:c>
      <x:c r="G10" s="6" t="s">
        <x:v>78</x:v>
      </x:c>
      <x:c r="H10" s="6" t="s">
        <x:v>79</x:v>
      </x:c>
      <x:c r="I10" s="10" t="n">
        <x:v>42700.00</x:v>
      </x:c>
      <x:c r="J10" s="11" t="s">
        <x:v>25</x:v>
      </x:c>
      <x:c r="K10" s="11" t="s">
        <x:v>26</x:v>
      </x:c>
      <x:c r="L10" s="12" t="str">
        <x:f xml:space="preserve">HYPERLINK("https://contrataciondelestado.es/wps/poc?uri=deeplink:detalle_licitacion&amp;idEvl=B4MiwSVSi3XgL1BHd3qjQA%3D%3D","contrataciondelestado.es/wps/poc?uri=deeplink:detalle_licitacion&amp;idEvl=B4MiwSVSi3XgL1BHd3qjQA%3D%3D")</x:f>
        <x:v>contrataciondelestado.es/wps/poc?uri=deeplink:detalle_licitacion&amp;idEvl=B4MiwSVSi3XgL1BHd3qjQA%3D%3D</x:v>
      </x:c>
      <x:c r="M10" s="11" t="s">
        <x:v>27</x:v>
      </x:c>
      <x:c r="N10" s="13" t="s">
        <x:v>42</x:v>
      </x:c>
      <x:c r="O10" s="11" t="s">
        <x:v>80</x:v>
      </x:c>
      <x:c r="P10" s="11" t="s">
        <x:v>30</x:v>
      </x:c>
      <x:c r="Q10" s="14" t="str">
        <x:f xml:space="preserve">HYPERLINK("https://www.infonalia.es/licitaciones0126/2026002178.pdf","www.infonalia.es/licitaciones0126/2026002178.pdf")</x:f>
        <x:v>www.infonalia.es/licitaciones0126/2026002178.pdf</x:v>
      </x:c>
    </x:row>
    <x:row r="11">
      <x:c r="A11" s="6" t="s">
        <x:v>17</x:v>
      </x:c>
      <x:c r="B11" s="6" t="s">
        <x:v>18</x:v>
      </x:c>
      <x:c r="C11" s="7" t="s">
        <x:v>58</x:v>
      </x:c>
      <x:c r="D11" s="8" t="s">
        <x:v>81</x:v>
      </x:c>
      <x:c r="E11" s="9" t="s">
        <x:v>21</x:v>
      </x:c>
      <x:c r="F11" s="6" t="s">
        <x:v>82</x:v>
      </x:c>
      <x:c r="G11" s="6" t="s">
        <x:v>83</x:v>
      </x:c>
      <x:c r="H11" s="6" t="s">
        <x:v>84</x:v>
      </x:c>
      <x:c r="I11" s="10" t="n">
        <x:v>18663.16</x:v>
      </x:c>
      <x:c r="J11" s="11" t="s">
        <x:v>25</x:v>
      </x:c>
      <x:c r="K11" s="11" t="s">
        <x:v>26</x:v>
      </x:c>
      <x:c r="L11" s="12" t="str">
        <x:f xml:space="preserve">HYPERLINK("https://contractaciopublica.cat/ca/detall-publicacio/b4b1e482-3231-447a-a9a0-774e70b6a2b8/300661765","contractaciopublica.cat/ca/detall-publicacio/b4b1e482-3231-447a-a9a0-774e70b6a2b8/300661765")</x:f>
        <x:v>contractaciopublica.cat/ca/detall-publicacio/b4b1e482-3231-447a-a9a0-774e70b6a2b8/300661765</x:v>
      </x:c>
      <x:c r="M11" s="11" t="s">
        <x:v>27</x:v>
      </x:c>
      <x:c r="N11" s="13" t="s">
        <x:v>42</x:v>
      </x:c>
      <x:c r="O11" s="11" t="s">
        <x:v>85</x:v>
      </x:c>
      <x:c r="P11" s="11" t="s">
        <x:v>44</x:v>
      </x:c>
      <x:c r="Q11" s="14" t="str">
        <x:f xml:space="preserve">HYPERLINK("https://www.infonalia.es/licitaciones0126/2026002241.pdf","www.infonalia.es/licitaciones0126/2026002241.pdf")</x:f>
        <x:v>www.infonalia.es/licitaciones0126/2026002241.pdf</x:v>
      </x:c>
    </x:row>
    <x:row r="12">
      <x:c r="A12" s="6" t="s">
        <x:v>17</x:v>
      </x:c>
      <x:c r="B12" s="6" t="s">
        <x:v>18</x:v>
      </x:c>
      <x:c r="C12" s="7" t="s">
        <x:v>37</x:v>
      </x:c>
      <x:c r="D12" s="8" t="s">
        <x:v>86</x:v>
      </x:c>
      <x:c r="E12" s="9" t="s">
        <x:v>21</x:v>
      </x:c>
      <x:c r="F12" s="6" t="s">
        <x:v>87</x:v>
      </x:c>
      <x:c r="G12" s="6" t="s">
        <x:v>88</x:v>
      </x:c>
      <x:c r="H12" s="6" t="s">
        <x:v>89</x:v>
      </x:c>
      <x:c r="I12" s="10" t="n">
        <x:v>18176.50</x:v>
      </x:c>
      <x:c r="J12" s="11" t="s">
        <x:v>25</x:v>
      </x:c>
      <x:c r="K12" s="11" t="s">
        <x:v>26</x:v>
      </x:c>
      <x:c r="L12" s="12" t="str">
        <x:f xml:space="preserve">HYPERLINK("https://contrataciondelestado.es/wps/poc?uri=deeplink:detalle_licitacion&amp;idEvl=A5Min4R3mzk36J9Lctlsuw%3D%3D","contrataciondelestado.es/wps/poc?uri=deeplink:detalle_licitacion&amp;idEvl=A5Min4R3mzk36J9Lctlsuw%3D%3D")</x:f>
        <x:v>contrataciondelestado.es/wps/poc?uri=deeplink:detalle_licitacion&amp;idEvl=A5Min4R3mzk36J9Lctlsuw%3D%3D</x:v>
      </x:c>
      <x:c r="M12" s="11" t="s">
        <x:v>27</x:v>
      </x:c>
      <x:c r="N12" s="13" t="s">
        <x:v>42</x:v>
      </x:c>
      <x:c r="O12" s="11" t="s">
        <x:v>90</x:v>
      </x:c>
      <x:c r="P12" s="11" t="s">
        <x:v>30</x:v>
      </x:c>
      <x:c r="Q12" s="14" t="str">
        <x:f xml:space="preserve">HYPERLINK("https://www.infonalia.es/licitaciones0126/2026002290.pdf","www.infonalia.es/licitaciones0126/2026002290.pdf")</x:f>
        <x:v>www.infonalia.es/licitaciones0126/2026002290.pdf</x:v>
      </x:c>
    </x:row>
    <x:row r="13">
      <x:c r="A13" s="6" t="s">
        <x:v>17</x:v>
      </x:c>
      <x:c r="B13" s="6" t="s">
        <x:v>18</x:v>
      </x:c>
      <x:c r="C13" s="7" t="s">
        <x:v>37</x:v>
      </x:c>
      <x:c r="D13" s="8" t="s">
        <x:v>91</x:v>
      </x:c>
      <x:c r="E13" s="9" t="s">
        <x:v>21</x:v>
      </x:c>
      <x:c r="F13" s="6" t="s">
        <x:v>39</x:v>
      </x:c>
      <x:c r="G13" s="6" t="s">
        <x:v>92</x:v>
      </x:c>
      <x:c r="H13" s="6" t="s">
        <x:v>93</x:v>
      </x:c>
      <x:c r="I13" s="10" t="n">
        <x:v>23100.00</x:v>
      </x:c>
      <x:c r="J13" s="11" t="s">
        <x:v>25</x:v>
      </x:c>
      <x:c r="K13" s="11" t="s">
        <x:v>26</x:v>
      </x:c>
      <x:c r="L13" s="12" t="str">
        <x:f xml:space="preserve">HYPERLINK("https://contrataciondelestado.es/wps/poc?uri=deeplink:detalle_licitacion&amp;idEvl=Tfwsc3IFwO4l5NjlNci%2BtA%3D%3D","contrataciondelestado.es/wps/poc?uri=deeplink:detalle_licitacion&amp;idEvl=Tfwsc3IFwO4l5NjlNci%2BtA%3D%3D")</x:f>
        <x:v>contrataciondelestado.es/wps/poc?uri=deeplink:detalle_licitacion&amp;idEvl=Tfwsc3IFwO4l5NjlNci%2BtA%3D%3D</x:v>
      </x:c>
      <x:c r="M13" s="11" t="s">
        <x:v>27</x:v>
      </x:c>
      <x:c r="N13" s="13" t="s">
        <x:v>42</x:v>
      </x:c>
      <x:c r="O13" s="11" t="s">
        <x:v>94</x:v>
      </x:c>
      <x:c r="P13" s="11" t="s">
        <x:v>30</x:v>
      </x:c>
      <x:c r="Q13" s="14" t="str">
        <x:f xml:space="preserve">HYPERLINK("https://www.infonalia.es/licitaciones0126/2026002291.pdf","www.infonalia.es/licitaciones0126/2026002291.pdf")</x:f>
        <x:v>www.infonalia.es/licitaciones0126/2026002291.pdf</x:v>
      </x:c>
    </x:row>
    <x:row r="14">
      <x:c r="A14" s="6" t="s">
        <x:v>17</x:v>
      </x:c>
      <x:c r="B14" s="6" t="s">
        <x:v>95</x:v>
      </x:c>
      <x:c r="C14" s="7" t="s">
        <x:v>96</x:v>
      </x:c>
      <x:c r="D14" s="8" t="s">
        <x:v>97</x:v>
      </x:c>
      <x:c r="E14" s="9" t="s">
        <x:v>21</x:v>
      </x:c>
      <x:c r="F14" s="6" t="s">
        <x:v>98</x:v>
      </x:c>
      <x:c r="G14" s="6" t="s">
        <x:v>99</x:v>
      </x:c>
      <x:c r="H14" s="6" t="s">
        <x:v>100</x:v>
      </x:c>
      <x:c r="I14" s="10" t="n">
        <x:v>11227.10</x:v>
      </x:c>
      <x:c r="J14" s="11" t="s">
        <x:v>25</x:v>
      </x:c>
      <x:c r="K14" s="11" t="s">
        <x:v>101</x:v>
      </x:c>
      <x:c r="L14" s="12" t="str">
        <x:f xml:space="preserve">HYPERLINK("https://licitacions.bcn.cat/licitacion/licitaciones/detalle?id=14329068","licitacions.bcn.cat/licitacion/licitaciones/detalle?id=14329068")</x:f>
        <x:v>licitacions.bcn.cat/licitacion/licitaciones/detalle?id=14329068</x:v>
      </x:c>
      <x:c r="M14" s="11" t="s">
        <x:v>27</x:v>
      </x:c>
      <x:c r="N14" s="13" t="s">
        <x:v>42</x:v>
      </x:c>
      <x:c r="O14" s="11" t="s">
        <x:v>102</x:v>
      </x:c>
      <x:c r="P14" s="11" t="s">
        <x:v>44</x:v>
      </x:c>
      <x:c r="Q14" s="14" t="str">
        <x:f xml:space="preserve">HYPERLINK("https://www.infonalia.es/licitaciones0126/2026002312.pdf","www.infonalia.es/licitaciones0126/2026002312.pdf")</x:f>
        <x:v>www.infonalia.es/licitaciones0126/2026002312.pdf</x:v>
      </x:c>
    </x:row>
    <x:row r="15">
      <x:c r="A15" s="6" t="s">
        <x:v>17</x:v>
      </x:c>
      <x:c r="B15" s="6" t="s">
        <x:v>103</x:v>
      </x:c>
      <x:c r="C15" s="7" t="s">
        <x:v>104</x:v>
      </x:c>
      <x:c r="D15" s="8" t="s">
        <x:v>105</x:v>
      </x:c>
      <x:c r="E15" s="9" t="s">
        <x:v>21</x:v>
      </x:c>
      <x:c r="F15" s="6" t="s">
        <x:v>106</x:v>
      </x:c>
      <x:c r="G15" s="6" t="s">
        <x:v>107</x:v>
      </x:c>
      <x:c r="H15" s="6" t="s">
        <x:v>108</x:v>
      </x:c>
      <x:c r="I15" s="10" t="n">
        <x:v>14999.00</x:v>
      </x:c>
      <x:c r="J15" s="11" t="s">
        <x:v>109</x:v>
      </x:c>
      <x:c r="K15" s="11" t="s">
        <x:v>110</x:v>
      </x:c>
      <x:c r="L15" s="12" t="str">
        <x:f xml:space="preserve">HYPERLINK("https://contractaciopublica.cat/es/detall-publicacio/300661185","contractaciopublica.cat/es/detall-publicacio/300661185")</x:f>
        <x:v>contractaciopublica.cat/es/detall-publicacio/300661185</x:v>
      </x:c>
      <x:c r="M15" s="11" t="s">
        <x:v>27</x:v>
      </x:c>
      <x:c r="N15" s="13" t="s">
        <x:v>42</x:v>
      </x:c>
      <x:c r="O15" s="11" t="s">
        <x:v>111</x:v>
      </x:c>
      <x:c r="P15" s="11" t="s">
        <x:v>44</x:v>
      </x:c>
      <x:c r="Q15" s="14" t="str">
        <x:f xml:space="preserve">HYPERLINK("https://www.infonalia.es/licitaciones0126/2026002329.pdf","www.infonalia.es/licitaciones0126/2026002329.pdf")</x:f>
        <x:v>www.infonalia.es/licitaciones0126/2026002329.pdf</x:v>
      </x:c>
    </x:row>
    <x:row r="16">
      <x:c r="A16" s="6" t="s">
        <x:v>17</x:v>
      </x:c>
      <x:c r="B16" s="6" t="s">
        <x:v>18</x:v>
      </x:c>
      <x:c r="C16" s="7" t="s">
        <x:v>26</x:v>
      </x:c>
      <x:c r="D16" s="8" t="s">
        <x:v>112</x:v>
      </x:c>
      <x:c r="E16" s="9" t="s">
        <x:v>21</x:v>
      </x:c>
      <x:c r="F16" s="6" t="s">
        <x:v>113</x:v>
      </x:c>
      <x:c r="G16" s="6" t="s">
        <x:v>114</x:v>
      </x:c>
      <x:c r="H16" s="6" t="s">
        <x:v>115</x:v>
      </x:c>
      <x:c r="I16" s="10" t="n">
        <x:v>7438.02</x:v>
      </x:c>
      <x:c r="J16" s="11" t="s">
        <x:v>25</x:v>
      </x:c>
      <x:c r="K16" s="11" t="s">
        <x:v>116</x:v>
      </x:c>
      <x:c r="L16" s="12" t="str">
        <x:f xml:space="preserve">HYPERLINK("https://contrataciondelestado.es/wps/poc?uri=deeplink:detalle_licitacion&amp;idEvl=DG%2Fnpb1ec0aHCIsjvJ3rhQ%3D%3D","contrataciondelestado.es/wps/poc?uri=deeplink:detalle_licitacion&amp;idEvl=DG%2Fnpb1ec0aHCIsjvJ3rhQ%3D%3D")</x:f>
        <x:v>contrataciondelestado.es/wps/poc?uri=deeplink:detalle_licitacion&amp;idEvl=DG%2Fnpb1ec0aHCIsjvJ3rhQ%3D%3D</x:v>
      </x:c>
      <x:c r="M16" s="11" t="s">
        <x:v>27</x:v>
      </x:c>
      <x:c r="N16" s="13" t="s">
        <x:v>42</x:v>
      </x:c>
      <x:c r="O16" s="11" t="s">
        <x:v>117</x:v>
      </x:c>
      <x:c r="P16" s="11" t="s">
        <x:v>30</x:v>
      </x:c>
      <x:c r="Q16" s="14" t="str">
        <x:f xml:space="preserve">HYPERLINK("https://www.infonalia.es/licitaciones0126/2026002338.pdf","www.infonalia.es/licitaciones0126/2026002338.pdf")</x:f>
        <x:v>www.infonalia.es/licitaciones0126/2026002338.pdf</x:v>
      </x:c>
    </x:row>
    <x:row r="17">
      <x:c r="A17" s="6" t="s">
        <x:v>17</x:v>
      </x:c>
      <x:c r="B17" s="6" t="s">
        <x:v>18</x:v>
      </x:c>
      <x:c r="C17" s="7" t="s">
        <x:v>96</x:v>
      </x:c>
      <x:c r="D17" s="8" t="s">
        <x:v>118</x:v>
      </x:c>
      <x:c r="E17" s="9" t="s">
        <x:v>21</x:v>
      </x:c>
      <x:c r="F17" s="6" t="s">
        <x:v>113</x:v>
      </x:c>
      <x:c r="G17" s="6" t="s">
        <x:v>119</x:v>
      </x:c>
      <x:c r="H17" s="6" t="s">
        <x:v>120</x:v>
      </x:c>
      <x:c r="I17" s="10" t="n">
        <x:v>31157.55</x:v>
      </x:c>
      <x:c r="J17" s="11" t="s">
        <x:v>25</x:v>
      </x:c>
      <x:c r="K17" s="11" t="s">
        <x:v>26</x:v>
      </x:c>
      <x:c r="L17" s="12" t="str">
        <x:f xml:space="preserve">HYPERLINK("https://contrataciondelestado.es/wps/poc?uri=deeplink:detalle_licitacion&amp;idEvl=x1VbPWIddhbua%2Fi14w%2FPLA%3D%3D","contrataciondelestado.es/wps/poc?uri=deeplink:detalle_licitacion&amp;idEvl=x1VbPWIddhbua%2Fi14w%2FPLA%3D%3D")</x:f>
        <x:v>contrataciondelestado.es/wps/poc?uri=deeplink:detalle_licitacion&amp;idEvl=x1VbPWIddhbua%2Fi14w%2FPLA%3D%3D</x:v>
      </x:c>
      <x:c r="M17" s="11" t="s">
        <x:v>27</x:v>
      </x:c>
      <x:c r="N17" s="13" t="s">
        <x:v>21</x:v>
      </x:c>
      <x:c r="O17" s="11" t="s">
        <x:v>121</x:v>
      </x:c>
      <x:c r="P17" s="11" t="s">
        <x:v>30</x:v>
      </x:c>
      <x:c r="Q17" s="14" t="str">
        <x:f xml:space="preserve">HYPERLINK("https://www.infonalia.es/licitaciones0126/2026002359.pdf","www.infonalia.es/licitaciones0126/2026002359.pdf")</x:f>
        <x:v>www.infonalia.es/licitaciones0126/2026002359.pdf</x:v>
      </x:c>
    </x:row>
    <x:row r="18">
      <x:c r="A18" s="6" t="s">
        <x:v>17</x:v>
      </x:c>
      <x:c r="B18" s="6" t="s">
        <x:v>122</x:v>
      </x:c>
      <x:c r="C18" s="7" t="s">
        <x:v>96</x:v>
      </x:c>
      <x:c r="D18" s="8" t="s">
        <x:v>123</x:v>
      </x:c>
      <x:c r="E18" s="9" t="s">
        <x:v>21</x:v>
      </x:c>
      <x:c r="F18" s="6" t="s">
        <x:v>124</x:v>
      </x:c>
      <x:c r="G18" s="6" t="s">
        <x:v>125</x:v>
      </x:c>
      <x:c r="H18" s="6" t="s">
        <x:v>116</x:v>
      </x:c>
      <x:c r="I18" s="10"/>
      <x:c r="J18" s="11" t="s">
        <x:v>116</x:v>
      </x:c>
      <x:c r="K18" s="11" t="s">
        <x:v>126</x:v>
      </x:c>
      <x:c r="L18" s="12" t="str">
        <x:f xml:space="preserve">HYPERLINK("https://","")</x:f>
        <x:v/>
      </x:c>
      <x:c r="M18" s="11" t="s">
        <x:v>127</x:v>
      </x:c>
      <x:c r="N18" s="13" t="s">
        <x:v>21</x:v>
      </x:c>
      <x:c r="O18" s="11" t="s">
        <x:v>128</x:v>
      </x:c>
      <x:c r="P18" s="11" t="s">
        <x:v>30</x:v>
      </x:c>
      <x:c r="Q18" s="14" t="str">
        <x:f xml:space="preserve">HYPERLINK("https://www.infonalia.es/licitaciones0126/2026002448.pdf","www.infonalia.es/licitaciones0126/2026002448.pdf")</x:f>
        <x:v>www.infonalia.es/licitaciones0126/2026002448.pdf</x:v>
      </x:c>
    </x:row>
    <x:row r="19">
      <x:c r="A19" s="6" t="s">
        <x:v>17</x:v>
      </x:c>
      <x:c r="B19" s="6" t="s">
        <x:v>122</x:v>
      </x:c>
      <x:c r="C19" s="7" t="s">
        <x:v>96</x:v>
      </x:c>
      <x:c r="D19" s="8" t="s">
        <x:v>129</x:v>
      </x:c>
      <x:c r="E19" s="9" t="s">
        <x:v>21</x:v>
      </x:c>
      <x:c r="F19" s="6" t="s">
        <x:v>124</x:v>
      </x:c>
      <x:c r="G19" s="6" t="s">
        <x:v>130</x:v>
      </x:c>
      <x:c r="H19" s="6" t="s">
        <x:v>116</x:v>
      </x:c>
      <x:c r="I19" s="10"/>
      <x:c r="J19" s="11" t="s">
        <x:v>116</x:v>
      </x:c>
      <x:c r="K19" s="11" t="s">
        <x:v>131</x:v>
      </x:c>
      <x:c r="L19" s="12" t="str">
        <x:f xml:space="preserve">HYPERLINK("https://","")</x:f>
        <x:v/>
      </x:c>
      <x:c r="M19" s="11" t="s">
        <x:v>127</x:v>
      </x:c>
      <x:c r="N19" s="13" t="s">
        <x:v>21</x:v>
      </x:c>
      <x:c r="O19" s="11" t="s">
        <x:v>132</x:v>
      </x:c>
      <x:c r="P19" s="11" t="s">
        <x:v>30</x:v>
      </x:c>
      <x:c r="Q19" s="14" t="str">
        <x:f xml:space="preserve">HYPERLINK("https://www.infonalia.es/licitaciones0126/2026002449.pdf","www.infonalia.es/licitaciones0126/2026002449.pdf")</x:f>
        <x:v>www.infonalia.es/licitaciones0126/2026002449.pdf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