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<x:sst xmlns:x="http://schemas.openxmlformats.org/spreadsheetml/2006/main" count="11" uniqueCount="11">
  <x:si>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</x:si>
  <x:si>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</x:si>
  <x:si>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</x:si>
  <x:si>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</x:si>
  <x:si>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</x:si>
  <x:si>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</x:si>
  <x:si>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</x:si>
  <x:si>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</x:si>
  <x:si>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</x:si>
  <x:si>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</x:si>
  <x:si>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</x:si>
  <x:si>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</x:si>
  <x:si>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EN ANTENA PRODUCCIONS, SL</x:t>
  </x:si>
  <x:si>
    <x:t>16/12/2025 0:00:00</x:t>
  </x:si>
  <x:si>
    <x:t>25252138</x:t>
  </x:si>
  <x:si>
    <x:t>AYUNTAMIENTO DE ABRERA (BARCELONA)</x:t>
  </x:si>
  <x:si>
    <x:t>Servicios de streaming, podcast y copia legal de las emisiones de Radio Abrera</x:t>
  </x:si>
  <x:si>
    <x:t>5791/2025</x:t>
  </x:si>
  <x:si>
    <x:t>Barcelona</x:t>
  </x:si>
  <x:si>
    <x:t>ODD SPACES, S.L.</x:t>
  </x:si>
  <x:si>
    <x:t>25252152</x:t>
  </x:si>
  <x:si>
    <x:t>AGÈNCIA PER A LA COMPETITIVITAT DE L'EMPRESA, ACCIÓ</x:t>
  </x:si>
  <x:si>
    <x:t>El objeto del contrato consiste en los servicios de diseño, construcción, montaje, desmontaje y supervisión del stand de la Generalitat de Catalunya en el Integrated Systems Europe 2026, en adelante ISE 2026, que se celebrará en la Feria de Barcelona del 3 al 6 de febrero de 2026.</x:t>
  </x:si>
  <x:si>
    <x:t>ACCIO-2026-8</x:t>
  </x:si>
  <x:si>
    <x:t>MAHALA COMUNICACION Y RELACIONES PUBLICAS SL</x:t>
  </x:si>
  <x:si>
    <x:t>25252154</x:t>
  </x:si>
  <x:si>
    <x:t>GENERALITAT DE CATALUNYA. DEPARTAMENTO DE EMPRESA Y TRABAJO</x:t>
  </x:si>
  <x:si>
    <x:t>El objeto del presente contrato es la contratación de los servicios necesarios para la organización y gestión de cuatro encuentros sectoriales de networking, entre el sector productor y el sector comprador hotelero, para la promoción y comercialización de productos de la tierra, del ACD "Catalunya, Terra de Sabors".</x:t>
  </x:si>
  <x:si>
    <x:t>EMO-2026-8</x:t>
  </x:si>
  <x:si>
    <x:t>Catalunya</x:t>
  </x:si>
  <x:si>
    <x:t>SOLISYON CONSULTORES, S.L</x:t>
  </x:si>
  <x:si>
    <x:t>25252460</x:t>
  </x:si>
  <x:si>
    <x:t>CONSEJO RECTOR DEL INSTITUTO MUNICIPAL DE TURISMO DE CÓRDOBA (IMTUR)</x:t>
  </x:si>
  <x:si>
    <x:t>Servicio de dinamización del stand de la ciudad de Córdoba en la edición de 2026 de la Feria Internacional de Turismo (FITUR).</x:t>
  </x:si>
  <x:si>
    <x:t>IMT CTO 025-2025</x:t>
  </x:si>
  <x:si>
    <x:t>Córdoba</x:t>
  </x:si>
  <x:si>
    <x:t>ÁNGEL BONIFACIO MARTÍNEZ RODRÍGUEZ</x:t>
  </x:si>
  <x:si>
    <x:t>25252484</x:t>
  </x:si>
  <x:si>
    <x:t>MINISTERIO DE LA PRESIDENCIA, JUSTICIA Y RELACIONES CON LAS CORTES. DIRECCIÓN ADJUNTA DE MEDIOS PERSONALES Y MATERIALES DE LA ABOGACÍA GENERAL DEL ESTADO</x:t>
  </x:si>
  <x:si>
    <x:t>Servicio de producción cinematográfica de cuatro piezas audiovisuales.</x:t>
  </x:si>
  <x:si>
    <x:t>VÍDEOS - AGE/2025/012</x:t>
  </x:si>
  <x:si>
    <x:t>Madrid</x:t>
  </x:si>
  <x:si>
    <x:t>LAVOLA 1981 SAU</x:t>
  </x:si>
  <x:si>
    <x:t>25252529</x:t>
  </x:si>
  <x:si>
    <x:t>AYUNTAMIENTO DE BARCELONA</x:t>
  </x:si>
  <x:si>
    <x:t>Contratación de una Secretaría técnica que apoye el establecimiento de alianzas estratégicas con agentes clave para trabajar de forma colaborativa retos derivados de la emergencia climática y de la participación de la ciudad en la misión europea NZC</x:t>
  </x:si>
  <x:si>
    <x:t>001_25001310</x:t>
  </x:si>
  <x:si>
    <x:t>TULOC PARTNERS SL</x:t>
  </x:si>
  <x:si>
    <x:t>25252532</x:t>
  </x:si>
  <x:si>
    <x:t>AYUNTAMIENTO DE TREMP (LLEIDA)</x:t>
  </x:si>
  <x:si>
    <x:t>Servicio de consultoría y asistencia técnica para la diagnosis y la identificación del potencial de desarrollo de las zonas de actividad económica del Pallars Jussà.</x:t>
  </x:si>
  <x:si>
    <x:t>X2025002868</x:t>
  </x:si>
  <x:si>
    <x:t>Lleida</x:t>
  </x:si>
  <x:si>
    <x:t>CROQUIS, DISSENYS, MUNTATGES I REALITZACIONS S.A</x:t>
  </x:si>
  <x:si>
    <x:t>25252538</x:t>
  </x:si>
  <x:si>
    <x:t>CONSORCI MUSEU NACIONAL DE ART DE CATALUNYA</x:t>
  </x:si>
  <x:si>
    <x:t>Diseño, suministro, montaje e instalación de la museografía, e instalación de las obras para distintos proyectos museográficos, con medidas de contratación pública social y ambiental.</x:t>
  </x:si>
  <x:si>
    <x:t>D154-2026-1</x:t>
  </x:si>
  <x:si>
    <x:t>Formalizado</x:t>
  </x:si>
  <x:si>
    <x:t>LOTE 2 INFOBIBLIOTECAS S.L.</x:t>
  </x:si>
  <x:si>
    <x:t>25252706</x:t>
  </x:si>
  <x:si>
    <x:t>AYUNTAMIENTO DE GRANOLLERS (BARCELONA)</x:t>
  </x:si>
  <x:si>
    <x:t>Suministro de fondos documentales para la red urbana de bibliotecas de Granollers. • LOTE 1: Fondo de libros • LOTE 2: Fondo audiovisual • LOTE 3: Juegos de mesa</x:t>
  </x:si>
  <x:si>
    <x:t>2025/037 (45/2025/CONT)</x:t>
  </x:si>
  <x:si>
    <x:t>IBERSTAND S.L</x:t>
  </x:si>
  <x:si>
    <x:t>25252824</x:t>
  </x:si>
  <x:si>
    <x:t>COMUNIDAD DE MADRID. CONSEJERÍA DE CULTURA, TURISMO Y DEPORTE</x:t>
  </x:si>
  <x:si>
    <x:t>Servicio consistente en el diseño, montaje, acondicionamiento y desmontaje del Pabellón de la Comunidad de Madrid en la Feria del Libro de Madrid 2026</x:t>
  </x:si>
  <x:si>
    <x:t>C-332B/010-25 (A/SER-027989/2025)</x:t>
  </x:si>
  <x:si>
    <x:t>LOTE 2 VISUAL IT NETWORKS S.L; </x:t>
  </x:si>
  <x:si>
    <x:t>25252858</x:t>
  </x:si>
  <x:si>
    <x:t>PRESIDENCIA DE LA ASOCIACIÓN DESARROLLO RURAL MONTAÑA CENTRAL DE ASTURIAS</x:t>
  </x:si>
  <x:si>
    <x:t>Es objeto del presente contrato los servicios especializados para el desarrollo de dos actuaciones diferenciadas en el marco del Plan de Sostenibilidad Turística en Destino (PSTD) de la Montaña Central de Asturias, financiado con fondos de la Unión Europea Next Generation-EU: servicios de la oficina virtual de turismo (lote 1) y del plan de marketing digital (lote 2)</x:t>
  </x:si>
  <x:si>
    <x:t>4/2025</x:t>
  </x:si>
  <x:si>
    <x:t>Asturias</x:t>
  </x:si>
  <x:si>
    <x:t>FIRA INTERNACIONAL DE BARCELONA</x:t>
  </x:si>
  <x:si>
    <x:t>25252964</x:t>
  </x:si>
  <x:si>
    <x:t>DIPUTACIÓN DE BARCELONA</x:t>
  </x:si>
  <x:si>
    <x:t>Alquiler de los espacios y derechos de participación para la presencia institucional de la Diputación de Barcelona en el Salón de la Enseñanza 2026</x:t>
  </x:si>
  <x:si>
    <x:t>2025/0034713</x:t>
  </x:si>
  <x:si>
    <x:t>Desierto</x:t>
  </x:si>
  <x:si>
    <x:t>DESIERTO</x:t>
  </x:si>
  <x:si>
    <x:t>25253099</x:t>
  </x:si>
  <x:si>
    <x:t>MINISTERIO DE DEFENSA. JEFATURA DE ASUNTOS ECONÓMICOS DEL ESTADO MAYOR DEL EJÉRCITO</x:t>
  </x:si>
  <x:si>
    <x:t>Servicios de redacción, edición, impresión, ensobrado, empaquetado, etiquetado, franqueo y distribución del Boletín Informativo “Tierra” y la maquetación y edición del Digital Tierra; así como la redacción, edición y carga de noticias en la web del ejército.</x:t>
  </x:si>
  <x:si>
    <x:t>2025/ETSAE0902/00000850E</x:t>
  </x:si>
  <x:si>
    <x:t>Ver detalle de la adjudicación</x:t>
  </x:si>
  <x:si>
    <x:t>IMPULSA ASESORÍA CONSULTORÍA Y FORMACIÓN S.L.</x:t>
  </x:si>
  <x:si>
    <x:t>25253326</x:t>
  </x:si>
  <x:si>
    <x:t>MINISTERIO DE DEFENSA. JEFATURA DE LA SECCIÓN ECONÓMICO ADMINISTRATIVA 15 AGRUPACIÓN DEL CUARTEL GENERAL DEL EJÉRCITO DEL AIRE</x:t>
  </x:si>
  <x:si>
    <x:t>Contratación de un servicio de Asistencia Técnica para la realización de labores de apoyo a la comunicación</x:t>
  </x:si>
  <x:si>
    <x:t>2025/3608</x:t>
  </x:si>
  <x:si>
    <x:t>INDRA SISTEMAS, S.A.</x:t>
  </x:si>
  <x:si>
    <x:t>25253327</x:t>
  </x:si>
  <x:si>
    <x:t>Contratación de una asistencia técnica para la actualización y mantenimiento de los medios de comunicación del Ejército del Aire y del Espacio</x:t>
  </x:si>
  <x:si>
    <x:t>2025/3604</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</x:si>
</x:sst>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HYPERLINK("https://www.infonalia.es/adjudicaciones1225/25252138.pdf","www.infonalia.es/adjudicaciones1225/25252138.pdf")</x:f>
        <x:v>www.infonalia.es/adjudicaciones1225/25252138.pdf</x:v>
      </x:c>
      <x:c r="E2" s="8" t="s">
        <x:v>14</x:v>
      </x:c>
      <x:c r="F2" s="6" t="s">
        <x:v>15</x:v>
      </x:c>
      <x:c r="G2" s="6" t="s">
        <x:v>16</x:v>
      </x:c>
      <x:c r="H2" s="6" t="s">
        <x:v>17</x:v>
      </x:c>
      <x:c r="I2" s="6" t="s">
        <x:v>18</x:v>
      </x:c>
      <x:c r="J2" s="9" t="n">
        <x:v>5832.00</x:v>
      </x:c>
      <x:c r="K2" s="9" t="n">
        <x:v>6611.57</x:v>
      </x:c>
    </x:row>
    <x:row r="3">
      <x:c r="A3" s="6" t="s">
        <x:v>11</x:v>
      </x:c>
      <x:c r="B3" s="6" t="s">
        <x:v>19</x:v>
      </x:c>
      <x:c r="C3" s="6" t="s">
        <x:v>13</x:v>
      </x:c>
      <x:c r="D3" s="7" t="str">
        <x:f xml:space="preserve">HYPERLINK("https://www.infonalia.es/adjudicaciones1225/25252152.pdf","www.infonalia.es/adjudicaciones1225/25252152.pdf")</x:f>
        <x:v>www.infonalia.es/adjudicaciones1225/25252152.pdf</x:v>
      </x:c>
      <x:c r="E3" s="8" t="s">
        <x:v>20</x:v>
      </x:c>
      <x:c r="F3" s="6" t="s">
        <x:v>21</x:v>
      </x:c>
      <x:c r="G3" s="6" t="s">
        <x:v>22</x:v>
      </x:c>
      <x:c r="H3" s="6" t="s">
        <x:v>23</x:v>
      </x:c>
      <x:c r="I3" s="6" t="s">
        <x:v>18</x:v>
      </x:c>
      <x:c r="J3" s="9" t="n">
        <x:v>355000.00</x:v>
      </x:c>
      <x:c r="K3" s="9" t="n">
        <x:v>370000.00</x:v>
      </x:c>
    </x:row>
    <x:row r="4">
      <x:c r="A4" s="6" t="s">
        <x:v>11</x:v>
      </x:c>
      <x:c r="B4" s="6" t="s">
        <x:v>24</x:v>
      </x:c>
      <x:c r="C4" s="6" t="s">
        <x:v>13</x:v>
      </x:c>
      <x:c r="D4" s="7" t="str">
        <x:f xml:space="preserve">HYPERLINK("https://www.infonalia.es/adjudicaciones1225/25252154.pdf","www.infonalia.es/adjudicaciones1225/25252154.pdf")</x:f>
        <x:v>www.infonalia.es/adjudicaciones1225/25252154.pdf</x:v>
      </x:c>
      <x:c r="E4" s="8" t="s">
        <x:v>25</x:v>
      </x:c>
      <x:c r="F4" s="6" t="s">
        <x:v>26</x:v>
      </x:c>
      <x:c r="G4" s="6" t="s">
        <x:v>27</x:v>
      </x:c>
      <x:c r="H4" s="6" t="s">
        <x:v>28</x:v>
      </x:c>
      <x:c r="I4" s="6" t="s">
        <x:v>29</x:v>
      </x:c>
      <x:c r="J4" s="9" t="n">
        <x:v>44660.00</x:v>
      </x:c>
      <x:c r="K4" s="9" t="n">
        <x:v>47403.65</x:v>
      </x:c>
    </x:row>
    <x:row r="5">
      <x:c r="A5" s="6" t="s">
        <x:v>11</x:v>
      </x:c>
      <x:c r="B5" s="6" t="s">
        <x:v>30</x:v>
      </x:c>
      <x:c r="C5" s="6" t="s">
        <x:v>13</x:v>
      </x:c>
      <x:c r="D5" s="7" t="str">
        <x:f xml:space="preserve">HYPERLINK("https://www.infonalia.es/adjudicaciones1225/25252460.pdf","www.infonalia.es/adjudicaciones1225/25252460.pdf")</x:f>
        <x:v>www.infonalia.es/adjudicaciones1225/25252460.pdf</x:v>
      </x:c>
      <x:c r="E5" s="8" t="s">
        <x:v>31</x:v>
      </x:c>
      <x:c r="F5" s="6" t="s">
        <x:v>32</x:v>
      </x:c>
      <x:c r="G5" s="6" t="s">
        <x:v>33</x:v>
      </x:c>
      <x:c r="H5" s="6" t="s">
        <x:v>34</x:v>
      </x:c>
      <x:c r="I5" s="6" t="s">
        <x:v>35</x:v>
      </x:c>
      <x:c r="J5" s="9" t="n">
        <x:v>27600.00</x:v>
      </x:c>
      <x:c r="K5" s="9" t="n">
        <x:v>30000.00</x:v>
      </x:c>
    </x:row>
    <x:row r="6">
      <x:c r="A6" s="6" t="s">
        <x:v>11</x:v>
      </x:c>
      <x:c r="B6" s="6" t="s">
        <x:v>36</x:v>
      </x:c>
      <x:c r="C6" s="6" t="s">
        <x:v>13</x:v>
      </x:c>
      <x:c r="D6" s="7" t="str">
        <x:f xml:space="preserve">HYPERLINK("https://www.infonalia.es/adjudicaciones1225/25252484.pdf","www.infonalia.es/adjudicaciones1225/25252484.pdf")</x:f>
        <x:v>www.infonalia.es/adjudicaciones1225/25252484.pdf</x:v>
      </x:c>
      <x:c r="E6" s="8" t="s">
        <x:v>37</x:v>
      </x:c>
      <x:c r="F6" s="6" t="s">
        <x:v>38</x:v>
      </x:c>
      <x:c r="G6" s="6" t="s">
        <x:v>39</x:v>
      </x:c>
      <x:c r="H6" s="6" t="s">
        <x:v>40</x:v>
      </x:c>
      <x:c r="I6" s="6" t="s">
        <x:v>41</x:v>
      </x:c>
      <x:c r="J6" s="9" t="n">
        <x:v>11200.00</x:v>
      </x:c>
      <x:c r="K6" s="9" t="n">
        <x:v>32000.00</x:v>
      </x:c>
    </x:row>
    <x:row r="7">
      <x:c r="A7" s="6" t="s">
        <x:v>11</x:v>
      </x:c>
      <x:c r="B7" s="6" t="s">
        <x:v>42</x:v>
      </x:c>
      <x:c r="C7" s="6" t="s">
        <x:v>13</x:v>
      </x:c>
      <x:c r="D7" s="7" t="str">
        <x:f xml:space="preserve">HYPERLINK("https://www.infonalia.es/adjudicaciones1225/25252529.pdf","www.infonalia.es/adjudicaciones1225/25252529.pdf")</x:f>
        <x:v>www.infonalia.es/adjudicaciones1225/25252529.pdf</x:v>
      </x:c>
      <x:c r="E7" s="8" t="s">
        <x:v>43</x:v>
      </x:c>
      <x:c r="F7" s="6" t="s">
        <x:v>44</x:v>
      </x:c>
      <x:c r="G7" s="6" t="s">
        <x:v>45</x:v>
      </x:c>
      <x:c r="H7" s="6" t="s">
        <x:v>46</x:v>
      </x:c>
      <x:c r="I7" s="6" t="s">
        <x:v>18</x:v>
      </x:c>
      <x:c r="J7" s="9" t="n">
        <x:v>92795.00</x:v>
      </x:c>
      <x:c r="K7" s="9" t="n">
        <x:v>123953.97</x:v>
      </x:c>
    </x:row>
    <x:row r="8">
      <x:c r="A8" s="6" t="s">
        <x:v>11</x:v>
      </x:c>
      <x:c r="B8" s="6" t="s">
        <x:v>47</x:v>
      </x:c>
      <x:c r="C8" s="6" t="s">
        <x:v>13</x:v>
      </x:c>
      <x:c r="D8" s="7" t="str">
        <x:f xml:space="preserve">HYPERLINK("https://www.infonalia.es/adjudicaciones1225/25252532.pdf","www.infonalia.es/adjudicaciones1225/25252532.pdf")</x:f>
        <x:v>www.infonalia.es/adjudicaciones1225/25252532.pdf</x:v>
      </x:c>
      <x:c r="E8" s="8" t="s">
        <x:v>48</x:v>
      </x:c>
      <x:c r="F8" s="6" t="s">
        <x:v>49</x:v>
      </x:c>
      <x:c r="G8" s="6" t="s">
        <x:v>50</x:v>
      </x:c>
      <x:c r="H8" s="6" t="s">
        <x:v>51</x:v>
      </x:c>
      <x:c r="I8" s="6" t="s">
        <x:v>52</x:v>
      </x:c>
      <x:c r="J8" s="9" t="n">
        <x:v>22800.00</x:v>
      </x:c>
      <x:c r="K8" s="9" t="n">
        <x:v>23200.00</x:v>
      </x:c>
    </x:row>
    <x:row r="9">
      <x:c r="A9" s="6" t="s">
        <x:v>11</x:v>
      </x:c>
      <x:c r="B9" s="6" t="s">
        <x:v>53</x:v>
      </x:c>
      <x:c r="C9" s="6" t="s">
        <x:v>13</x:v>
      </x:c>
      <x:c r="D9" s="7" t="str">
        <x:f xml:space="preserve">HYPERLINK("https://www.infonalia.es/adjudicaciones1225/25252538.pdf","www.infonalia.es/adjudicaciones1225/25252538.pdf")</x:f>
        <x:v>www.infonalia.es/adjudicaciones1225/25252538.pdf</x:v>
      </x:c>
      <x:c r="E9" s="8" t="s">
        <x:v>54</x:v>
      </x:c>
      <x:c r="F9" s="6" t="s">
        <x:v>55</x:v>
      </x:c>
      <x:c r="G9" s="6" t="s">
        <x:v>56</x:v>
      </x:c>
      <x:c r="H9" s="6" t="s">
        <x:v>57</x:v>
      </x:c>
      <x:c r="I9" s="6" t="s">
        <x:v>18</x:v>
      </x:c>
      <x:c r="J9" s="9" t="n">
        <x:v>68413.10</x:v>
      </x:c>
      <x:c r="K9" s="9" t="n">
        <x:v>77945.00</x:v>
      </x:c>
    </x:row>
    <x:row r="10">
      <x:c r="A10" s="6" t="s">
        <x:v>58</x:v>
      </x:c>
      <x:c r="B10" s="6" t="s">
        <x:v>59</x:v>
      </x:c>
      <x:c r="C10" s="6" t="s">
        <x:v>13</x:v>
      </x:c>
      <x:c r="D10" s="7" t="str">
        <x:f xml:space="preserve">HYPERLINK("https://www.infonalia.es/adjudicaciones1225/25252706.pdf","www.infonalia.es/adjudicaciones1225/25252706.pdf")</x:f>
        <x:v>www.infonalia.es/adjudicaciones1225/25252706.pdf</x:v>
      </x:c>
      <x:c r="E10" s="8" t="s">
        <x:v>60</x:v>
      </x:c>
      <x:c r="F10" s="6" t="s">
        <x:v>61</x:v>
      </x:c>
      <x:c r="G10" s="6" t="s">
        <x:v>62</x:v>
      </x:c>
      <x:c r="H10" s="6" t="s">
        <x:v>63</x:v>
      </x:c>
      <x:c r="I10" s="6" t="s">
        <x:v>18</x:v>
      </x:c>
      <x:c r="J10" s="9" t="n">
        <x:v>4132.24</x:v>
      </x:c>
      <x:c r="K10" s="9" t="n">
        <x:v>69802.93</x:v>
      </x:c>
    </x:row>
    <x:row r="11">
      <x:c r="A11" s="6" t="s">
        <x:v>11</x:v>
      </x:c>
      <x:c r="B11" s="6" t="s">
        <x:v>64</x:v>
      </x:c>
      <x:c r="C11" s="6" t="s">
        <x:v>13</x:v>
      </x:c>
      <x:c r="D11" s="7" t="str">
        <x:f xml:space="preserve">HYPERLINK("https://www.infonalia.es/adjudicaciones1225/25252824.pdf","www.infonalia.es/adjudicaciones1225/25252824.pdf")</x:f>
        <x:v>www.infonalia.es/adjudicaciones1225/25252824.pdf</x:v>
      </x:c>
      <x:c r="E11" s="8" t="s">
        <x:v>65</x:v>
      </x:c>
      <x:c r="F11" s="6" t="s">
        <x:v>66</x:v>
      </x:c>
      <x:c r="G11" s="6" t="s">
        <x:v>67</x:v>
      </x:c>
      <x:c r="H11" s="6" t="s">
        <x:v>68</x:v>
      </x:c>
      <x:c r="I11" s="6" t="s">
        <x:v>41</x:v>
      </x:c>
      <x:c r="J11" s="9" t="n">
        <x:v>147000.00</x:v>
      </x:c>
      <x:c r="K11" s="9" t="n">
        <x:v>151822.00</x:v>
      </x:c>
    </x:row>
    <x:row r="12">
      <x:c r="A12" s="6" t="s">
        <x:v>11</x:v>
      </x:c>
      <x:c r="B12" s="6" t="s">
        <x:v>69</x:v>
      </x:c>
      <x:c r="C12" s="6" t="s">
        <x:v>13</x:v>
      </x:c>
      <x:c r="D12" s="7" t="str">
        <x:f xml:space="preserve">HYPERLINK("https://www.infonalia.es/adjudicaciones1225/25252858.pdf","www.infonalia.es/adjudicaciones1225/25252858.pdf")</x:f>
        <x:v>www.infonalia.es/adjudicaciones1225/25252858.pdf</x:v>
      </x:c>
      <x:c r="E12" s="8" t="s">
        <x:v>70</x:v>
      </x:c>
      <x:c r="F12" s="6" t="s">
        <x:v>71</x:v>
      </x:c>
      <x:c r="G12" s="6" t="s">
        <x:v>72</x:v>
      </x:c>
      <x:c r="H12" s="6" t="s">
        <x:v>73</x:v>
      </x:c>
      <x:c r="I12" s="6" t="s">
        <x:v>74</x:v>
      </x:c>
      <x:c r="J12" s="9" t="n">
        <x:v>47000.00</x:v>
      </x:c>
      <x:c r="K12" s="9" t="n">
        <x:v>50138.00</x:v>
      </x:c>
    </x:row>
    <x:row r="13">
      <x:c r="A13" s="6" t="s">
        <x:v>11</x:v>
      </x:c>
      <x:c r="B13" s="6" t="s">
        <x:v>75</x:v>
      </x:c>
      <x:c r="C13" s="6" t="s">
        <x:v>13</x:v>
      </x:c>
      <x:c r="D13" s="7" t="str">
        <x:f xml:space="preserve">HYPERLINK("https://www.infonalia.es/adjudicaciones1225/25252964.pdf","www.infonalia.es/adjudicaciones1225/25252964.pdf")</x:f>
        <x:v>www.infonalia.es/adjudicaciones1225/25252964.pdf</x:v>
      </x:c>
      <x:c r="E13" s="8" t="s">
        <x:v>76</x:v>
      </x:c>
      <x:c r="F13" s="6" t="s">
        <x:v>77</x:v>
      </x:c>
      <x:c r="G13" s="6" t="s">
        <x:v>78</x:v>
      </x:c>
      <x:c r="H13" s="6" t="s">
        <x:v>79</x:v>
      </x:c>
      <x:c r="I13" s="6" t="s">
        <x:v>18</x:v>
      </x:c>
      <x:c r="J13" s="9" t="n">
        <x:v>30148.00</x:v>
      </x:c>
      <x:c r="K13" s="9" t="n">
        <x:v>30148.00</x:v>
      </x:c>
    </x:row>
    <x:row r="14">
      <x:c r="A14" s="6" t="s">
        <x:v>80</x:v>
      </x:c>
      <x:c r="B14" s="6" t="s">
        <x:v>81</x:v>
      </x:c>
      <x:c r="C14" s="6" t="s">
        <x:v>13</x:v>
      </x:c>
      <x:c r="D14" s="7" t="str">
        <x:f xml:space="preserve">HYPERLINK("https://www.infonalia.es/adjudicaciones1225/25253099.pdf","www.infonalia.es/adjudicaciones1225/25253099.pdf")</x:f>
        <x:v>www.infonalia.es/adjudicaciones1225/25253099.pdf</x:v>
      </x:c>
      <x:c r="E14" s="8" t="s">
        <x:v>82</x:v>
      </x:c>
      <x:c r="F14" s="6" t="s">
        <x:v>83</x:v>
      </x:c>
      <x:c r="G14" s="6" t="s">
        <x:v>84</x:v>
      </x:c>
      <x:c r="H14" s="6" t="s">
        <x:v>85</x:v>
      </x:c>
      <x:c r="I14" s="6" t="s">
        <x:v>41</x:v>
      </x:c>
      <x:c r="J14" s="9" t="s">
        <x:v>86</x:v>
      </x:c>
      <x:c r="K14" s="9" t="n">
        <x:v>123966.94</x:v>
      </x:c>
    </x:row>
    <x:row r="15">
      <x:c r="A15" s="6" t="s">
        <x:v>11</x:v>
      </x:c>
      <x:c r="B15" s="6" t="s">
        <x:v>87</x:v>
      </x:c>
      <x:c r="C15" s="6" t="s">
        <x:v>13</x:v>
      </x:c>
      <x:c r="D15" s="7" t="str">
        <x:f xml:space="preserve">HYPERLINK("https://www.infonalia.es/adjudicaciones1225/25253326.pdf","www.infonalia.es/adjudicaciones1225/25253326.pdf")</x:f>
        <x:v>www.infonalia.es/adjudicaciones1225/25253326.pdf</x:v>
      </x:c>
      <x:c r="E15" s="8" t="s">
        <x:v>88</x:v>
      </x:c>
      <x:c r="F15" s="6" t="s">
        <x:v>89</x:v>
      </x:c>
      <x:c r="G15" s="6" t="s">
        <x:v>90</x:v>
      </x:c>
      <x:c r="H15" s="6" t="s">
        <x:v>91</x:v>
      </x:c>
      <x:c r="I15" s="6" t="s">
        <x:v>41</x:v>
      </x:c>
      <x:c r="J15" s="9" t="n">
        <x:v>20249.00</x:v>
      </x:c>
      <x:c r="K15" s="9" t="n">
        <x:v>20451.66</x:v>
      </x:c>
    </x:row>
    <x:row r="16">
      <x:c r="A16" s="6" t="s">
        <x:v>11</x:v>
      </x:c>
      <x:c r="B16" s="6" t="s">
        <x:v>92</x:v>
      </x:c>
      <x:c r="C16" s="6" t="s">
        <x:v>13</x:v>
      </x:c>
      <x:c r="D16" s="7" t="str">
        <x:f xml:space="preserve">HYPERLINK("https://www.infonalia.es/adjudicaciones1225/25253327.pdf","www.infonalia.es/adjudicaciones1225/25253327.pdf")</x:f>
        <x:v>www.infonalia.es/adjudicaciones1225/25253327.pdf</x:v>
      </x:c>
      <x:c r="E16" s="8" t="s">
        <x:v>93</x:v>
      </x:c>
      <x:c r="F16" s="6" t="s">
        <x:v>89</x:v>
      </x:c>
      <x:c r="G16" s="6" t="s">
        <x:v>94</x:v>
      </x:c>
      <x:c r="H16" s="6" t="s">
        <x:v>95</x:v>
      </x:c>
      <x:c r="I16" s="6" t="s">
        <x:v>41</x:v>
      </x:c>
      <x:c r="J16" s="9" t="s">
        <x:v>86</x:v>
      </x:c>
      <x:c r="K16" s="9" t="n">
        <x:v>35252.40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