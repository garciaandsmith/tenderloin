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<x:sst xmlns:x="http://schemas.openxmlformats.org/spreadsheetml/2006/main" count="17" uniqueCount="17">
  <x:si>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</x:si>
  <x:si>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</x:si>
  <x:si>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</x:si>
  <x:si>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</x:si>
  <x:si>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</x:si>
  <x:si>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</x:si>
  <x:si>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</x:si>
  <x:si>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</x:si>
  <x:si>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</x:si>
  <x:si>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</x:si>
  <x:si>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</x:si>
  <x:si>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</x:si>
  <x:si>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</x:si>
  <x:si>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</x:si>
  <x:si>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</x:si>
  <x:si>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</x:si>
  <x:si>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</x:si>
  <x:si>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</x:si>
  <x:si>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</x:si>
  <x:si>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05/03/2026</x:t>
  </x:si>
  <x:si>
    <x:t>2026012722</x:t>
  </x:si>
  <x:si>
    <x:t>06/02/2026</x:t>
  </x:si>
  <x:si>
    <x:t>DIRECCIÓN GENERAL DE LA CASA ÁRABE</x:t>
  </x:si>
  <x:si>
    <x:t>Servicio de asistencia de sala de la sede del Consorcio Casa Árabe en Madrid</x:t>
  </x:si>
  <x:si>
    <x:t>CA 03/26</x:t>
  </x:si>
  <x:si>
    <x:t>Importe sin impuestos</x:t>
  </x:si>
  <x:si>
    <x:t/>
  </x:si>
  <x:si>
    <x:t>-----</x:t>
  </x:si>
  <x:si>
    <x:t>05/02/2026</x:t>
  </x:si>
  <x:si>
    <x:t/>
  </x:si>
  <x:si>
    <x:t>Madrid</x:t>
  </x:si>
  <x:si>
    <x:t>06/03/2026</x:t>
  </x:si>
  <x:si>
    <x:t>2026012860</x:t>
  </x:si>
  <x:si>
    <x:t>GERENCIA DE LA EMPRESA MUNICIPAL DE INNOVACIÓN Y DESARROLLO TECNOLÓGICO, S.A.</x:t>
  </x:si>
  <x:si>
    <x:t>Conceptualización, diseño, producción, montaje, desmontaje, explotación y secretaria técnica del Stand de Las Rozas en la Feria SCEWC Congress 2026</x:t>
  </x:si>
  <x:si>
    <x:t>C2025/014</x:t>
  </x:si>
  <x:si>
    <x:t/>
  </x:si>
  <x:si>
    <x:t>20/02/2026</x:t>
  </x:si>
  <x:si>
    <x:t>2026012878</x:t>
  </x:si>
  <x:si>
    <x:t>AYUNTAMIENTO DE AGULLANA (GIRONA)</x:t>
  </x:si>
  <x:si>
    <x:t>Contrato de suministro de diferente material para la recogida selectiva de los residuos municipales de Agullana y la realización de una campaña ambiental, dividido en 4 lotes, en el marco del Plan de Recuperación, Transformación y Resiliencia, financiado por la Unión europea, Fondo Nextgeneration EU. Lote 1 Suministro de contenedores. Lote 2 Cerramiento área contenedores. Lote 3 Videovigilancia. Lote 4 Campaña ambiental.</x:t>
  </x:si>
  <x:si>
    <x:t>X2026000040</x:t>
  </x:si>
  <x:si>
    <x:t/>
  </x:si>
  <x:si>
    <x:t>Girona</x:t>
  </x:si>
  <x:si>
    <x:t>2026012889</x:t>
  </x:si>
  <x:si>
    <x:t>PRESIDENCIA DE LA ASOCIACIÓN CENTRO DE DESARROLLO NAVIA-PORCÍA (ASTURIAS)</x:t>
  </x:si>
  <x:si>
    <x:t>Prestación de servicio para el desarrollo y ejecución del “Plan de comunicación y marketing digital”, en la forma prevista en el Pliego de Prescripciones Técnicas Particulares (PPTP) y en el Pliego de Cláusulas Administrativas Particulares (PCAP)</x:t>
  </x:si>
  <x:si>
    <x:t>C-003-2026</x:t>
  </x:si>
  <x:si>
    <x:t/>
  </x:si>
  <x:si>
    <x:t>Asturias</x:t>
  </x:si>
  <x:si>
    <x:t>2026013004</x:t>
  </x:si>
  <x:si>
    <x:t>EMPRESA MUNICIPAL MIXTA D'AIGÜES DE TARRAGONA, SA</x:t>
  </x:si>
  <x:si>
    <x:t>El objeto del presente contrato son los servicios de planificación, negociación y compra de espacios para las campañas de comunicación de Ematsa, de acuerdo con las características y condiciones fijadas en el pliego de prescripciones técnicas regulador de este contrato</x:t>
  </x:si>
  <x:si>
    <x:t>C007_26</x:t>
  </x:si>
  <x:si>
    <x:t/>
  </x:si>
  <x:si>
    <x:t>Tarragona</x:t>
  </x:si>
  <x:si>
    <x:t>23/02/2026</x:t>
  </x:si>
  <x:si>
    <x:t>2026013007</x:t>
  </x:si>
  <x:si>
    <x:t>AYUNTAMIENTO DE BARCELONA</x:t>
  </x:si>
  <x:si>
    <x:t>Servicio de relaciones públicas para eventos y actos coordinados por la Dirección de Comunicación. Lote 1 Servicios de agencia de comunicación y RRPP - Ámbito corporativo y empresarial. Lote 2 Servicios de agencia de comunicación y RRPP - Ámbito social, deportivo y cultural.</x:t>
  </x:si>
  <x:si>
    <x:t>001_25000732</x:t>
  </x:si>
  <x:si>
    <x:t/>
  </x:si>
  <x:si>
    <x:t>Barcelona</x:t>
  </x:si>
  <x:si>
    <x:t>Catalunya - Plataforma de Contratación</x:t>
  </x:si>
  <x:si>
    <x:t>12/02/2026</x:t>
  </x:si>
  <x:si>
    <x:t>2026013043</x:t>
  </x:si>
  <x:si>
    <x:t>AYUNTAMIENTO DE CASTELLDEFELS (BARCELONA). COMUNICACIÓN E IMAGEN</x:t>
  </x:si>
  <x:si>
    <x:t>Servicio de consultoría para el estudio de viabilidad económica para la contratación, por contrato menor, de suministro, instalación, explotación y mantenimiento de mobiliario urbano digital con explotación publicitaria por el Ayuntamiento de Castelldefels</x:t>
  </x:si>
  <x:si>
    <x:t>COMUNICACIO-SERV-MEN/2026000179</x:t>
  </x:si>
  <x:si>
    <x:t>IVA excluido</x:t>
  </x:si>
  <x:si>
    <x:t/>
  </x:si>
  <x:si>
    <x:t/>
  </x:si>
  <x:si>
    <x:t>13/02/2026</x:t>
  </x:si>
  <x:si>
    <x:t>2026013045</x:t>
  </x:si>
  <x:si>
    <x:t>AYUNTAMIENTO DE VILADECANS (BARCELONA)</x:t>
  </x:si>
  <x:si>
    <x:t>Contratación de los servicios de dinamización para incrementar la participación de la comunidad de aprendizaje virtual Alia't, financiado por el  Ministerio
de Derechos Sociales, Consumo y Agenda 2030.</x:t>
  </x:si>
  <x:si>
    <x:t>13/2026/CMSERV2</x:t>
  </x:si>
  <x:si>
    <x:t>IVA excuido</x:t>
  </x:si>
  <x:si>
    <x:t/>
  </x:si>
  <x:si>
    <x:t/>
  </x:si>
  <x:si>
    <x:t>16/02/2026</x:t>
  </x:si>
  <x:si>
    <x:t>2026013046</x:t>
  </x:si>
  <x:si>
    <x:t>CONSEJO COMARCAL DEL PALLARS SOBIRÀ (LLEIDA)</x:t>
  </x:si>
  <x:si>
    <x:t>Jornadas Ocupación Talento y Oportunidades (TC 2025) [Realización de dos jornadas de empleo que tienen como objetivo conectar
empresas y personas candidatas de manera eficiente, mediante encuentros breves y
informales.]</x:t>
  </x:si>
  <x:si>
    <x:t>1361/2025</x:t>
  </x:si>
  <x:si>
    <x:t/>
  </x:si>
  <x:si>
    <x:t/>
  </x:si>
  <x:si>
    <x:t>Lleida</x:t>
  </x:si>
  <x:si>
    <x:t>Cámaras de Comercio. Perfil del Contratante</x:t>
  </x:si>
  <x:si>
    <x:t>2026013094</x:t>
  </x:si>
  <x:si>
    <x:t>CÁMARA OFICIAL DE COMERCIO, INDUSTRIA, SERVICIOS Y NAVEGACIÓN DE ESPAÑA</x:t>
  </x:si>
  <x:si>
    <x:t>Contratación de servicios para el diseño, ejecución y seguimiento de una campaña de publicidad para apoyar la difusión del Programa Kit Digital.</x:t>
  </x:si>
  <x:si>
    <x:t>021/2026</x:t>
  </x:si>
  <x:si>
    <x:t>IVA incluido</x:t>
  </x:si>
  <x:si>
    <x:t/>
  </x:si>
  <x:si>
    <x:t/>
  </x:si>
  <x:si>
    <x:t>Ver pliegos</x:t>
  </x:si>
  <x:si>
    <x:t>2026013168</x:t>
  </x:si>
  <x:si>
    <x:t>DIRECCIÓN GENERAL DEL INSTITUTO PARA LA DIVERSIFICACIÓN Y AHORRO DE LA ENERGÍA (IDAE)</x:t>
  </x:si>
  <x:si>
    <x:t>Contratación del servicio de diseño, estrategia, asesoría, creatividad, definición de medios y estudios de resultados de la campaña "La transición energética en España</x:t>
  </x:si>
  <x:si>
    <x:t>CONTR/2026/011 ANUNCIO PREVIO</x:t>
  </x:si>
  <x:si>
    <x:t>No consta</x:t>
  </x:si>
  <x:si>
    <x:t/>
  </x:si>
  <x:si>
    <x:t>2026013219</x:t>
  </x:si>
  <x:si>
    <x:t>CONCEJAL DE CONTRATACIÓN DEL AYUNTAMIENTO DE TORREJÓN DE ARDOZ (MADRID)</x:t>
  </x:si>
  <x:si>
    <x:t>Adquisición de mantel personalizado para programa LOPIVI de la Concejalía de Bienestar</x:t>
  </x:si>
  <x:si>
    <x:t>64/2026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</x:si>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</x:sst>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2500.00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HYPERLINK("https://contrataciondelestado.es/wps/poc?uri=deeplink:detalle_licitacion&amp;idEvl=RdluoLoWK7seIBJRHQiPkQ%3D%3D","contrataciondelestado.es/wps/poc?uri=deeplink:detalle_licitacion&amp;idEvl=RdluoLoWK7seIBJRHQiPkQ%3D%3D")</x:f>
        <x:v>contrataciondelestado.es/wps/poc?uri=deeplink:detalle_licitacion&amp;idEvl=RdluoLoWK7seIBJRHQiPkQ%3D%3D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HYPERLINK("https://www.infonalia.es/licitaciones0226/2026012722.pdf","www.infonalia.es/licitaciones0226/2026012722.pdf")</x:f>
        <x:v>www.infonalia.es/licitaciones0226/2026012722.pdf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198860.00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HYPERLINK("https://contrataciondelestado.es/wps/poc?uri=deeplink:detalle_licitacion&amp;idEvl=vq5KkctHSA9Whbmkna2nXQ%3D%3D","contrataciondelestado.es/wps/poc?uri=deeplink:detalle_licitacion&amp;idEvl=vq5KkctHSA9Whbmkna2nXQ%3D%3D")</x:f>
        <x:v>contrataciondelestado.es/wps/poc?uri=deeplink:detalle_licitacion&amp;idEvl=vq5KkctHSA9Whbmkna2nXQ%3D%3D</x:v>
      </x:c>
      <x:c r="M3" s="11" t="s">
        <x:v>27</x:v>
      </x:c>
      <x:c r="N3" s="13" t="s">
        <x:v>28</x:v>
      </x:c>
      <x:c r="O3" s="11" t="s">
        <x:v>36</x:v>
      </x:c>
      <x:c r="P3" s="11" t="s">
        <x:v>30</x:v>
      </x:c>
      <x:c r="Q3" s="14" t="str">
        <x:f xml:space="preserve">HYPERLINK("https://www.infonalia.es/licitaciones0226/2026012860.pdf","www.infonalia.es/licitaciones0226/2026012860.pdf")</x:f>
        <x:v>www.infonalia.es/licitaciones0226/2026012860.pdf</x:v>
      </x:c>
    </x:row>
    <x:row r="4">
      <x:c r="A4" s="6" t="s">
        <x:v>17</x:v>
      </x:c>
      <x:c r="B4" s="6" t="s">
        <x:v>18</x:v>
      </x:c>
      <x:c r="C4" s="7" t="s">
        <x:v>37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147738.64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HYPERLINK("https://contractaciopublica.cat/ca/detall-publicacio/9c657df5-f8ec-42b9-b890-5e01806345c4/300687231","contractaciopublica.cat/ca/detall-publicacio/9c657df5-f8ec-42b9-b890-5e01806345c4/300687231")</x:f>
        <x:v>contractaciopublica.cat/ca/detall-publicacio/9c657df5-f8ec-42b9-b890-5e01806345c4/300687231</x:v>
      </x:c>
      <x:c r="M4" s="11" t="s">
        <x:v>27</x:v>
      </x:c>
      <x:c r="N4" s="13" t="s">
        <x:v>28</x:v>
      </x:c>
      <x:c r="O4" s="11" t="s">
        <x:v>42</x:v>
      </x:c>
      <x:c r="P4" s="11" t="s">
        <x:v>43</x:v>
      </x:c>
      <x:c r="Q4" s="14" t="str">
        <x:f xml:space="preserve">HYPERLINK("https://www.infonalia.es/licitaciones0226/2026012878.pdf","www.infonalia.es/licitaciones0226/2026012878.pdf")</x:f>
        <x:v>www.infonalia.es/licitaciones0226/2026012878.pdf</x:v>
      </x:c>
    </x:row>
    <x:row r="5">
      <x:c r="A5" s="6" t="s">
        <x:v>17</x:v>
      </x:c>
      <x:c r="B5" s="6" t="s">
        <x:v>18</x:v>
      </x:c>
      <x:c r="C5" s="7" t="s">
        <x:v>37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94196.95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HYPERLINK("https://contrataciondelestado.es/wps/poc?uri=deeplink:detalle_licitacion&amp;idEvl=ennDyjNwPr8mMOlAXxDEjw%3D%3D","contrataciondelestado.es/wps/poc?uri=deeplink:detalle_licitacion&amp;idEvl=ennDyjNwPr8mMOlAXxDEjw%3D%3D")</x:f>
        <x:v>contrataciondelestado.es/wps/poc?uri=deeplink:detalle_licitacion&amp;idEvl=ennDyjNwPr8mMOlAXxDEjw%3D%3D</x:v>
      </x:c>
      <x:c r="M5" s="11" t="s">
        <x:v>27</x:v>
      </x:c>
      <x:c r="N5" s="13" t="s">
        <x:v>28</x:v>
      </x:c>
      <x:c r="O5" s="11" t="s">
        <x:v>48</x:v>
      </x:c>
      <x:c r="P5" s="11" t="s">
        <x:v>49</x:v>
      </x:c>
      <x:c r="Q5" s="14" t="str">
        <x:f xml:space="preserve">HYPERLINK("https://www.infonalia.es/licitaciones0226/2026012889.pdf","www.infonalia.es/licitaciones0226/2026012889.pdf")</x:f>
        <x:v>www.infonalia.es/licitaciones0226/2026012889.pdf</x:v>
      </x:c>
    </x:row>
    <x:row r="6">
      <x:c r="A6" s="6" t="s">
        <x:v>17</x:v>
      </x:c>
      <x:c r="B6" s="6" t="s">
        <x:v>18</x:v>
      </x:c>
      <x:c r="C6" s="7" t="s">
        <x:v>37</x:v>
      </x:c>
      <x:c r="D6" s="8" t="s">
        <x:v>50</x:v>
      </x:c>
      <x:c r="E6" s="9" t="s">
        <x:v>21</x:v>
      </x:c>
      <x:c r="F6" s="6" t="s">
        <x:v>51</x:v>
      </x:c>
      <x:c r="G6" s="6" t="s">
        <x:v>52</x:v>
      </x:c>
      <x:c r="H6" s="6" t="s">
        <x:v>53</x:v>
      </x:c>
      <x:c r="I6" s="10" t="n">
        <x:v>48500.00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HYPERLINK("https://contractaciopublica.cat/ca/detall-publicacio/e8b48319-de72-4122-ade6-35a6357ed2e6/300686605","contractaciopublica.cat/ca/detall-publicacio/e8b48319-de72-4122-ade6-35a6357ed2e6/300686605")</x:f>
        <x:v>contractaciopublica.cat/ca/detall-publicacio/e8b48319-de72-4122-ade6-35a6357ed2e6/300686605</x:v>
      </x:c>
      <x:c r="M6" s="11" t="s">
        <x:v>27</x:v>
      </x:c>
      <x:c r="N6" s="13" t="s">
        <x:v>28</x:v>
      </x:c>
      <x:c r="O6" s="11" t="s">
        <x:v>54</x:v>
      </x:c>
      <x:c r="P6" s="11" t="s">
        <x:v>55</x:v>
      </x:c>
      <x:c r="Q6" s="14" t="str">
        <x:f xml:space="preserve">HYPERLINK("https://www.infonalia.es/licitaciones0226/2026013004.pdf","www.infonalia.es/licitaciones0226/2026013004.pdf")</x:f>
        <x:v>www.infonalia.es/licitaciones0226/2026013004.pdf</x:v>
      </x:c>
    </x:row>
    <x:row r="7">
      <x:c r="A7" s="6" t="s">
        <x:v>17</x:v>
      </x:c>
      <x:c r="B7" s="6" t="s">
        <x:v>18</x:v>
      </x:c>
      <x:c r="C7" s="7" t="s">
        <x:v>56</x:v>
      </x:c>
      <x:c r="D7" s="8" t="s">
        <x:v>57</x:v>
      </x:c>
      <x:c r="E7" s="9" t="s">
        <x:v>21</x:v>
      </x:c>
      <x:c r="F7" s="6" t="s">
        <x:v>58</x:v>
      </x:c>
      <x:c r="G7" s="6" t="s">
        <x:v>59</x:v>
      </x:c>
      <x:c r="H7" s="6" t="s">
        <x:v>60</x:v>
      </x:c>
      <x:c r="I7" s="10" t="n">
        <x:v>213400.00</x:v>
      </x:c>
      <x:c r="J7" s="11" t="s">
        <x:v>25</x:v>
      </x:c>
      <x:c r="K7" s="11" t="s">
        <x:v>26</x:v>
      </x:c>
      <x:c r="L7" s="12" t="str">
        <x:f xml:space="preserve">HYPERLINK("https://contractaciopublica.cat/ca/detall-publicacio/277dc405-e350-4a73-b1b2-8b79994d919a/300686166","contractaciopublica.cat/ca/detall-publicacio/277dc405-e350-4a73-b1b2-8b79994d919a/300686166")</x:f>
        <x:v>contractaciopublica.cat/ca/detall-publicacio/277dc405-e350-4a73-b1b2-8b79994d919a/300686166</x:v>
      </x:c>
      <x:c r="M7" s="11" t="s">
        <x:v>27</x:v>
      </x:c>
      <x:c r="N7" s="13" t="s">
        <x:v>28</x:v>
      </x:c>
      <x:c r="O7" s="11" t="s">
        <x:v>61</x:v>
      </x:c>
      <x:c r="P7" s="11" t="s">
        <x:v>62</x:v>
      </x:c>
      <x:c r="Q7" s="14" t="str">
        <x:f xml:space="preserve">HYPERLINK("https://www.infonalia.es/licitaciones0226/2026013007.pdf","www.infonalia.es/licitaciones0226/2026013007.pdf")</x:f>
        <x:v>www.infonalia.es/licitaciones0226/2026013007.pdf</x:v>
      </x:c>
    </x:row>
    <x:row r="8">
      <x:c r="A8" s="6" t="s">
        <x:v>17</x:v>
      </x:c>
      <x:c r="B8" s="6" t="s">
        <x:v>63</x:v>
      </x:c>
      <x:c r="C8" s="7" t="s">
        <x:v>64</x:v>
      </x:c>
      <x:c r="D8" s="8" t="s">
        <x:v>65</x:v>
      </x:c>
      <x:c r="E8" s="9" t="s">
        <x:v>21</x:v>
      </x:c>
      <x:c r="F8" s="6" t="s">
        <x:v>66</x:v>
      </x:c>
      <x:c r="G8" s="6" t="s">
        <x:v>67</x:v>
      </x:c>
      <x:c r="H8" s="6" t="s">
        <x:v>68</x:v>
      </x:c>
      <x:c r="I8" s="10" t="n">
        <x:v>4200.00</x:v>
      </x:c>
      <x:c r="J8" s="11" t="s">
        <x:v>69</x:v>
      </x:c>
      <x:c r="K8" s="11" t="s">
        <x:v>70</x:v>
      </x:c>
      <x:c r="L8" s="12" t="str">
        <x:f xml:space="preserve">HYPERLINK("https://contractaciopublica.cat/es/detall-publicacio/300686888","contractaciopublica.cat/es/detall-publicacio/300686888")</x:f>
        <x:v>contractaciopublica.cat/es/detall-publicacio/300686888</x:v>
      </x:c>
      <x:c r="M8" s="11" t="s">
        <x:v>27</x:v>
      </x:c>
      <x:c r="N8" s="13" t="s">
        <x:v>28</x:v>
      </x:c>
      <x:c r="O8" s="11" t="s">
        <x:v>71</x:v>
      </x:c>
      <x:c r="P8" s="11" t="s">
        <x:v>62</x:v>
      </x:c>
      <x:c r="Q8" s="14" t="str">
        <x:f xml:space="preserve">HYPERLINK("https://www.infonalia.es/licitaciones0226/2026013043.pdf","www.infonalia.es/licitaciones0226/2026013043.pdf")</x:f>
        <x:v>www.infonalia.es/licitaciones0226/2026013043.pdf</x:v>
      </x:c>
    </x:row>
    <x:row r="9">
      <x:c r="A9" s="6" t="s">
        <x:v>17</x:v>
      </x:c>
      <x:c r="B9" s="6" t="s">
        <x:v>63</x:v>
      </x:c>
      <x:c r="C9" s="7" t="s">
        <x:v>72</x:v>
      </x:c>
      <x:c r="D9" s="8" t="s">
        <x:v>73</x:v>
      </x:c>
      <x:c r="E9" s="9" t="s">
        <x:v>21</x:v>
      </x:c>
      <x:c r="F9" s="6" t="s">
        <x:v>74</x:v>
      </x:c>
      <x:c r="G9" s="6" t="s">
        <x:v>75</x:v>
      </x:c>
      <x:c r="H9" s="6" t="s">
        <x:v>76</x:v>
      </x:c>
      <x:c r="I9" s="10" t="n">
        <x:v>12396.69</x:v>
      </x:c>
      <x:c r="J9" s="11" t="s">
        <x:v>77</x:v>
      </x:c>
      <x:c r="K9" s="11" t="s">
        <x:v>78</x:v>
      </x:c>
      <x:c r="L9" s="12" t="str">
        <x:f xml:space="preserve">HYPERLINK("https://contractaciopublica.cat/es/detall-publicacio/300686655","contractaciopublica.cat/es/detall-publicacio/300686655")</x:f>
        <x:v>contractaciopublica.cat/es/detall-publicacio/300686655</x:v>
      </x:c>
      <x:c r="M9" s="11" t="s">
        <x:v>27</x:v>
      </x:c>
      <x:c r="N9" s="13" t="s">
        <x:v>28</x:v>
      </x:c>
      <x:c r="O9" s="11" t="s">
        <x:v>79</x:v>
      </x:c>
      <x:c r="P9" s="11" t="s">
        <x:v>62</x:v>
      </x:c>
      <x:c r="Q9" s="14" t="str">
        <x:f xml:space="preserve">HYPERLINK("https://www.infonalia.es/licitaciones0226/2026013045.pdf","www.infonalia.es/licitaciones0226/2026013045.pdf")</x:f>
        <x:v>www.infonalia.es/licitaciones0226/2026013045.pdf</x:v>
      </x:c>
    </x:row>
    <x:row r="10">
      <x:c r="A10" s="6" t="s">
        <x:v>17</x:v>
      </x:c>
      <x:c r="B10" s="6" t="s">
        <x:v>63</x:v>
      </x:c>
      <x:c r="C10" s="7" t="s">
        <x:v>80</x:v>
      </x:c>
      <x:c r="D10" s="8" t="s">
        <x:v>81</x:v>
      </x:c>
      <x:c r="E10" s="9" t="s">
        <x:v>21</x:v>
      </x:c>
      <x:c r="F10" s="6" t="s">
        <x:v>82</x:v>
      </x:c>
      <x:c r="G10" s="6" t="s">
        <x:v>83</x:v>
      </x:c>
      <x:c r="H10" s="6" t="s">
        <x:v>84</x:v>
      </x:c>
      <x:c r="I10" s="10" t="n">
        <x:v>2200.00</x:v>
      </x:c>
      <x:c r="J10" s="11" t="s">
        <x:v>77</x:v>
      </x:c>
      <x:c r="K10" s="11" t="s">
        <x:v>85</x:v>
      </x:c>
      <x:c r="L10" s="12" t="str">
        <x:f xml:space="preserve">HYPERLINK("https://contractaciopublica.cat/es/detall-publicacio/300686518","contractaciopublica.cat/es/detall-publicacio/300686518")</x:f>
        <x:v>contractaciopublica.cat/es/detall-publicacio/300686518</x:v>
      </x:c>
      <x:c r="M10" s="11" t="s">
        <x:v>27</x:v>
      </x:c>
      <x:c r="N10" s="13" t="s">
        <x:v>28</x:v>
      </x:c>
      <x:c r="O10" s="11" t="s">
        <x:v>86</x:v>
      </x:c>
      <x:c r="P10" s="11" t="s">
        <x:v>87</x:v>
      </x:c>
      <x:c r="Q10" s="14" t="str">
        <x:f xml:space="preserve">HYPERLINK("https://www.infonalia.es/licitaciones0226/2026013046.pdf","www.infonalia.es/licitaciones0226/2026013046.pdf")</x:f>
        <x:v>www.infonalia.es/licitaciones0226/2026013046.pdf</x:v>
      </x:c>
    </x:row>
    <x:row r="11">
      <x:c r="A11" s="6" t="s">
        <x:v>17</x:v>
      </x:c>
      <x:c r="B11" s="6" t="s">
        <x:v>88</x:v>
      </x:c>
      <x:c r="C11" s="7" t="s">
        <x:v>37</x:v>
      </x:c>
      <x:c r="D11" s="8" t="s">
        <x:v>89</x:v>
      </x:c>
      <x:c r="E11" s="9" t="s">
        <x:v>21</x:v>
      </x:c>
      <x:c r="F11" s="6" t="s">
        <x:v>90</x:v>
      </x:c>
      <x:c r="G11" s="6" t="s">
        <x:v>91</x:v>
      </x:c>
      <x:c r="H11" s="6" t="s">
        <x:v>92</x:v>
      </x:c>
      <x:c r="I11" s="10" t="n">
        <x:v>242000.00</x:v>
      </x:c>
      <x:c r="J11" s="11" t="s">
        <x:v>93</x:v>
      </x:c>
      <x:c r="K11" s="11" t="s">
        <x:v>94</x:v>
      </x:c>
      <x:c r="L11" s="12" t="str">
        <x:f xml:space="preserve">HYPERLINK("https://www.camara.es/campana-de-publicidad-para-apoyar-la-difusion-del-programa-kit-digital-1","www.camara.es/campana-de-publicidad-para-apoyar-la-difusion-del-programa-kit-digital-1")</x:f>
        <x:v>www.camara.es/campana-de-publicidad-para-apoyar-la-difusion-del-programa-kit-digital-1</x:v>
      </x:c>
      <x:c r="M11" s="11" t="s">
        <x:v>27</x:v>
      </x:c>
      <x:c r="N11" s="13" t="s">
        <x:v>28</x:v>
      </x:c>
      <x:c r="O11" s="11" t="s">
        <x:v>95</x:v>
      </x:c>
      <x:c r="P11" s="11" t="s">
        <x:v>96</x:v>
      </x:c>
      <x:c r="Q11" s="14" t="str">
        <x:f xml:space="preserve">HYPERLINK("https://www.infonalia.es/licitaciones0226/2026013094.pdf","www.infonalia.es/licitaciones0226/2026013094.pdf")</x:f>
        <x:v>www.infonalia.es/licitaciones0226/2026013094.pdf</x:v>
      </x:c>
    </x:row>
    <x:row r="12">
      <x:c r="A12" s="6" t="s">
        <x:v>17</x:v>
      </x:c>
      <x:c r="B12" s="6" t="s">
        <x:v>18</x:v>
      </x:c>
      <x:c r="C12" s="7" t="s">
        <x:v>26</x:v>
      </x:c>
      <x:c r="D12" s="8" t="s">
        <x:v>97</x:v>
      </x:c>
      <x:c r="E12" s="9" t="s">
        <x:v>21</x:v>
      </x:c>
      <x:c r="F12" s="6" t="s">
        <x:v>98</x:v>
      </x:c>
      <x:c r="G12" s="6" t="s">
        <x:v>99</x:v>
      </x:c>
      <x:c r="H12" s="6" t="s">
        <x:v>100</x:v>
      </x:c>
      <x:c r="I12" s="10" t="n">
        <x:v>400000.00</x:v>
      </x:c>
      <x:c r="J12" s="11" t="s">
        <x:v>25</x:v>
      </x:c>
      <x:c r="K12" s="11" t="s">
        <x:v>101</x:v>
      </x:c>
      <x:c r="L12" s="12" t="str">
        <x:f xml:space="preserve">HYPERLINK("https://contrataciondelestado.es/wps/poc?uri=deeplink:detalle_licitacion&amp;idEvl=toClXdq7qfxSYrkJkLlFdw%3D%3D","contrataciondelestado.es/wps/poc?uri=deeplink:detalle_licitacion&amp;idEvl=toClXdq7qfxSYrkJkLlFdw%3D%3D")</x:f>
        <x:v>contrataciondelestado.es/wps/poc?uri=deeplink:detalle_licitacion&amp;idEvl=toClXdq7qfxSYrkJkLlFdw%3D%3D</x:v>
      </x:c>
      <x:c r="M12" s="11" t="s">
        <x:v>27</x:v>
      </x:c>
      <x:c r="N12" s="13" t="s">
        <x:v>28</x:v>
      </x:c>
      <x:c r="O12" s="11" t="s">
        <x:v>102</x:v>
      </x:c>
      <x:c r="P12" s="11" t="s">
        <x:v>30</x:v>
      </x:c>
      <x:c r="Q12" s="14" t="str">
        <x:f xml:space="preserve">HYPERLINK("https://www.infonalia.es/licitaciones0226/2026013168.pdf","www.infonalia.es/licitaciones0226/2026013168.pdf")</x:f>
        <x:v>www.infonalia.es/licitaciones0226/2026013168.pdf</x:v>
      </x:c>
    </x:row>
    <x:row r="13">
      <x:c r="A13" s="6" t="s">
        <x:v>17</x:v>
      </x:c>
      <x:c r="B13" s="6" t="s">
        <x:v>18</x:v>
      </x:c>
      <x:c r="C13" s="7" t="s">
        <x:v>64</x:v>
      </x:c>
      <x:c r="D13" s="8" t="s">
        <x:v>103</x:v>
      </x:c>
      <x:c r="E13" s="9" t="s">
        <x:v>21</x:v>
      </x:c>
      <x:c r="F13" s="6" t="s">
        <x:v>104</x:v>
      </x:c>
      <x:c r="G13" s="6" t="s">
        <x:v>105</x:v>
      </x:c>
      <x:c r="H13" s="6" t="s">
        <x:v>106</x:v>
      </x:c>
      <x:c r="I13" s="10" t="n">
        <x:v>360.00</x:v>
      </x:c>
      <x:c r="J13" s="11" t="s">
        <x:v>25</x:v>
      </x:c>
      <x:c r="K13" s="11" t="s">
        <x:v>26</x:v>
      </x:c>
      <x:c r="L13" s="12" t="str">
        <x:f xml:space="preserve">HYPERLINK("https://contrataciondelestado.es/wps/poc?uri=deeplink:detalle_licitacion&amp;idEvl=XVYx7HUB7vB70UvEyYJSGw%3D%3D","contrataciondelestado.es/wps/poc?uri=deeplink:detalle_licitacion&amp;idEvl=XVYx7HUB7vB70UvEyYJSGw%3D%3D")</x:f>
        <x:v>contrataciondelestado.es/wps/poc?uri=deeplink:detalle_licitacion&amp;idEvl=XVYx7HUB7vB70UvEyYJSGw%3D%3D</x:v>
      </x:c>
      <x:c r="M13" s="11" t="s">
        <x:v>27</x:v>
      </x:c>
      <x:c r="N13" s="13" t="s">
        <x:v>28</x:v>
      </x:c>
      <x:c r="O13" s="11" t="s">
        <x:v>107</x:v>
      </x:c>
      <x:c r="P13" s="11" t="s">
        <x:v>30</x:v>
      </x:c>
      <x:c r="Q13" s="14" t="str">
        <x:f xml:space="preserve">HYPERLINK("https://www.infonalia.es/licitaciones0226/2026013219.pdf","www.infonalia.es/licitaciones0226/2026013219.pdf")</x:f>
        <x:v>www.infonalia.es/licitaciones0226/2026013219.pdf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