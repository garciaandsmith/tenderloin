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Adjudicaciones" sheetId="1" r:id="rId1"/>
  </x:sheets>
  <x:definedNames>
    <x:definedName name="_xlnm._FilterDatabase" localSheetId="0" hidden="1">Adjudicaciones!$A$1:$K$1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<x:sst xmlns:x="http://schemas.openxmlformats.org/spreadsheetml/2006/main" count="11" uniqueCount="11">
  <x:si>
    <x:t>Tipo Adjudicacion</x:t>
  </x:si>
  <x:si>
    <x:t>Contratista</x:t>
  </x:si>
  <x:si>
    <x:t>Fecha</x:t>
  </x:si>
  <x:si>
    <x:t>Pdf Adjudicacion</x:t>
  </x:si>
  <x:si>
    <x:t>Referencia</x:t>
  </x:si>
  <x:si>
    <x:t>Organismo Convocante</x:t>
  </x:si>
  <x:si>
    <x:t>Objeto</x:t>
  </x:si>
  <x:si>
    <x:t>Nº Expediente</x:t>
  </x:si>
  <x:si>
    <x:t>Lugar Ejecucion</x:t>
  </x:si>
  <x:si>
    <x:t>Importe Adjudicacion</x:t>
  </x:si>
  <x:si>
    <x:t>Presupuesto Licitacion</x:t>
  </x:si>
  <x:si>
    <x:t>Adjudicado</x:t>
  </x:si>
  <x:si>
    <x:t>ESTUDI DE COMUNICACIÓ INTUS S.L</x:t>
  </x:si>
  <x:si>
    <x:t>12/11/2025 0:00:00</x:t>
  </x:si>
  <x:si>
    <x:t>25221724</x:t>
  </x:si>
  <x:si>
    <x:t>AYUNTAMIENTO DE LA AMETLLA DEL VALLÈS (BARCELONA)</x:t>
  </x:si>
  <x:si>
    <x:t>Contratación de maquetación, impresión y distribución del Diari de l'Ametlla</x:t>
  </x:si>
  <x:si>
    <x:t>2340/2025</x:t>
  </x:si>
  <x:si>
    <x:t>Barcelona</x:t>
  </x:si>
  <x:si>
    <x:t>Ver detalle de la adjudicación</x:t>
  </x:si>
  <x:si>
    <x:t>EVENTOS INFIMA SL</x:t>
  </x:si>
  <x:si>
    <x:t>25221841</x:t>
  </x:si>
  <x:si>
    <x:t>ÁREA DE GOBIERNO DE POLÍTICAS SOCIALES, FAMILIA E IGUALDAD DEL AYUNTAMIENTO DE MADRID</x:t>
  </x:si>
  <x:si>
    <x:t>Apoyo a los certámenes escolares y actos de entrega de premios</x:t>
  </x:si>
  <x:si>
    <x:t>300/2025/02197</x:t>
  </x:si>
  <x:si>
    <x:t>Madrid</x:t>
  </x:si>
  <x:si>
    <x:t>BIA3 CONSULTORES S.L</x:t>
  </x:si>
  <x:si>
    <x:t>25222007</x:t>
  </x:si>
  <x:si>
    <x:t>MINISTERIO DE CIENCIA, INNOVACIÓN Y UNIVERSIDADES. SECRETARÍA GENERAL DE LA AGENCIA ESTATAL CONSEJO SUPERIOR DE INVESTIGACIONES CIENTÍFICAS</x:t>
  </x:si>
  <x:si>
    <x:t>Servicio de comunicación, difusión y publicidad con destino al Centro de Edafología y Biología Aplicada del Segura.</x:t>
  </x:si>
  <x:si>
    <x:t>34020/25</x:t>
  </x:si>
  <x:si>
    <x:t>VER DETALLE DE LA ADJUDICACIÓN</x:t>
  </x:si>
  <x:si>
    <x:t>25222069</x:t>
  </x:si>
  <x:si>
    <x:t>CONSEJO COMARCAL DEL MARESME (BARCELONA)</x:t>
  </x:si>
  <x:si>
    <x:t>El objeto del presente contrato es la creación de contenido relacionado con el cicloturismo y el Maresme EuroVelo 8, Diseño de Tracks sobre el terreno y creación de una herramienta (Página web) de divulgación de rutas y activos turísticos a través de mapas interactivos digitales temáticos. Este contrato forma parte del proyecto de sostenibilidad turística en destino “Maresme EuroVelo 8” e incluye, concretamente, la revisión y mejora de los itinerarios ciclables en la comarca del Maresme, en todas sus modalidades (BTT, gravel, carretera, ocio y bikepacking o cicloturismo con alforjas), así como su digitalización y difusión en plataformas. Además, se desarrollará una herramienta web de divulgación para la gestión y promoción de las rutas ciclables y los activos turísticos del Maresme mediante mapas interactivos digitales temáticos. Lote 1: creación contenido. Lote 2: creación web.</x:t>
  </x:si>
  <x:si>
    <x:t>CCM 3085-0004/2025</x:t>
  </x:si>
  <x:si>
    <x:t>EGALECO LAB, S. COOP</x:t>
  </x:si>
  <x:si>
    <x:t>25222097</x:t>
  </x:si>
  <x:si>
    <x:t>ALCALDÍA DEL AYUNTAMIENTO DE COSLADA (MADRID)</x:t>
  </x:si>
  <x:si>
    <x:t>Servicio de las acciones necesarias para llevar a cabo una campaña destinada a promover e incentivar las compras en el comercio local de Coslada durante la Navidad de 2025</x:t>
  </x:si>
  <x:si>
    <x:t>2025/52</x:t>
  </x:si>
  <x:si>
    <x:t>KINES PRODUCCIONES S.L</x:t>
  </x:si>
  <x:si>
    <x:t>25222246</x:t>
  </x:si>
  <x:si>
    <x:t>DIRECCIÓN GENERAL DEL CENTRO PARA EL DESARROLLO TECNOLÓGICO Y LA INNOVACIÓN, E.P.E</x:t>
  </x:si>
  <x:si>
    <x:t>Prestación de un servicio de grabación, producción y edición de contenidos audiovisuales para dar respuesta a las necesidades audiovisuales del CDTI</x:t>
  </x:si>
  <x:si>
    <x:t>11/2025 AB (DG/DC)</x:t>
  </x:si>
  <x:si>
    <x:t>FIRA INTERNACIONAL DE BARCELONA</x:t>
  </x:si>
  <x:si>
    <x:t>25222559</x:t>
  </x:si>
  <x:si>
    <x:t>GENERALITAT VALENCIANA. SUBSECRETARÍA DE LA CONSELLERIA DE AGRICULTURA, AGUA, GANADERÍA Y PESCA</x:t>
  </x:si>
  <x:si>
    <x:t>Contrato de alquiler de espacio para la participación de la Conselleria de Agricultura, Agua, Ganadería y Pesca en el feria ALIMENTARIA 2026</x:t>
  </x:si>
  <x:si>
    <x:t>CMAYOR/2025/26Y03/0066</x:t>
  </x:si>
  <x:si>
    <x:t>ROMUALDO MANUEL FAURA BERNABÉ</x:t>
  </x:si>
  <x:si>
    <x:t>25222577</x:t>
  </x:si>
  <x:si>
    <x:t>ÁREA DE GOBIERNO DE VICEALCALDÍA, PORTAVOZ, SEGURIDAD Y EMERGENCIAS DEL AYUNTAMIENTO DE MADRID</x:t>
  </x:si>
  <x:si>
    <x:t>Cartelería de la Programación de Navidad 2025-2026 del Distrito de Fuencarral-El Pardo</x:t>
  </x:si>
  <x:si>
    <x:t>145/2023/00612.2.66</x:t>
  </x:si>
  <x:si>
    <x:t>25222582</x:t>
  </x:si>
  <x:si>
    <x:t>Programación Especial Navidad y Cabalgata de Reyes. Distrito Latina</x:t>
  </x:si>
  <x:si>
    <x:t>145/2023/00612.2.64</x:t>
  </x:si>
  <x:si>
    <x:t>KUGI PROJECTS, SL</x:t>
  </x:si>
  <x:si>
    <x:t>25222620</x:t>
  </x:si>
  <x:si>
    <x:t>PRESIDENCIA DE LA AUTORIDAD PORTUARIA DE TARRAGONA</x:t>
  </x:si>
  <x:si>
    <x:t>Servicio de organización de la Exposición “Mestres de l'escultura del S. XX”</x:t>
  </x:si>
  <x:si>
    <x:t>2025_050SE</x:t>
  </x:si>
  <x:si>
    <x:t>Tarragona</x:t>
  </x:si>
  <x:si>
    <x:t>EYESBERG LAB S.L.U</x:t>
  </x:si>
  <x:si>
    <x:t>25222717</x:t>
  </x:si>
  <x:si>
    <x:t>MADRID DESTINO CULTURA TURISMO Y NEGOCIO, S.A</x:t>
  </x:si>
  <x:si>
    <x:t>Servicio de creación, adaptación, producción y proyección de la obra audiovisual, en formato videomapping inmersivo, titulada “Historias de Luz”, sobre los distintos significados de la Luz, con un total de siete proyecciones del 17 al 23 de diciembre de 2025</x:t>
  </x:si>
  <x:si>
    <x:t>PR25-0214.6</x:t>
  </x:si>
  <x:si>
    <x:t>Desierto</x:t>
  </x:si>
  <x:si>
    <x:t>DESIERTO</x:t>
  </x:si>
  <x:si>
    <x:t>25222759</x:t>
  </x:si>
  <x:si>
    <x:t>CONSEJO DE ADMINISTRACIÓN DE ANIMAJOVEN SAU</x:t>
  </x:si>
  <x:si>
    <x:t>Servicio de asistencia auxiliar logística y desarrollo de eventos organizados por ANIMAJOVEN, S.A</x:t>
  </x:si>
  <x:si>
    <x:t>E136/2025</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</x:si>
</x:sst>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10">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0" fontId="1" fillId="0" borderId="0" xfId="0" applyFont="1" applyAlignment="1">
      <alignment vertical="center"/>
    </xf>
    <xf numFmtId="0" fontId="1" fillId="0" borderId="1" xfId="0" applyFont="1" applyBorder="1" applyAlignment="1">
      <alignment vertical="center" wrapText="1"/>
    </xf>
    <xf numFmtId="0" fontId="4" fillId="0" borderId="1" xfId="1" applyFont="1" applyBorder="1" applyAlignment="1" applyProtection="1">
      <alignment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K2"/>
  <x:sheetViews>
    <x:sheetView showGridLines="0" tabSelected="1" zoomScaleNormal="100" workbookViewId="0">
      <x:selection sqref="A1:XFD1"/>
    </x:sheetView>
  </x:sheetViews>
  <x:sheetFormatPr baseColWidth="10" defaultColWidth="16" defaultRowHeight="12.75"/>
  <x:cols>
    <x:col min="1" max="1" width="14.42578125" style="1" customWidth="1"/>
    <x:col min="2" max="2" width="19.85546875" style="1" customWidth="1"/>
    <x:col min="3" max="3" width="11.5703125" style="1" hidden="1" customWidth="1"/>
    <x:col min="4" max="4" width="20.140625" style="1" customWidth="1"/>
    <x:col min="5" max="5" width="11.140625" style="2" customWidth="1"/>
    <x:col min="6" max="6" width="26.7109375" style="1" customWidth="1"/>
    <x:col min="7" max="7" width="47.28515625" style="1" customWidth="1"/>
    <x:col min="8" max="8" width="15.7109375" style="1" customWidth="1"/>
    <x:col min="9" max="9" width="13.42578125" style="1" customWidth="1"/>
    <x:col min="10" max="10" width="17.28515625" style="1" customWidth="1"/>
    <x:col min="11" max="11" width="18" style="1" customWidth="1"/>
    <x:col min="12" max="16384" width="16" style="1"/>
  </x:cols>
  <x:sheetData>
    <x:row r="1" spans="1:11" s="5" customFormat="1">
      <x:c r="A1" s="3" t="s">
        <x:v>0</x:v>
      </x:c>
      <x:c r="B1" s="3" t="s">
        <x:v>1</x:v>
      </x:c>
      <x:c r="C1" s="3" t="s">
        <x:v>2</x:v>
      </x:c>
      <x:c r="D1" s="3" t="s">
        <x:v>3</x:v>
      </x:c>
      <x:c r="E1" s="4" t="s">
        <x:v>4</x:v>
      </x:c>
      <x:c r="F1" s="3" t="s">
        <x:v>5</x:v>
      </x:c>
      <x:c r="G1" s="3" t="s">
        <x:v>6</x:v>
      </x:c>
      <x:c r="H1" s="3" t="s">
        <x:v>7</x:v>
      </x:c>
      <x:c r="I1" s="3" t="s">
        <x:v>8</x:v>
      </x:c>
      <x:c r="J1" s="3" t="s">
        <x:v>9</x:v>
      </x:c>
      <x:c r="K1" s="3" t="s">
        <x:v>10</x:v>
      </x:c>
    </x:row>
    <x:row r="2" spans="1:11">
      <x:c r="A2" s="6" t="s">
        <x:v>11</x:v>
      </x:c>
      <x:c r="B2" s="6" t="s">
        <x:v>12</x:v>
      </x:c>
      <x:c r="C2" s="6" t="s">
        <x:v>13</x:v>
      </x:c>
      <x:c r="D2" s="7" t="str">
        <x:f xml:space="preserve">HYPERLINK("https://www.infonalia.es/adjudicaciones1125/25221724.pdf","www.infonalia.es/adjudicaciones1125/25221724.pdf")</x:f>
        <x:v>www.infonalia.es/adjudicaciones1125/25221724.pdf</x:v>
      </x:c>
      <x:c r="E2" s="8" t="s">
        <x:v>14</x:v>
      </x:c>
      <x:c r="F2" s="6" t="s">
        <x:v>15</x:v>
      </x:c>
      <x:c r="G2" s="6" t="s">
        <x:v>16</x:v>
      </x:c>
      <x:c r="H2" s="6" t="s">
        <x:v>17</x:v>
      </x:c>
      <x:c r="I2" s="6" t="s">
        <x:v>18</x:v>
      </x:c>
      <x:c r="J2" s="9" t="s">
        <x:v>19</x:v>
      </x:c>
      <x:c r="K2" s="9" t="n">
        <x:v>64000.00</x:v>
      </x:c>
    </x:row>
    <x:row r="3">
      <x:c r="A3" s="6" t="s">
        <x:v>11</x:v>
      </x:c>
      <x:c r="B3" s="6" t="s">
        <x:v>20</x:v>
      </x:c>
      <x:c r="C3" s="6" t="s">
        <x:v>13</x:v>
      </x:c>
      <x:c r="D3" s="7" t="str">
        <x:f xml:space="preserve">HYPERLINK("https://www.infonalia.es/adjudicaciones1125/25221841.pdf","www.infonalia.es/adjudicaciones1125/25221841.pdf")</x:f>
        <x:v>www.infonalia.es/adjudicaciones1125/25221841.pdf</x:v>
      </x:c>
      <x:c r="E3" s="8" t="s">
        <x:v>21</x:v>
      </x:c>
      <x:c r="F3" s="6" t="s">
        <x:v>22</x:v>
      </x:c>
      <x:c r="G3" s="6" t="s">
        <x:v>23</x:v>
      </x:c>
      <x:c r="H3" s="6" t="s">
        <x:v>24</x:v>
      </x:c>
      <x:c r="I3" s="6" t="s">
        <x:v>25</x:v>
      </x:c>
      <x:c r="J3" s="9" t="n">
        <x:v>29497.52</x:v>
      </x:c>
      <x:c r="K3" s="9" t="n">
        <x:v>35998.92</x:v>
      </x:c>
    </x:row>
    <x:row r="4">
      <x:c r="A4" s="6" t="s">
        <x:v>11</x:v>
      </x:c>
      <x:c r="B4" s="6" t="s">
        <x:v>26</x:v>
      </x:c>
      <x:c r="C4" s="6" t="s">
        <x:v>13</x:v>
      </x:c>
      <x:c r="D4" s="7" t="str">
        <x:f xml:space="preserve">HYPERLINK("https://www.infonalia.es/adjudicaciones1125/25222007.pdf","www.infonalia.es/adjudicaciones1125/25222007.pdf")</x:f>
        <x:v>www.infonalia.es/adjudicaciones1125/25222007.pdf</x:v>
      </x:c>
      <x:c r="E4" s="8" t="s">
        <x:v>27</x:v>
      </x:c>
      <x:c r="F4" s="6" t="s">
        <x:v>28</x:v>
      </x:c>
      <x:c r="G4" s="6" t="s">
        <x:v>29</x:v>
      </x:c>
      <x:c r="H4" s="6" t="s">
        <x:v>30</x:v>
      </x:c>
      <x:c r="I4" s="6" t="s">
        <x:v>25</x:v>
      </x:c>
      <x:c r="J4" s="9" t="n">
        <x:v>13541.84</x:v>
      </x:c>
      <x:c r="K4" s="9" t="n">
        <x:v>17592.00</x:v>
      </x:c>
    </x:row>
    <x:row r="5">
      <x:c r="A5" s="6" t="s">
        <x:v>11</x:v>
      </x:c>
      <x:c r="B5" s="6" t="s">
        <x:v>31</x:v>
      </x:c>
      <x:c r="C5" s="6" t="s">
        <x:v>13</x:v>
      </x:c>
      <x:c r="D5" s="7" t="str">
        <x:f xml:space="preserve">HYPERLINK("https://www.infonalia.es/adjudicaciones1125/25222069.pdf","www.infonalia.es/adjudicaciones1125/25222069.pdf")</x:f>
        <x:v>www.infonalia.es/adjudicaciones1125/25222069.pdf</x:v>
      </x:c>
      <x:c r="E5" s="8" t="s">
        <x:v>32</x:v>
      </x:c>
      <x:c r="F5" s="6" t="s">
        <x:v>33</x:v>
      </x:c>
      <x:c r="G5" s="6" t="s">
        <x:v>34</x:v>
      </x:c>
      <x:c r="H5" s="6" t="s">
        <x:v>35</x:v>
      </x:c>
      <x:c r="I5" s="6" t="s">
        <x:v>18</x:v>
      </x:c>
      <x:c r="J5" s="9" t="s">
        <x:v>19</x:v>
      </x:c>
      <x:c r="K5" s="9" t="n">
        <x:v>28099.17</x:v>
      </x:c>
    </x:row>
    <x:row r="6">
      <x:c r="A6" s="6" t="s">
        <x:v>11</x:v>
      </x:c>
      <x:c r="B6" s="6" t="s">
        <x:v>36</x:v>
      </x:c>
      <x:c r="C6" s="6" t="s">
        <x:v>13</x:v>
      </x:c>
      <x:c r="D6" s="7" t="str">
        <x:f xml:space="preserve">HYPERLINK("https://www.infonalia.es/adjudicaciones1125/25222097.pdf","www.infonalia.es/adjudicaciones1125/25222097.pdf")</x:f>
        <x:v>www.infonalia.es/adjudicaciones1125/25222097.pdf</x:v>
      </x:c>
      <x:c r="E6" s="8" t="s">
        <x:v>37</x:v>
      </x:c>
      <x:c r="F6" s="6" t="s">
        <x:v>38</x:v>
      </x:c>
      <x:c r="G6" s="6" t="s">
        <x:v>39</x:v>
      </x:c>
      <x:c r="H6" s="6" t="s">
        <x:v>40</x:v>
      </x:c>
      <x:c r="I6" s="6" t="s">
        <x:v>25</x:v>
      </x:c>
      <x:c r="J6" s="9" t="n">
        <x:v>14275.98</x:v>
      </x:c>
      <x:c r="K6" s="9" t="n">
        <x:v>17199.98</x:v>
      </x:c>
    </x:row>
    <x:row r="7">
      <x:c r="A7" s="6" t="s">
        <x:v>11</x:v>
      </x:c>
      <x:c r="B7" s="6" t="s">
        <x:v>41</x:v>
      </x:c>
      <x:c r="C7" s="6" t="s">
        <x:v>13</x:v>
      </x:c>
      <x:c r="D7" s="7" t="str">
        <x:f xml:space="preserve">HYPERLINK("https://www.infonalia.es/adjudicaciones1125/25222246.pdf","www.infonalia.es/adjudicaciones1125/25222246.pdf")</x:f>
        <x:v>www.infonalia.es/adjudicaciones1125/25222246.pdf</x:v>
      </x:c>
      <x:c r="E7" s="8" t="s">
        <x:v>42</x:v>
      </x:c>
      <x:c r="F7" s="6" t="s">
        <x:v>43</x:v>
      </x:c>
      <x:c r="G7" s="6" t="s">
        <x:v>44</x:v>
      </x:c>
      <x:c r="H7" s="6" t="s">
        <x:v>45</x:v>
      </x:c>
      <x:c r="I7" s="6" t="s">
        <x:v>25</x:v>
      </x:c>
      <x:c r="J7" s="9" t="n">
        <x:v>52993.50</x:v>
      </x:c>
      <x:c r="K7" s="9" t="n">
        <x:v>107300.00</x:v>
      </x:c>
    </x:row>
    <x:row r="8">
      <x:c r="A8" s="6" t="s">
        <x:v>11</x:v>
      </x:c>
      <x:c r="B8" s="6" t="s">
        <x:v>46</x:v>
      </x:c>
      <x:c r="C8" s="6" t="s">
        <x:v>13</x:v>
      </x:c>
      <x:c r="D8" s="7" t="str">
        <x:f xml:space="preserve">HYPERLINK("https://www.infonalia.es/adjudicaciones1125/25222559.pdf","www.infonalia.es/adjudicaciones1125/25222559.pdf")</x:f>
        <x:v>www.infonalia.es/adjudicaciones1125/25222559.pdf</x:v>
      </x:c>
      <x:c r="E8" s="8" t="s">
        <x:v>47</x:v>
      </x:c>
      <x:c r="F8" s="6" t="s">
        <x:v>48</x:v>
      </x:c>
      <x:c r="G8" s="6" t="s">
        <x:v>49</x:v>
      </x:c>
      <x:c r="H8" s="6" t="s">
        <x:v>50</x:v>
      </x:c>
      <x:c r="I8" s="6" t="s">
        <x:v>18</x:v>
      </x:c>
      <x:c r="J8" s="9" t="n">
        <x:v>140701.00</x:v>
      </x:c>
      <x:c r="K8" s="9" t="n">
        <x:v>140701.00</x:v>
      </x:c>
    </x:row>
    <x:row r="9">
      <x:c r="A9" s="6" t="s">
        <x:v>11</x:v>
      </x:c>
      <x:c r="B9" s="6" t="s">
        <x:v>51</x:v>
      </x:c>
      <x:c r="C9" s="6" t="s">
        <x:v>13</x:v>
      </x:c>
      <x:c r="D9" s="7" t="str">
        <x:f xml:space="preserve">HYPERLINK("https://www.infonalia.es/adjudicaciones1125/25222577.pdf","www.infonalia.es/adjudicaciones1125/25222577.pdf")</x:f>
        <x:v>www.infonalia.es/adjudicaciones1125/25222577.pdf</x:v>
      </x:c>
      <x:c r="E9" s="8" t="s">
        <x:v>52</x:v>
      </x:c>
      <x:c r="F9" s="6" t="s">
        <x:v>53</x:v>
      </x:c>
      <x:c r="G9" s="6" t="s">
        <x:v>54</x:v>
      </x:c>
      <x:c r="H9" s="6" t="s">
        <x:v>55</x:v>
      </x:c>
      <x:c r="I9" s="6" t="s">
        <x:v>25</x:v>
      </x:c>
      <x:c r="J9" s="9" t="n">
        <x:v>1992.00</x:v>
      </x:c>
      <x:c r="K9" s="9" t="n">
        <x:v>1992.00</x:v>
      </x:c>
    </x:row>
    <x:row r="10">
      <x:c r="A10" s="6" t="s">
        <x:v>11</x:v>
      </x:c>
      <x:c r="B10" s="6" t="s">
        <x:v>51</x:v>
      </x:c>
      <x:c r="C10" s="6" t="s">
        <x:v>13</x:v>
      </x:c>
      <x:c r="D10" s="7" t="str">
        <x:f xml:space="preserve">HYPERLINK("https://www.infonalia.es/adjudicaciones1125/25222582.pdf","www.infonalia.es/adjudicaciones1125/25222582.pdf")</x:f>
        <x:v>www.infonalia.es/adjudicaciones1125/25222582.pdf</x:v>
      </x:c>
      <x:c r="E10" s="8" t="s">
        <x:v>56</x:v>
      </x:c>
      <x:c r="F10" s="6" t="s">
        <x:v>53</x:v>
      </x:c>
      <x:c r="G10" s="6" t="s">
        <x:v>57</x:v>
      </x:c>
      <x:c r="H10" s="6" t="s">
        <x:v>58</x:v>
      </x:c>
      <x:c r="I10" s="6" t="s">
        <x:v>25</x:v>
      </x:c>
      <x:c r="J10" s="9" t="n">
        <x:v>3212.10</x:v>
      </x:c>
      <x:c r="K10" s="9" t="n">
        <x:v>3212.10</x:v>
      </x:c>
    </x:row>
    <x:row r="11">
      <x:c r="A11" s="6" t="s">
        <x:v>11</x:v>
      </x:c>
      <x:c r="B11" s="6" t="s">
        <x:v>59</x:v>
      </x:c>
      <x:c r="C11" s="6" t="s">
        <x:v>13</x:v>
      </x:c>
      <x:c r="D11" s="7" t="str">
        <x:f xml:space="preserve">HYPERLINK("https://www.infonalia.es/adjudicaciones1125/25222620.pdf","www.infonalia.es/adjudicaciones1125/25222620.pdf")</x:f>
        <x:v>www.infonalia.es/adjudicaciones1125/25222620.pdf</x:v>
      </x:c>
      <x:c r="E11" s="8" t="s">
        <x:v>60</x:v>
      </x:c>
      <x:c r="F11" s="6" t="s">
        <x:v>61</x:v>
      </x:c>
      <x:c r="G11" s="6" t="s">
        <x:v>62</x:v>
      </x:c>
      <x:c r="H11" s="6" t="s">
        <x:v>63</x:v>
      </x:c>
      <x:c r="I11" s="6" t="s">
        <x:v>64</x:v>
      </x:c>
      <x:c r="J11" s="9" t="n">
        <x:v>56200.00</x:v>
      </x:c>
      <x:c r="K11" s="9" t="n">
        <x:v>56200.00</x:v>
      </x:c>
    </x:row>
    <x:row r="12">
      <x:c r="A12" s="6" t="s">
        <x:v>11</x:v>
      </x:c>
      <x:c r="B12" s="6" t="s">
        <x:v>65</x:v>
      </x:c>
      <x:c r="C12" s="6" t="s">
        <x:v>13</x:v>
      </x:c>
      <x:c r="D12" s="7" t="str">
        <x:f xml:space="preserve">HYPERLINK("https://www.infonalia.es/adjudicaciones1125/25222717.pdf","www.infonalia.es/adjudicaciones1125/25222717.pdf")</x:f>
        <x:v>www.infonalia.es/adjudicaciones1125/25222717.pdf</x:v>
      </x:c>
      <x:c r="E12" s="8" t="s">
        <x:v>66</x:v>
      </x:c>
      <x:c r="F12" s="6" t="s">
        <x:v>67</x:v>
      </x:c>
      <x:c r="G12" s="6" t="s">
        <x:v>68</x:v>
      </x:c>
      <x:c r="H12" s="6" t="s">
        <x:v>69</x:v>
      </x:c>
      <x:c r="I12" s="6" t="s">
        <x:v>25</x:v>
      </x:c>
      <x:c r="J12" s="9" t="n">
        <x:v>132667.90</x:v>
      </x:c>
      <x:c r="K12" s="9" t="n">
        <x:v>132667.90</x:v>
      </x:c>
    </x:row>
    <x:row r="13">
      <x:c r="A13" s="6" t="s">
        <x:v>70</x:v>
      </x:c>
      <x:c r="B13" s="6" t="s">
        <x:v>71</x:v>
      </x:c>
      <x:c r="C13" s="6" t="s">
        <x:v>13</x:v>
      </x:c>
      <x:c r="D13" s="7" t="str">
        <x:f xml:space="preserve">HYPERLINK("https://www.infonalia.es/adjudicaciones1125/25222759.pdf","www.infonalia.es/adjudicaciones1125/25222759.pdf")</x:f>
        <x:v>www.infonalia.es/adjudicaciones1125/25222759.pdf</x:v>
      </x:c>
      <x:c r="E13" s="8" t="s">
        <x:v>72</x:v>
      </x:c>
      <x:c r="F13" s="6" t="s">
        <x:v>73</x:v>
      </x:c>
      <x:c r="G13" s="6" t="s">
        <x:v>74</x:v>
      </x:c>
      <x:c r="H13" s="6" t="s">
        <x:v>75</x:v>
      </x:c>
      <x:c r="I13" s="6" t="s">
        <x:v>25</x:v>
      </x:c>
      <x:c r="J13" s="9" t="s">
        <x:v>19</x:v>
      </x:c>
      <x:c r="K13" s="9" t="n">
        <x:v>139892.40</x:v>
      </x:c>
    </x:row>
  </x:sheetData>
  <x:autoFilter ref="A1:K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Adjudicaciones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2024-12-04T08:58:32Z</dcterms:created>
  <dcterms:modified xsi:type="dcterms:W3CDTF">2025-01-20T07:55:24Z</dcterms:modified>
  <dc:language>es-ES</dc:language>
</cp:coreProperties>
</file>