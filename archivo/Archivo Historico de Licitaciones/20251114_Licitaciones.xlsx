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loext="http://schemas.libreoffice.org/" xmlns:r="http://schemas.openxmlformats.org/officeDocument/2006/relationships" xmlns:x="http://schemas.openxmlformats.org/spreadsheetml/2006/main">
  <x:fileVersion appName="xl" lastEdited="4" lowestEdited="4" rupBuild="4506"/>
  <x:workbookPr/>
  <x:bookViews>
    <x:workbookView xWindow="0" yWindow="0" windowWidth="16380" windowHeight="8190" tabRatio="500"/>
  </x:bookViews>
  <x:sheets>
    <x:sheet name="Licitaciones" sheetId="1" r:id="rId1"/>
  </x:sheets>
  <x:definedNames>
    <x:definedName name="_xlnm._FilterDatabase" localSheetId="0" hidden="1">Licitaciones!$A$1:$Q$1</x:definedName>
  </x:definedNames>
  <x:calcPr calcId="125725" iterateDelta="1E-4"/>
  <x:extLst>
    <x:ext xmlns:loext="http://schemas.libreoffice.org/" uri="{7626C862-2A13-11E5-B345-FEFF819CDC9F}">
      <loext:extCalcPr stringRefSyntax="CalcA1ExcelA1"/>
    </x:ext>
  </x:extLst>
</x:workbook>
</file>

<file path=xl/sharedStrings.xml><?xml version="1.0" encoding="utf-8"?>
<x:sst xmlns:x="http://schemas.openxmlformats.org/spreadsheetml/2006/main" count="17" uniqueCount="17">
  <x:si>
    <x:t>TipoDato</x:t>
  </x:si>
  <x:si>
    <x:t>CodigoBoletin</x:t>
  </x:si>
  <x:si>
    <x:t>PlazoPresentacionFecha</x:t>
  </x:si>
  <x:si>
    <x:t>Referencia</x:t>
  </x:si>
  <x:si>
    <x:t>FechaIntroduccion</x:t>
  </x:si>
  <x:si>
    <x:t>OrganismoConvocante</x:t>
  </x:si>
  <x:si>
    <x:t>Objeto</x:t>
  </x:si>
  <x:si>
    <x:t>Nº Expediente</x:t>
  </x:si>
  <x:si>
    <x:t>Presupuesto</x:t>
  </x:si>
  <x:si>
    <x:t>PresupuestoVarios</x:t>
  </x:si>
  <x:si>
    <x:t>PlazoPresentacionVarios</x:t>
  </x:si>
  <x:si>
    <x:t>InformacionWeb</x:t>
  </x:si>
  <x:si>
    <x:t>PublicacionNumero</x:t>
  </x:si>
  <x:si>
    <x:t>PublicacionFecha</x:t>
  </x:si>
  <x:si>
    <x:t>Observaciones</x:t>
  </x:si>
  <x:si>
    <x:t>LugarEjecucion</x:t>
  </x:si>
  <x:si>
    <x:t>Anuncio</x:t>
  </x:si>
  <x:si>
    <x:t>Concurso</x:t>
  </x:si>
  <x:si>
    <x:t>Plataforma de Contratación del Estado</x:t>
  </x:si>
  <x:si>
    <x:t>28/11/2025</x:t>
  </x:si>
  <x:si>
    <x:t>2025162048</x:t>
  </x:si>
  <x:si>
    <x:t>14/11/2025</x:t>
  </x:si>
  <x:si>
    <x:t>UNIVERSITAT POMPEU FABRA</x:t>
  </x:si>
  <x:si>
    <x:t>Contratación de los servicios de conceptualización, desarrollo e implementación de una campaña de comunicación estratégica destinada a impulsar y transmitir un nuevo relato de marca de la UPF de acuerdo con el Pliego de Prescripciones Técnicas (PPT).</x:t>
  </x:si>
  <x:si>
    <x:t>UPF-2025-0059</x:t>
  </x:si>
  <x:si>
    <x:t>Importe sin impuestos</x:t>
  </x:si>
  <x:si>
    <x:t/>
  </x:si>
  <x:si>
    <x:t>-----</x:t>
  </x:si>
  <x:si>
    <x:t/>
  </x:si>
  <x:si>
    <x:t>Barcelona</x:t>
  </x:si>
  <x:si>
    <x:t>01/12/2025</x:t>
  </x:si>
  <x:si>
    <x:t>2025162049</x:t>
  </x:si>
  <x:si>
    <x:t>AGENCIA CATALANA DE COOPERACIÓN AL DESARROLLO</x:t>
  </x:si>
  <x:si>
    <x:t>Servicio de gestión, organización, dinamización, coordinación, ejecución y valoración de eventos de la Agencia Catalana de Cooperación al Desarrollo.</x:t>
  </x:si>
  <x:si>
    <x:t>ACCD-2026-4</x:t>
  </x:si>
  <x:si>
    <x:t/>
  </x:si>
  <x:si>
    <x:t>Catalunya</x:t>
  </x:si>
  <x:si>
    <x:t>2025162058</x:t>
  </x:si>
  <x:si>
    <x:t>MANCOMUNITAT DE INICIATIVES PEL DESENVOLUPAMENT INTEGRAL DEL TERRITORI (MIDIT)</x:t>
  </x:si>
  <x:si>
    <x:t>Contratación de una empresa que se encargue de la gestión y mantenimiento del Sistema de Inteligencia Turística de la Mancomunitat. El SIT combina herramientas de Big data, Business Intelligence (BI) y analítica predictiva, permitiendo transformar datos dispersos en información estratégica y accesible para la toma de decisiones. Con su arquitectura modular, escalable y segura, el sistema integra fuentes de datos públicos y privados, las procesa en tiempo real y las visualiza mediante cuadros de mando interactivos en Power BI. En su última versión, incorpora a Microsoft Copilot (IA) como asistente cognitivo transversal, que aporta automatización, análisis predictivo y soporte inteligente en todas las capas operativas del sistema. Su objetivo es convertir los datos turísticos en conocimiento útil, promover la innovación digital en el territorio y consolidar en Terres de Mestral como un destino turístico inteligente, competitivo y sostenible</x:t>
  </x:si>
  <x:si>
    <x:t>79/2025</x:t>
  </x:si>
  <x:si>
    <x:t/>
  </x:si>
  <x:si>
    <x:t>Tarragona</x:t>
  </x:si>
  <x:si>
    <x:t>27/11/2025</x:t>
  </x:si>
  <x:si>
    <x:t>2025162152</x:t>
  </x:si>
  <x:si>
    <x:t>JUNTA DE GOBIERNO DEL AYUNTAMIENTO DE LEGANÉS (MADRID)</x:t>
  </x:si>
  <x:si>
    <x:t>La prestación del servicio de Organización y ejecución de diversas actividades promovidas por la Delegación de Economía, Desarrollo Local, Comercio y Empleo en materia de promoción del comercio local durante la navidad 2025 denominada Feria de la Navidad 2025.</x:t>
  </x:si>
  <x:si>
    <x:t>2025/0231</x:t>
  </x:si>
  <x:si>
    <x:t/>
  </x:si>
  <x:si>
    <x:t>Madrid</x:t>
  </x:si>
  <x:si>
    <x:t>05/12/2025</x:t>
  </x:si>
  <x:si>
    <x:t>2025162168</x:t>
  </x:si>
  <x:si>
    <x:t>GENERALITAT DE CATALUNYA. DEPARTAMENTO DE EDUCACIÓN Y FORMACIÓN PROFESIONAL</x:t>
  </x:si>
  <x:si>
    <x:t>Servicios de conceptualización, diseño, producción, construcción, montaje, desmontaje y explotación del stand de Enseñanzas Artísticas Superiores de la Generalitat de Catalunya para el Salón de la Enseñanza, Barcelona 2026, que está previsto que se celebre del 18 al 22 de marzo de 2026 en el recinto ferial de Barcelona Montjuïc.</x:t>
  </x:si>
  <x:si>
    <x:t>ED-2026-9</x:t>
  </x:si>
  <x:si>
    <x:t/>
  </x:si>
  <x:si>
    <x:t>15/12/2025</x:t>
  </x:si>
  <x:si>
    <x:t>2025162300</x:t>
  </x:si>
  <x:si>
    <x:t>JUNTA DE CONTRATACIÓN DEL MINISTERIO DE SANIDAD</x:t>
  </x:si>
  <x:si>
    <x:t>Servicio de creatividad, diseño y producción de una campaña de publicidad institucional sobre salud y mujer 2026</x:t>
  </x:si>
  <x:si>
    <x:t>202507PAO009</x:t>
  </x:si>
  <x:si>
    <x:t/>
  </x:si>
  <x:si>
    <x:t>2025162342</x:t>
  </x:si>
  <x:si>
    <x:t>GENERALITAT DE CATALUNYA. DEPARTAMENTO DE EMPRESA Y TRABAJO</x:t>
  </x:si>
  <x:si>
    <x:t>Servicios de planificación, organización y ejecución de los Premios iFest. Lote 1: Premio de aceleración categoría junior. Lote 2: Premio de aceleración categoría senior</x:t>
  </x:si>
  <x:si>
    <x:t>EMO-2026-15</x:t>
  </x:si>
  <x:si>
    <x:t/>
  </x:si>
  <x:si>
    <x:t>Barcelona. Perfil del Contratante del Ayuntamiento</x:t>
  </x:si>
  <x:si>
    <x:t>20/11/2025</x:t>
  </x:si>
  <x:si>
    <x:t>2025162455</x:t>
  </x:si>
  <x:si>
    <x:t>INSTITUTO DE CULTURA DE BARCELONA</x:t>
  </x:si>
  <x:si>
    <x:t>Servicios de comunicación para la gestión de las redes sociales del Museo de Historia de 
Barcelona</x:t>
  </x:si>
  <x:si>
    <x:t>006_P2501670</x:t>
  </x:si>
  <x:si>
    <x:t/>
  </x:si>
  <x:si>
    <x:t>13/11/2025</x:t>
  </x:si>
  <x:si>
    <x:t/>
  </x:si>
  <x:si>
    <x:t>19/11/2025</x:t>
  </x:si>
  <x:si>
    <x:t>2025162460</x:t>
  </x:si>
  <x:si>
    <x:t>Servicio de soporte en el montaje y desmontaje en la programación de actividades del Museo Frederic Marès</x:t>
  </x:si>
  <x:si>
    <x:t>006_P2501627</x:t>
  </x:si>
  <x:si>
    <x:t/>
  </x:si>
  <x:si>
    <x:t>12/11/2025</x:t>
  </x:si>
  <x:si>
    <x:t/>
  </x:si>
  <x:si>
    <x:t>IFEMA - Institución Ferial de Madrid</x:t>
  </x:si>
  <x:si>
    <x:t>25/11/2025</x:t>
  </x:si>
  <x:si>
    <x:t>2025162581</x:t>
  </x:si>
  <x:si>
    <x:t>IFEMA - INSTITUCIÓN FERIAL DE MADRID</x:t>
  </x:si>
  <x:si>
    <x:t>Servicios de apoyo en la organización, promoción, organización de jornadas, programa de compradores y comercialización de espacios y patrocinios, además del apoyo en la comunicación y gestión de la feria SOCIOCARE 2026.</x:t>
  </x:si>
  <x:si>
    <x:t>25/182</x:t>
  </x:si>
  <x:si>
    <x:t/>
  </x:si>
  <x:si>
    <x:t/>
  </x:si>
  <x:si>
    <x:t>2025162619</x:t>
  </x:si>
  <x:si>
    <x:t>AGENCIA DE CONTRATACIÓN SANITARIA DE LA COMUNIDAD DE MADRID</x:t>
  </x:si>
  <x:si>
    <x:t>El objeto del presente contrato es proporcionar un servicio de apoyo a la gestión de pruebas selectivas para acceso a la condición de personal estatutario fijo, que comprende la maquetación y edición de hojas de respuesta múltiple y cuestionarios de examen, servicio de consulta on line para información de los lugares de examen, procesamiento y corrección de las hojas de respuesta y emisión de listados de calificación, distribución y recogida de cuadernillos y hojas de respuesta, con el alcance y contenido que se detalla en el presente pliego y en los pliegos de prescripciones técnicas.</x:t>
  </x:si>
  <x:si>
    <x:t>PA SER 12/2025 A/SER-007605/2025</x:t>
  </x:si>
  <x:si>
    <x:t/>
  </x:si>
  <x:si>
    <x:t>2025162652</x:t>
  </x:si>
  <x:si>
    <x:t>AYUNTAMIENTO DE BARCELONA</x:t>
  </x:si>
  <x:si>
    <x:t>Servicios de subtitulación a la comunicación oral del Distrito de Nou Barris con medidas de contratación pública sostenible.</x:t>
  </x:si>
  <x:si>
    <x:t>001_25003506</x:t>
  </x:si>
  <x:si>
    <x:t/>
  </x:si>
  <x:si>
    <x:t>2025162659</x:t>
  </x:si>
  <x:si>
    <x:t>DIPUTACIÓN DE TARRAGONA</x:t>
  </x:si>
  <x:si>
    <x:t>Servicio de planificación, negociación e inserción de publicidad y promoción de la Diputación de Tarragona en los medios de comunicación.</x:t>
  </x:si>
  <x:si>
    <x:t>8004330008-2025-0015989</x:t>
  </x:si>
  <x:si>
    <x:t/>
  </x:si>
  <x:si>
    <x:t>12/12/2025</x:t>
  </x:si>
  <x:si>
    <x:t>2025162683</x:t>
  </x:si>
  <x:si>
    <x:t>DIRECCIÓN GENERAL DE EXTREMADURA AVANTE S.L.U</x:t>
  </x:si>
  <x:si>
    <x:t>Contratación del Servicio de Asistencia Técnica para la Ejecución del Proyecto Extremely European 2026-2028 UK/JP, por lotes. Lote 1 Reino Unido. Lote 2 Japón.
</x:t>
  </x:si>
  <x:si>
    <x:t>EA25 011</x:t>
  </x:si>
  <x:si>
    <x:t/>
  </x:si>
  <x:si>
    <x:t>Ver pliegos</x:t>
  </x:si>
  <x:si>
    <x:t>2025162697</x:t>
  </x:si>
  <x:si>
    <x:t>MUTUA UNIVERSAL MUGENAT, MUTUA COLABORADORA CON LA SEGURIDAD SOCIAL Nº 10</x:t>
  </x:si>
  <x:si>
    <x:t>Suscripción plataforma email marketing de MailChimp</x:t>
  </x:si>
  <x:si>
    <x:t>033-2025-0417</x:t>
  </x:si>
  <x:si>
    <x:t/>
  </x:si>
  <x:si>
    <x:t>17/12/2025</x:t>
  </x:si>
  <x:si>
    <x:t>2025162796</x:t>
  </x:si>
  <x:si>
    <x:t>CORPORACIÓ CATALANA DE MITJANS AUDIOVISUALS, SA (CCMA, SA)</x:t>
  </x:si>
  <x:si>
    <x:t>Servicio de creación de imágenes digitales en diverses tipologías de grafismos y proyectos asociados. NOTA IMPORTANTE: RECOGIDA DEL BRIEFING La CCMA, S. A. dispone del briefing que las empresas licitadoras tendrán que desarrollar y que es objeto de la valoración cualitativa. Al tratarse de un documento que contiene información confidencial, las empresas que estén interesadas en recibir la documentación tendrán que enviar un correo electrónico adjuntando el Anexo debidamente cumplimentado y firmado, antes del día 3 de diciembre de 2025 a la dirección administracioiserveiscompres@ccma.cat, indicando en el asunto del correo: CPO 2511OB08 Petición briefing</x:t>
  </x:si>
  <x:si>
    <x:t>2511OB08</x:t>
  </x:si>
  <x:si>
    <x:t/>
  </x:si>
  <x:si>
    <x:t>DOUE - Diario Oficial de la Unión Europea (S)</x:t>
  </x:si>
  <x:si>
    <x:t>2025162818</x:t>
  </x:si>
  <x:si>
    <x:t>OA PATRONATO DE TURISMO DE LA DIPUTACIÓN DE TARRAGONA</x:t>
  </x:si>
  <x:si>
    <x:t>Agencia de medios para espacios publicitarios</x:t>
  </x:si>
  <x:si>
    <x:t>Anuncio de información previa</x:t>
  </x:si>
  <x:si>
    <x:t>IVA Excluido.</x:t>
  </x:si>
  <x:si>
    <x:t>No consta</x:t>
  </x:si>
  <x:si>
    <x:t>219</x:t>
  </x:si>
  <x:si>
    <x:t/>
  </x:si>
</x:sst>
</file>

<file path=xl/styles.xml><?xml version="1.0" encoding="utf-8"?>
<styleSheet xmlns="http://schemas.openxmlformats.org/spreadsheetml/2006/main">
  <numFmts count="1">
    <numFmt numFmtId="164" formatCode="#,##0.00&quot; €&quot;;[Red]\-#,##0.00&quot; €&quot;"/>
  </numFmts>
  <fonts count="5">
    <font>
      <sz val="11"/>
      <name val="Calibri"/>
      <charset val="1"/>
    </font>
    <font>
      <sz val="10"/>
      <name val="Calibri"/>
      <family val="2"/>
      <charset val="1"/>
    </font>
    <font>
      <b/>
      <sz val="10"/>
      <color theme="0"/>
      <name val="Calibri"/>
      <family val="2"/>
      <charset val="1"/>
    </font>
    <font>
      <u/>
      <sz val="11"/>
      <color theme="10"/>
      <name val="Calibri"/>
      <charset val="1"/>
    </font>
    <font>
      <u/>
      <sz val="10"/>
      <color theme="10"/>
      <name val="Calibri"/>
      <family val="2"/>
      <charset val="1"/>
    </font>
  </fonts>
  <fills count="3">
    <fill>
      <patternFill patternType="none"/>
    </fill>
    <fill>
      <patternFill patternType="gray125"/>
    </fill>
    <fill>
      <patternFill patternType="solid">
        <fgColor theme="3"/>
        <bgColor rgb="FF003366"/>
      </patternFill>
    </fill>
  </fills>
  <borders count="3">
    <border>
      <left/>
      <right/>
      <top/>
      <bottom/>
      <diagonal/>
    </border>
    <border>
      <left/>
      <right/>
      <top/>
      <bottom style="thin">
        <color auto="1"/>
      </bottom>
      <diagonal/>
    </border>
    <border>
      <left/>
      <right/>
      <top style="thin">
        <color auto="1"/>
      </top>
      <bottom style="thin">
        <color auto="1"/>
      </bottom>
      <diagonal/>
    </border>
  </borders>
  <cellStyleXfs count="2">
    <xf numFmtId="0" fontId="0" fillId="0" borderId="0"/>
    <xf numFmtId="0" fontId="3" fillId="0" borderId="0" applyBorder="0" applyProtection="0"/>
  </cellStyleXfs>
  <cellXfs count="15">
    <xf numFmtId="0" fontId="0" fillId="0" borderId="0" xfId="0"/>
    <xf numFmtId="0" fontId="1" fillId="0" borderId="0" xfId="0" applyFont="1" applyAlignment="1" applyProtection="1">
      <alignment vertical="center" wrapText="1"/>
    </xf>
    <xf numFmtId="0" fontId="1" fillId="0" borderId="0" xfId="0" applyFont="1" applyAlignment="1" applyProtection="1">
      <alignment horizontal="center" vertical="center" wrapText="1"/>
    </xf>
    <xf numFmtId="0" fontId="1" fillId="0" borderId="0" xfId="0" applyFont="1" applyAlignment="1" applyProtection="1">
      <alignment vertical="center"/>
    </xf>
    <xf numFmtId="0" fontId="2" fillId="2" borderId="1" xfId="0" applyFont="1" applyFill="1" applyBorder="1" applyAlignment="1" applyProtection="1">
      <alignment horizontal="center" vertical="center" wrapText="1"/>
    </xf>
    <xf numFmtId="0" fontId="1" fillId="0" borderId="0" xfId="0" applyFont="1" applyAlignment="1" applyProtection="1">
      <alignment horizontal="center" vertical="center"/>
    </xf>
    <xf numFmtId="0" fontId="1" fillId="0" borderId="1" xfId="0" applyFont="1" applyBorder="1" applyAlignment="1" applyProtection="1">
      <alignment vertical="center" wrapText="1"/>
    </xf>
    <xf numFmtId="14" fontId="1" fillId="0" borderId="1" xfId="0" applyNumberFormat="1" applyFont="1" applyBorder="1" applyAlignment="1" applyProtection="1">
      <alignment horizontal="center" vertical="center" wrapText="1"/>
    </xf>
    <xf numFmtId="0" fontId="1" fillId="0" borderId="1" xfId="0" applyFont="1" applyBorder="1" applyAlignment="1" applyProtection="1">
      <alignment horizontal="center" vertical="center" wrapText="1"/>
    </xf>
    <xf numFmtId="14" fontId="1" fillId="0" borderId="1" xfId="0" applyNumberFormat="1" applyFont="1" applyBorder="1" applyAlignment="1" applyProtection="1">
      <alignment vertical="center" wrapText="1"/>
    </xf>
    <xf numFmtId="164" fontId="1" fillId="0" borderId="2" xfId="0" applyNumberFormat="1" applyFont="1" applyBorder="1" applyAlignment="1" applyProtection="1">
      <alignment vertical="center" wrapText="1"/>
    </xf>
    <xf numFmtId="0" fontId="1" fillId="0" borderId="2" xfId="0" applyFont="1" applyBorder="1" applyAlignment="1" applyProtection="1">
      <alignment vertical="center" wrapText="1"/>
    </xf>
    <xf numFmtId="0" fontId="4" fillId="0" borderId="2" xfId="1" applyFont="1" applyBorder="1" applyAlignment="1" applyProtection="1">
      <alignment vertical="center" wrapText="1"/>
    </xf>
    <xf numFmtId="14" fontId="1" fillId="0" borderId="2" xfId="0" applyNumberFormat="1" applyFont="1" applyBorder="1" applyAlignment="1" applyProtection="1">
      <alignment vertical="center" wrapText="1"/>
    </xf>
    <xf numFmtId="0" fontId="4" fillId="0" borderId="1" xfId="1" applyFont="1" applyBorder="1" applyAlignment="1" applyProtection="1">
      <alignment vertical="center" wrapText="1"/>
    </xf>
  </cellXfs>
  <cellStyles count="2">
    <cellStyle name="Hipervínculo" xfId="1" builtinId="8"/>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dimension ref="A1:Q2"/>
  <x:sheetViews>
    <x:sheetView showGridLines="0" tabSelected="1" zoomScaleNormal="100" workbookViewId="0">
      <x:selection sqref="A1:XFD1"/>
    </x:sheetView>
  </x:sheetViews>
  <x:sheetFormatPr baseColWidth="10" defaultColWidth="11.5703125" defaultRowHeight="12.75"/>
  <x:cols>
    <x:col min="1" max="1" width="8.5703125" style="1" customWidth="1"/>
    <x:col min="2" max="2" width="18.85546875" style="1" customWidth="1"/>
    <x:col min="3" max="3" width="19.140625" style="2" customWidth="1"/>
    <x:col min="4" max="4" width="11.140625" style="2" customWidth="1"/>
    <x:col min="5" max="5" width="14.85546875" style="1" hidden="1" customWidth="1"/>
    <x:col min="6" max="6" width="24.7109375" style="1" customWidth="1"/>
    <x:col min="7" max="7" width="57.42578125" style="1" customWidth="1"/>
    <x:col min="8" max="8" width="17.140625" style="1" customWidth="1"/>
    <x:col min="9" max="9" width="14.28515625" style="1" customWidth="1"/>
    <x:col min="10" max="10" width="16.85546875" style="1" hidden="1" customWidth="1"/>
    <x:col min="11" max="11" width="19.42578125" style="1" hidden="1" customWidth="1"/>
    <x:col min="12" max="12" width="33.85546875" style="1" customWidth="1"/>
    <x:col min="13" max="13" width="15.85546875" style="1" hidden="1" customWidth="1"/>
    <x:col min="14" max="14" width="13.85546875" style="1" hidden="1" customWidth="1"/>
    <x:col min="15" max="15" width="11.7109375" style="1" hidden="1" customWidth="1"/>
    <x:col min="16" max="16" width="17.140625" style="1" customWidth="1"/>
    <x:col min="17" max="17" width="29.7109375" style="1" customWidth="1"/>
    <x:col min="18" max="16384" width="11.5703125" style="3"/>
  </x:cols>
  <x:sheetData>
    <x:row r="1" spans="1:17" s="5" customFormat="1" ht="25.5">
      <x:c r="A1" s="4" t="s">
        <x:v>0</x:v>
      </x:c>
      <x:c r="B1" s="4" t="s">
        <x:v>1</x:v>
      </x:c>
      <x:c r="C1" s="4" t="s">
        <x:v>2</x:v>
      </x:c>
      <x:c r="D1" s="4" t="s">
        <x:v>3</x:v>
      </x:c>
      <x:c r="E1" s="4" t="s">
        <x:v>4</x:v>
      </x:c>
      <x:c r="F1" s="4" t="s">
        <x:v>5</x:v>
      </x:c>
      <x:c r="G1" s="4" t="s">
        <x:v>6</x:v>
      </x:c>
      <x:c r="H1" s="4" t="s">
        <x:v>7</x:v>
      </x:c>
      <x:c r="I1" s="4" t="s">
        <x:v>8</x:v>
      </x:c>
      <x:c r="J1" s="4" t="s">
        <x:v>9</x:v>
      </x:c>
      <x:c r="K1" s="4" t="s">
        <x:v>10</x:v>
      </x:c>
      <x:c r="L1" s="4" t="s">
        <x:v>11</x:v>
      </x:c>
      <x:c r="M1" s="4" t="s">
        <x:v>12</x:v>
      </x:c>
      <x:c r="N1" s="4" t="s">
        <x:v>13</x:v>
      </x:c>
      <x:c r="O1" s="4" t="s">
        <x:v>14</x:v>
      </x:c>
      <x:c r="P1" s="4" t="s">
        <x:v>15</x:v>
      </x:c>
      <x:c r="Q1" s="4" t="s">
        <x:v>16</x:v>
      </x:c>
    </x:row>
    <x:row r="2" spans="1:17">
      <x:c r="A2" s="6" t="s">
        <x:v>17</x:v>
      </x:c>
      <x:c r="B2" s="6" t="s">
        <x:v>18</x:v>
      </x:c>
      <x:c r="C2" s="7" t="s">
        <x:v>19</x:v>
      </x:c>
      <x:c r="D2" s="8" t="s">
        <x:v>20</x:v>
      </x:c>
      <x:c r="E2" s="9" t="s">
        <x:v>21</x:v>
      </x:c>
      <x:c r="F2" s="6" t="s">
        <x:v>22</x:v>
      </x:c>
      <x:c r="G2" s="6" t="s">
        <x:v>23</x:v>
      </x:c>
      <x:c r="H2" s="6" t="s">
        <x:v>24</x:v>
      </x:c>
      <x:c r="I2" s="10" t="n">
        <x:v>30500.00</x:v>
      </x:c>
      <x:c r="J2" s="11" t="s">
        <x:v>25</x:v>
      </x:c>
      <x:c r="K2" s="11" t="s">
        <x:v>26</x:v>
      </x:c>
      <x:c r="L2" s="12" t="str">
        <x:f xml:space="preserve">HYPERLINK("https://contractaciopublica.cat/ca/detall-publicacio/909835f1-8a0a-4860-be0c-154ba08833e8/300617899","contractaciopublica.cat/ca/detall-publicacio/909835f1-8a0a-4860-be0c-154ba08833e8/300617899")</x:f>
        <x:v>contractaciopublica.cat/ca/detall-publicacio/909835f1-8a0a-4860-be0c-154ba08833e8/300617899</x:v>
      </x:c>
      <x:c r="M2" s="11" t="s">
        <x:v>27</x:v>
      </x:c>
      <x:c r="N2" s="13" t="s">
        <x:v>21</x:v>
      </x:c>
      <x:c r="O2" s="11" t="s">
        <x:v>28</x:v>
      </x:c>
      <x:c r="P2" s="11" t="s">
        <x:v>29</x:v>
      </x:c>
      <x:c r="Q2" s="14" t="str">
        <x:f xml:space="preserve">HYPERLINK("https://www.infonalia.es/licitaciones1125/2025162048.pdf","www.infonalia.es/licitaciones1125/2025162048.pdf")</x:f>
        <x:v>www.infonalia.es/licitaciones1125/2025162048.pdf</x:v>
      </x:c>
    </x:row>
    <x:row r="3">
      <x:c r="A3" s="6" t="s">
        <x:v>17</x:v>
      </x:c>
      <x:c r="B3" s="6" t="s">
        <x:v>18</x:v>
      </x:c>
      <x:c r="C3" s="7" t="s">
        <x:v>30</x:v>
      </x:c>
      <x:c r="D3" s="8" t="s">
        <x:v>31</x:v>
      </x:c>
      <x:c r="E3" s="9" t="s">
        <x:v>21</x:v>
      </x:c>
      <x:c r="F3" s="6" t="s">
        <x:v>32</x:v>
      </x:c>
      <x:c r="G3" s="6" t="s">
        <x:v>33</x:v>
      </x:c>
      <x:c r="H3" s="6" t="s">
        <x:v>34</x:v>
      </x:c>
      <x:c r="I3" s="10" t="n">
        <x:v>120000.00</x:v>
      </x:c>
      <x:c r="J3" s="11" t="s">
        <x:v>25</x:v>
      </x:c>
      <x:c r="K3" s="11" t="s">
        <x:v>26</x:v>
      </x:c>
      <x:c r="L3" s="12" t="str">
        <x:f xml:space="preserve">HYPERLINK("https://contractaciopublica.cat/ca/detall-publicacio/d3676bed-6231-488f-a02b-edd71302faa4/300617892","contractaciopublica.cat/ca/detall-publicacio/d3676bed-6231-488f-a02b-edd71302faa4/300617892")</x:f>
        <x:v>contractaciopublica.cat/ca/detall-publicacio/d3676bed-6231-488f-a02b-edd71302faa4/300617892</x:v>
      </x:c>
      <x:c r="M3" s="11" t="s">
        <x:v>27</x:v>
      </x:c>
      <x:c r="N3" s="13" t="s">
        <x:v>21</x:v>
      </x:c>
      <x:c r="O3" s="11" t="s">
        <x:v>35</x:v>
      </x:c>
      <x:c r="P3" s="11" t="s">
        <x:v>36</x:v>
      </x:c>
      <x:c r="Q3" s="14" t="str">
        <x:f xml:space="preserve">HYPERLINK("https://www.infonalia.es/licitaciones1125/2025162049.pdf","www.infonalia.es/licitaciones1125/2025162049.pdf")</x:f>
        <x:v>www.infonalia.es/licitaciones1125/2025162049.pdf</x:v>
      </x:c>
    </x:row>
    <x:row r="4">
      <x:c r="A4" s="6" t="s">
        <x:v>17</x:v>
      </x:c>
      <x:c r="B4" s="6" t="s">
        <x:v>18</x:v>
      </x:c>
      <x:c r="C4" s="7" t="s">
        <x:v>19</x:v>
      </x:c>
      <x:c r="D4" s="8" t="s">
        <x:v>37</x:v>
      </x:c>
      <x:c r="E4" s="9" t="s">
        <x:v>21</x:v>
      </x:c>
      <x:c r="F4" s="6" t="s">
        <x:v>38</x:v>
      </x:c>
      <x:c r="G4" s="6" t="s">
        <x:v>39</x:v>
      </x:c>
      <x:c r="H4" s="6" t="s">
        <x:v>40</x:v>
      </x:c>
      <x:c r="I4" s="10" t="n">
        <x:v>9500.00</x:v>
      </x:c>
      <x:c r="J4" s="11" t="s">
        <x:v>25</x:v>
      </x:c>
      <x:c r="K4" s="11" t="s">
        <x:v>26</x:v>
      </x:c>
      <x:c r="L4" s="12" t="str">
        <x:f xml:space="preserve">HYPERLINK("https://contractaciopublica.cat/ca/detall-publicacio/10e5a791-1b80-4312-9b9b-a18ac5d831c4/300617720","contractaciopublica.cat/ca/detall-publicacio/10e5a791-1b80-4312-9b9b-a18ac5d831c4/300617720")</x:f>
        <x:v>contractaciopublica.cat/ca/detall-publicacio/10e5a791-1b80-4312-9b9b-a18ac5d831c4/300617720</x:v>
      </x:c>
      <x:c r="M4" s="11" t="s">
        <x:v>27</x:v>
      </x:c>
      <x:c r="N4" s="13" t="s">
        <x:v>21</x:v>
      </x:c>
      <x:c r="O4" s="11" t="s">
        <x:v>41</x:v>
      </x:c>
      <x:c r="P4" s="11" t="s">
        <x:v>42</x:v>
      </x:c>
      <x:c r="Q4" s="14" t="str">
        <x:f xml:space="preserve">HYPERLINK("https://www.infonalia.es/licitaciones1125/2025162058.pdf","www.infonalia.es/licitaciones1125/2025162058.pdf")</x:f>
        <x:v>www.infonalia.es/licitaciones1125/2025162058.pdf</x:v>
      </x:c>
    </x:row>
    <x:row r="5">
      <x:c r="A5" s="6" t="s">
        <x:v>17</x:v>
      </x:c>
      <x:c r="B5" s="6" t="s">
        <x:v>18</x:v>
      </x:c>
      <x:c r="C5" s="7" t="s">
        <x:v>43</x:v>
      </x:c>
      <x:c r="D5" s="8" t="s">
        <x:v>44</x:v>
      </x:c>
      <x:c r="E5" s="9" t="s">
        <x:v>21</x:v>
      </x:c>
      <x:c r="F5" s="6" t="s">
        <x:v>45</x:v>
      </x:c>
      <x:c r="G5" s="6" t="s">
        <x:v>46</x:v>
      </x:c>
      <x:c r="H5" s="6" t="s">
        <x:v>47</x:v>
      </x:c>
      <x:c r="I5" s="10" t="n">
        <x:v>59615.00</x:v>
      </x:c>
      <x:c r="J5" s="11" t="s">
        <x:v>25</x:v>
      </x:c>
      <x:c r="K5" s="11" t="s">
        <x:v>26</x:v>
      </x:c>
      <x:c r="L5" s="12" t="str">
        <x:f xml:space="preserve">HYPERLINK("https://contrataciondelestado.es/wps/poc?uri=deeplink:detalle_licitacion&amp;idEvl=cId4%2BuxjgjvkY6rls5tG9A%3D%3D","contrataciondelestado.es/wps/poc?uri=deeplink:detalle_licitacion&amp;idEvl=cId4%2BuxjgjvkY6rls5tG9A%3D%3D")</x:f>
        <x:v>contrataciondelestado.es/wps/poc?uri=deeplink:detalle_licitacion&amp;idEvl=cId4%2BuxjgjvkY6rls5tG9A%3D%3D</x:v>
      </x:c>
      <x:c r="M5" s="11" t="s">
        <x:v>27</x:v>
      </x:c>
      <x:c r="N5" s="13" t="s">
        <x:v>21</x:v>
      </x:c>
      <x:c r="O5" s="11" t="s">
        <x:v>48</x:v>
      </x:c>
      <x:c r="P5" s="11" t="s">
        <x:v>49</x:v>
      </x:c>
      <x:c r="Q5" s="14" t="str">
        <x:f xml:space="preserve">HYPERLINK("https://www.infonalia.es/licitaciones1125/2025162152.pdf","www.infonalia.es/licitaciones1125/2025162152.pdf")</x:f>
        <x:v>www.infonalia.es/licitaciones1125/2025162152.pdf</x:v>
      </x:c>
    </x:row>
    <x:row r="6">
      <x:c r="A6" s="6" t="s">
        <x:v>17</x:v>
      </x:c>
      <x:c r="B6" s="6" t="s">
        <x:v>18</x:v>
      </x:c>
      <x:c r="C6" s="7" t="s">
        <x:v>50</x:v>
      </x:c>
      <x:c r="D6" s="8" t="s">
        <x:v>51</x:v>
      </x:c>
      <x:c r="E6" s="9" t="s">
        <x:v>21</x:v>
      </x:c>
      <x:c r="F6" s="6" t="s">
        <x:v>52</x:v>
      </x:c>
      <x:c r="G6" s="6" t="s">
        <x:v>53</x:v>
      </x:c>
      <x:c r="H6" s="6" t="s">
        <x:v>54</x:v>
      </x:c>
      <x:c r="I6" s="10" t="n">
        <x:v>31097.26</x:v>
      </x:c>
      <x:c r="J6" s="11" t="s">
        <x:v>25</x:v>
      </x:c>
      <x:c r="K6" s="11" t="s">
        <x:v>26</x:v>
      </x:c>
      <x:c r="L6" s="12" t="str">
        <x:f xml:space="preserve">HYPERLINK("https://contractaciopublica.cat/ca/detall-publicacio/e9957595-3bce-464f-b115-8dac5b379b3b/300617469","contractaciopublica.cat/ca/detall-publicacio/e9957595-3bce-464f-b115-8dac5b379b3b/300617469")</x:f>
        <x:v>contractaciopublica.cat/ca/detall-publicacio/e9957595-3bce-464f-b115-8dac5b379b3b/300617469</x:v>
      </x:c>
      <x:c r="M6" s="11" t="s">
        <x:v>27</x:v>
      </x:c>
      <x:c r="N6" s="13" t="s">
        <x:v>21</x:v>
      </x:c>
      <x:c r="O6" s="11" t="s">
        <x:v>55</x:v>
      </x:c>
      <x:c r="P6" s="11" t="s">
        <x:v>29</x:v>
      </x:c>
      <x:c r="Q6" s="14" t="str">
        <x:f xml:space="preserve">HYPERLINK("https://www.infonalia.es/licitaciones1125/2025162168.pdf","www.infonalia.es/licitaciones1125/2025162168.pdf")</x:f>
        <x:v>www.infonalia.es/licitaciones1125/2025162168.pdf</x:v>
      </x:c>
    </x:row>
    <x:row r="7">
      <x:c r="A7" s="6" t="s">
        <x:v>17</x:v>
      </x:c>
      <x:c r="B7" s="6" t="s">
        <x:v>18</x:v>
      </x:c>
      <x:c r="C7" s="7" t="s">
        <x:v>56</x:v>
      </x:c>
      <x:c r="D7" s="8" t="s">
        <x:v>57</x:v>
      </x:c>
      <x:c r="E7" s="9" t="s">
        <x:v>21</x:v>
      </x:c>
      <x:c r="F7" s="6" t="s">
        <x:v>58</x:v>
      </x:c>
      <x:c r="G7" s="6" t="s">
        <x:v>59</x:v>
      </x:c>
      <x:c r="H7" s="6" t="s">
        <x:v>60</x:v>
      </x:c>
      <x:c r="I7" s="10" t="n">
        <x:v>82811.29</x:v>
      </x:c>
      <x:c r="J7" s="11" t="s">
        <x:v>25</x:v>
      </x:c>
      <x:c r="K7" s="11" t="s">
        <x:v>26</x:v>
      </x:c>
      <x:c r="L7" s="12" t="str">
        <x:f xml:space="preserve">HYPERLINK("https://contrataciondelestado.es/wps/poc?uri=deeplink:detalle_licitacion&amp;idEvl=W3S3NF9%2F5%2Fk36J9Lctlsuw%3D%3D","contrataciondelestado.es/wps/poc?uri=deeplink:detalle_licitacion&amp;idEvl=W3S3NF9%2F5%2Fk36J9Lctlsuw%3D%3D")</x:f>
        <x:v>contrataciondelestado.es/wps/poc?uri=deeplink:detalle_licitacion&amp;idEvl=W3S3NF9%2F5%2Fk36J9Lctlsuw%3D%3D</x:v>
      </x:c>
      <x:c r="M7" s="11" t="s">
        <x:v>27</x:v>
      </x:c>
      <x:c r="N7" s="13" t="s">
        <x:v>21</x:v>
      </x:c>
      <x:c r="O7" s="11" t="s">
        <x:v>61</x:v>
      </x:c>
      <x:c r="P7" s="11" t="s">
        <x:v>49</x:v>
      </x:c>
      <x:c r="Q7" s="14" t="str">
        <x:f xml:space="preserve">HYPERLINK("https://www.infonalia.es/licitaciones1125/2025162300.pdf","www.infonalia.es/licitaciones1125/2025162300.pdf")</x:f>
        <x:v>www.infonalia.es/licitaciones1125/2025162300.pdf</x:v>
      </x:c>
    </x:row>
    <x:row r="8">
      <x:c r="A8" s="6" t="s">
        <x:v>17</x:v>
      </x:c>
      <x:c r="B8" s="6" t="s">
        <x:v>18</x:v>
      </x:c>
      <x:c r="C8" s="7" t="s">
        <x:v>19</x:v>
      </x:c>
      <x:c r="D8" s="8" t="s">
        <x:v>62</x:v>
      </x:c>
      <x:c r="E8" s="9" t="s">
        <x:v>21</x:v>
      </x:c>
      <x:c r="F8" s="6" t="s">
        <x:v>63</x:v>
      </x:c>
      <x:c r="G8" s="6" t="s">
        <x:v>64</x:v>
      </x:c>
      <x:c r="H8" s="6" t="s">
        <x:v>65</x:v>
      </x:c>
      <x:c r="I8" s="10" t="n">
        <x:v>57949.43</x:v>
      </x:c>
      <x:c r="J8" s="11" t="s">
        <x:v>25</x:v>
      </x:c>
      <x:c r="K8" s="11" t="s">
        <x:v>26</x:v>
      </x:c>
      <x:c r="L8" s="12" t="str">
        <x:f xml:space="preserve">HYPERLINK("https://contractaciopublica.cat/ca/detall-publicacio/f0e28c7e-aa0a-45b1-a54e-c9f919ec6f6c/300616891","contractaciopublica.cat/ca/detall-publicacio/f0e28c7e-aa0a-45b1-a54e-c9f919ec6f6c/300616891")</x:f>
        <x:v>contractaciopublica.cat/ca/detall-publicacio/f0e28c7e-aa0a-45b1-a54e-c9f919ec6f6c/300616891</x:v>
      </x:c>
      <x:c r="M8" s="11" t="s">
        <x:v>27</x:v>
      </x:c>
      <x:c r="N8" s="13" t="s">
        <x:v>21</x:v>
      </x:c>
      <x:c r="O8" s="11" t="s">
        <x:v>66</x:v>
      </x:c>
      <x:c r="P8" s="11" t="s">
        <x:v>36</x:v>
      </x:c>
      <x:c r="Q8" s="14" t="str">
        <x:f xml:space="preserve">HYPERLINK("https://www.infonalia.es/licitaciones1125/2025162342.pdf","www.infonalia.es/licitaciones1125/2025162342.pdf")</x:f>
        <x:v>www.infonalia.es/licitaciones1125/2025162342.pdf</x:v>
      </x:c>
    </x:row>
    <x:row r="9">
      <x:c r="A9" s="6" t="s">
        <x:v>17</x:v>
      </x:c>
      <x:c r="B9" s="6" t="s">
        <x:v>67</x:v>
      </x:c>
      <x:c r="C9" s="7" t="s">
        <x:v>68</x:v>
      </x:c>
      <x:c r="D9" s="8" t="s">
        <x:v>69</x:v>
      </x:c>
      <x:c r="E9" s="9" t="s">
        <x:v>21</x:v>
      </x:c>
      <x:c r="F9" s="6" t="s">
        <x:v>70</x:v>
      </x:c>
      <x:c r="G9" s="6" t="s">
        <x:v>71</x:v>
      </x:c>
      <x:c r="H9" s="6" t="s">
        <x:v>72</x:v>
      </x:c>
      <x:c r="I9" s="10" t="n">
        <x:v>14500.00</x:v>
      </x:c>
      <x:c r="J9" s="11" t="s">
        <x:v>25</x:v>
      </x:c>
      <x:c r="K9" s="11" t="s">
        <x:v>73</x:v>
      </x:c>
      <x:c r="L9" s="12" t="str">
        <x:f xml:space="preserve">HYPERLINK("https://licitacions.bcn.cat/licitacion/licitaciones/detalle?id=13633189","licitacions.bcn.cat/licitacion/licitaciones/detalle?id=13633189")</x:f>
        <x:v>licitacions.bcn.cat/licitacion/licitaciones/detalle?id=13633189</x:v>
      </x:c>
      <x:c r="M9" s="11" t="s">
        <x:v>27</x:v>
      </x:c>
      <x:c r="N9" s="13" t="s">
        <x:v>74</x:v>
      </x:c>
      <x:c r="O9" s="11" t="s">
        <x:v>75</x:v>
      </x:c>
      <x:c r="P9" s="11" t="s">
        <x:v>29</x:v>
      </x:c>
      <x:c r="Q9" s="14" t="str">
        <x:f xml:space="preserve">HYPERLINK("https://www.infonalia.es/licitaciones1125/2025162455.pdf","www.infonalia.es/licitaciones1125/2025162455.pdf")</x:f>
        <x:v>www.infonalia.es/licitaciones1125/2025162455.pdf</x:v>
      </x:c>
    </x:row>
    <x:row r="10">
      <x:c r="A10" s="6" t="s">
        <x:v>17</x:v>
      </x:c>
      <x:c r="B10" s="6" t="s">
        <x:v>67</x:v>
      </x:c>
      <x:c r="C10" s="7" t="s">
        <x:v>76</x:v>
      </x:c>
      <x:c r="D10" s="8" t="s">
        <x:v>77</x:v>
      </x:c>
      <x:c r="E10" s="9" t="s">
        <x:v>21</x:v>
      </x:c>
      <x:c r="F10" s="6" t="s">
        <x:v>70</x:v>
      </x:c>
      <x:c r="G10" s="6" t="s">
        <x:v>78</x:v>
      </x:c>
      <x:c r="H10" s="6" t="s">
        <x:v>79</x:v>
      </x:c>
      <x:c r="I10" s="10" t="n">
        <x:v>2208.00</x:v>
      </x:c>
      <x:c r="J10" s="11" t="s">
        <x:v>25</x:v>
      </x:c>
      <x:c r="K10" s="11" t="s">
        <x:v>80</x:v>
      </x:c>
      <x:c r="L10" s="12" t="str">
        <x:f xml:space="preserve">HYPERLINK("https://licitacions.bcn.cat/licitacion/licitaciones/detalle?id=13618734","licitacions.bcn.cat/licitacion/licitaciones/detalle?id=13618734")</x:f>
        <x:v>licitacions.bcn.cat/licitacion/licitaciones/detalle?id=13618734</x:v>
      </x:c>
      <x:c r="M10" s="11" t="s">
        <x:v>27</x:v>
      </x:c>
      <x:c r="N10" s="13" t="s">
        <x:v>81</x:v>
      </x:c>
      <x:c r="O10" s="11" t="s">
        <x:v>82</x:v>
      </x:c>
      <x:c r="P10" s="11" t="s">
        <x:v>29</x:v>
      </x:c>
      <x:c r="Q10" s="14" t="str">
        <x:f xml:space="preserve">HYPERLINK("https://www.infonalia.es/licitaciones1125/2025162460.pdf","www.infonalia.es/licitaciones1125/2025162460.pdf")</x:f>
        <x:v>www.infonalia.es/licitaciones1125/2025162460.pdf</x:v>
      </x:c>
    </x:row>
    <x:row r="11">
      <x:c r="A11" s="6" t="s">
        <x:v>17</x:v>
      </x:c>
      <x:c r="B11" s="6" t="s">
        <x:v>83</x:v>
      </x:c>
      <x:c r="C11" s="7" t="s">
        <x:v>84</x:v>
      </x:c>
      <x:c r="D11" s="8" t="s">
        <x:v>85</x:v>
      </x:c>
      <x:c r="E11" s="9" t="s">
        <x:v>21</x:v>
      </x:c>
      <x:c r="F11" s="6" t="s">
        <x:v>86</x:v>
      </x:c>
      <x:c r="G11" s="6" t="s">
        <x:v>87</x:v>
      </x:c>
      <x:c r="H11" s="6" t="s">
        <x:v>88</x:v>
      </x:c>
      <x:c r="I11" s="10" t="n">
        <x:v>187271.27</x:v>
      </x:c>
      <x:c r="J11" s="11" t="s">
        <x:v>25</x:v>
      </x:c>
      <x:c r="K11" s="11" t="s">
        <x:v>89</x:v>
      </x:c>
      <x:c r="L11" s="12" t="str">
        <x:f xml:space="preserve">HYPERLINK("https://licitaciones2.ifema.es/licitacion/licitaciones/detalle?id=3028394","licitaciones2.ifema.es/licitacion/licitaciones/detalle?id=3028394")</x:f>
        <x:v>licitaciones2.ifema.es/licitacion/licitaciones/detalle?id=3028394</x:v>
      </x:c>
      <x:c r="M11" s="11" t="s">
        <x:v>27</x:v>
      </x:c>
      <x:c r="N11" s="13" t="s">
        <x:v>74</x:v>
      </x:c>
      <x:c r="O11" s="11" t="s">
        <x:v>90</x:v>
      </x:c>
      <x:c r="P11" s="11" t="s">
        <x:v>49</x:v>
      </x:c>
      <x:c r="Q11" s="14" t="str">
        <x:f xml:space="preserve">HYPERLINK("https://www.infonalia.es/licitaciones1125/2025162581.pdf","www.infonalia.es/licitaciones1125/2025162581.pdf")</x:f>
        <x:v>www.infonalia.es/licitaciones1125/2025162581.pdf</x:v>
      </x:c>
    </x:row>
    <x:row r="12">
      <x:c r="A12" s="6" t="s">
        <x:v>17</x:v>
      </x:c>
      <x:c r="B12" s="6" t="s">
        <x:v>18</x:v>
      </x:c>
      <x:c r="C12" s="7" t="s">
        <x:v>30</x:v>
      </x:c>
      <x:c r="D12" s="8" t="s">
        <x:v>91</x:v>
      </x:c>
      <x:c r="E12" s="9" t="s">
        <x:v>21</x:v>
      </x:c>
      <x:c r="F12" s="6" t="s">
        <x:v>92</x:v>
      </x:c>
      <x:c r="G12" s="6" t="s">
        <x:v>93</x:v>
      </x:c>
      <x:c r="H12" s="6" t="s">
        <x:v>94</x:v>
      </x:c>
      <x:c r="I12" s="10" t="n">
        <x:v>63827.58</x:v>
      </x:c>
      <x:c r="J12" s="11" t="s">
        <x:v>25</x:v>
      </x:c>
      <x:c r="K12" s="11" t="s">
        <x:v>26</x:v>
      </x:c>
      <x:c r="L12" s="12" t="str">
        <x:f xml:space="preserve">HYPERLINK("https://contratos-publicos.comunidad.madrid/contrato-publico/pas-ser-122025-gestion-pruebas-enfermeras-auxiliar-administrativo","contratos-publicos.comunidad.madrid/contrato-publico/pas-ser-122025-gestion-pruebas-enfermeras-auxiliar-administrativo")</x:f>
        <x:v>contratos-publicos.comunidad.madrid/contrato-publico/pas-ser-122025-gestion-pruebas-enfermeras-auxiliar-administrativo</x:v>
      </x:c>
      <x:c r="M12" s="11" t="s">
        <x:v>27</x:v>
      </x:c>
      <x:c r="N12" s="13" t="s">
        <x:v>21</x:v>
      </x:c>
      <x:c r="O12" s="11" t="s">
        <x:v>95</x:v>
      </x:c>
      <x:c r="P12" s="11" t="s">
        <x:v>49</x:v>
      </x:c>
      <x:c r="Q12" s="14" t="str">
        <x:f xml:space="preserve">HYPERLINK("https://www.infonalia.es/licitaciones1125/2025162619.pdf","www.infonalia.es/licitaciones1125/2025162619.pdf")</x:f>
        <x:v>www.infonalia.es/licitaciones1125/2025162619.pdf</x:v>
      </x:c>
    </x:row>
    <x:row r="13">
      <x:c r="A13" s="6" t="s">
        <x:v>17</x:v>
      </x:c>
      <x:c r="B13" s="6" t="s">
        <x:v>18</x:v>
      </x:c>
      <x:c r="C13" s="7" t="s">
        <x:v>30</x:v>
      </x:c>
      <x:c r="D13" s="8" t="s">
        <x:v>96</x:v>
      </x:c>
      <x:c r="E13" s="9" t="s">
        <x:v>21</x:v>
      </x:c>
      <x:c r="F13" s="6" t="s">
        <x:v>97</x:v>
      </x:c>
      <x:c r="G13" s="6" t="s">
        <x:v>98</x:v>
      </x:c>
      <x:c r="H13" s="6" t="s">
        <x:v>99</x:v>
      </x:c>
      <x:c r="I13" s="10" t="n">
        <x:v>129952.76</x:v>
      </x:c>
      <x:c r="J13" s="11" t="s">
        <x:v>25</x:v>
      </x:c>
      <x:c r="K13" s="11" t="s">
        <x:v>26</x:v>
      </x:c>
      <x:c r="L13" s="12" t="str">
        <x:f xml:space="preserve">HYPERLINK("https://contractaciopublica.cat/ca/detall-publicacio/1d714272-01c6-4ba7-b2d6-fa8a8bf3bae5/300618174","contractaciopublica.cat/ca/detall-publicacio/1d714272-01c6-4ba7-b2d6-fa8a8bf3bae5/300618174")</x:f>
        <x:v>contractaciopublica.cat/ca/detall-publicacio/1d714272-01c6-4ba7-b2d6-fa8a8bf3bae5/300618174</x:v>
      </x:c>
      <x:c r="M13" s="11" t="s">
        <x:v>27</x:v>
      </x:c>
      <x:c r="N13" s="13" t="s">
        <x:v>21</x:v>
      </x:c>
      <x:c r="O13" s="11" t="s">
        <x:v>100</x:v>
      </x:c>
      <x:c r="P13" s="11" t="s">
        <x:v>29</x:v>
      </x:c>
      <x:c r="Q13" s="14" t="str">
        <x:f xml:space="preserve">HYPERLINK("https://www.infonalia.es/licitaciones1125/2025162652.pdf","www.infonalia.es/licitaciones1125/2025162652.pdf")</x:f>
        <x:v>www.infonalia.es/licitaciones1125/2025162652.pdf</x:v>
      </x:c>
    </x:row>
    <x:row r="14">
      <x:c r="A14" s="6" t="s">
        <x:v>17</x:v>
      </x:c>
      <x:c r="B14" s="6" t="s">
        <x:v>18</x:v>
      </x:c>
      <x:c r="C14" s="7" t="s">
        <x:v>56</x:v>
      </x:c>
      <x:c r="D14" s="8" t="s">
        <x:v>101</x:v>
      </x:c>
      <x:c r="E14" s="9" t="s">
        <x:v>21</x:v>
      </x:c>
      <x:c r="F14" s="6" t="s">
        <x:v>102</x:v>
      </x:c>
      <x:c r="G14" s="6" t="s">
        <x:v>103</x:v>
      </x:c>
      <x:c r="H14" s="6" t="s">
        <x:v>104</x:v>
      </x:c>
      <x:c r="I14" s="10" t="n">
        <x:v>1188039.22</x:v>
      </x:c>
      <x:c r="J14" s="11" t="s">
        <x:v>25</x:v>
      </x:c>
      <x:c r="K14" s="11" t="s">
        <x:v>26</x:v>
      </x:c>
      <x:c r="L14" s="12" t="str">
        <x:f xml:space="preserve">HYPERLINK("https://contractaciopublica.cat/ca/detall-publicacio/82b01388-5c1a-4a84-bcc2-47f52db386e1/300617222","contractaciopublica.cat/ca/detall-publicacio/82b01388-5c1a-4a84-bcc2-47f52db386e1/300617222")</x:f>
        <x:v>contractaciopublica.cat/ca/detall-publicacio/82b01388-5c1a-4a84-bcc2-47f52db386e1/300617222</x:v>
      </x:c>
      <x:c r="M14" s="11" t="s">
        <x:v>27</x:v>
      </x:c>
      <x:c r="N14" s="13" t="s">
        <x:v>21</x:v>
      </x:c>
      <x:c r="O14" s="11" t="s">
        <x:v>105</x:v>
      </x:c>
      <x:c r="P14" s="11" t="s">
        <x:v>42</x:v>
      </x:c>
      <x:c r="Q14" s="14" t="str">
        <x:f xml:space="preserve">HYPERLINK("https://www.infonalia.es/licitaciones1125/2025162659.pdf","www.infonalia.es/licitaciones1125/2025162659.pdf")</x:f>
        <x:v>www.infonalia.es/licitaciones1125/2025162659.pdf</x:v>
      </x:c>
    </x:row>
    <x:row r="15">
      <x:c r="A15" s="6" t="s">
        <x:v>17</x:v>
      </x:c>
      <x:c r="B15" s="6" t="s">
        <x:v>18</x:v>
      </x:c>
      <x:c r="C15" s="7" t="s">
        <x:v>106</x:v>
      </x:c>
      <x:c r="D15" s="8" t="s">
        <x:v>107</x:v>
      </x:c>
      <x:c r="E15" s="9" t="s">
        <x:v>21</x:v>
      </x:c>
      <x:c r="F15" s="6" t="s">
        <x:v>108</x:v>
      </x:c>
      <x:c r="G15" s="6" t="s">
        <x:v>109</x:v>
      </x:c>
      <x:c r="H15" s="6" t="s">
        <x:v>110</x:v>
      </x:c>
      <x:c r="I15" s="10" t="n">
        <x:v>1158663.00</x:v>
      </x:c>
      <x:c r="J15" s="11" t="s">
        <x:v>25</x:v>
      </x:c>
      <x:c r="K15" s="11" t="s">
        <x:v>26</x:v>
      </x:c>
      <x:c r="L15" s="12" t="str">
        <x:f xml:space="preserve">HYPERLINK("https://contrataciondelestado.es/wps/poc?uri=deeplink:detalle_licitacion&amp;idEvl=f8JucnA2jYjzAq95uGTrDQ%3D%3D","contrataciondelestado.es/wps/poc?uri=deeplink:detalle_licitacion&amp;idEvl=f8JucnA2jYjzAq95uGTrDQ%3D%3D")</x:f>
        <x:v>contrataciondelestado.es/wps/poc?uri=deeplink:detalle_licitacion&amp;idEvl=f8JucnA2jYjzAq95uGTrDQ%3D%3D</x:v>
      </x:c>
      <x:c r="M15" s="11" t="s">
        <x:v>27</x:v>
      </x:c>
      <x:c r="N15" s="13" t="s">
        <x:v>21</x:v>
      </x:c>
      <x:c r="O15" s="11" t="s">
        <x:v>111</x:v>
      </x:c>
      <x:c r="P15" s="11" t="s">
        <x:v>112</x:v>
      </x:c>
      <x:c r="Q15" s="14" t="str">
        <x:f xml:space="preserve">HYPERLINK("https://www.infonalia.es/licitaciones1125/2025162683.pdf","www.infonalia.es/licitaciones1125/2025162683.pdf")</x:f>
        <x:v>www.infonalia.es/licitaciones1125/2025162683.pdf</x:v>
      </x:c>
    </x:row>
    <x:row r="16">
      <x:c r="A16" s="6" t="s">
        <x:v>17</x:v>
      </x:c>
      <x:c r="B16" s="6" t="s">
        <x:v>18</x:v>
      </x:c>
      <x:c r="C16" s="7" t="s">
        <x:v>19</x:v>
      </x:c>
      <x:c r="D16" s="8" t="s">
        <x:v>113</x:v>
      </x:c>
      <x:c r="E16" s="9" t="s">
        <x:v>21</x:v>
      </x:c>
      <x:c r="F16" s="6" t="s">
        <x:v>114</x:v>
      </x:c>
      <x:c r="G16" s="6" t="s">
        <x:v>115</x:v>
      </x:c>
      <x:c r="H16" s="6" t="s">
        <x:v>116</x:v>
      </x:c>
      <x:c r="I16" s="10" t="n">
        <x:v>15000.00</x:v>
      </x:c>
      <x:c r="J16" s="11" t="s">
        <x:v>25</x:v>
      </x:c>
      <x:c r="K16" s="11" t="s">
        <x:v>26</x:v>
      </x:c>
      <x:c r="L16" s="12" t="str">
        <x:f xml:space="preserve">HYPERLINK("https://contrataciondelestado.es/wps/poc?uri=deeplink:detalle_licitacion&amp;idEvl=%2F8O%2BbvfK79SFQ%2FlhRK79lA%3D%3D","contrataciondelestado.es/wps/poc?uri=deeplink:detalle_licitacion&amp;idEvl=%2F8O%2BbvfK79SFQ%2FlhRK79lA%3D%3D")</x:f>
        <x:v>contrataciondelestado.es/wps/poc?uri=deeplink:detalle_licitacion&amp;idEvl=%2F8O%2BbvfK79SFQ%2FlhRK79lA%3D%3D</x:v>
      </x:c>
      <x:c r="M16" s="11" t="s">
        <x:v>27</x:v>
      </x:c>
      <x:c r="N16" s="13" t="s">
        <x:v>21</x:v>
      </x:c>
      <x:c r="O16" s="11" t="s">
        <x:v>117</x:v>
      </x:c>
      <x:c r="P16" s="11" t="s">
        <x:v>112</x:v>
      </x:c>
      <x:c r="Q16" s="14" t="str">
        <x:f xml:space="preserve">HYPERLINK("https://www.infonalia.es/licitaciones1125/2025162697.pdf","www.infonalia.es/licitaciones1125/2025162697.pdf")</x:f>
        <x:v>www.infonalia.es/licitaciones1125/2025162697.pdf</x:v>
      </x:c>
    </x:row>
    <x:row r="17">
      <x:c r="A17" s="6" t="s">
        <x:v>17</x:v>
      </x:c>
      <x:c r="B17" s="6" t="s">
        <x:v>18</x:v>
      </x:c>
      <x:c r="C17" s="7" t="s">
        <x:v>118</x:v>
      </x:c>
      <x:c r="D17" s="8" t="s">
        <x:v>119</x:v>
      </x:c>
      <x:c r="E17" s="9" t="s">
        <x:v>21</x:v>
      </x:c>
      <x:c r="F17" s="6" t="s">
        <x:v>120</x:v>
      </x:c>
      <x:c r="G17" s="6" t="s">
        <x:v>121</x:v>
      </x:c>
      <x:c r="H17" s="6" t="s">
        <x:v>122</x:v>
      </x:c>
      <x:c r="I17" s="10" t="n">
        <x:v>180000.00</x:v>
      </x:c>
      <x:c r="J17" s="11" t="s">
        <x:v>25</x:v>
      </x:c>
      <x:c r="K17" s="11" t="s">
        <x:v>26</x:v>
      </x:c>
      <x:c r="L17" s="12" t="str">
        <x:f xml:space="preserve">HYPERLINK("https://contractaciopublica.cat/ca/detall-publicacio/d6ace147-de3c-40a5-832d-b825dc168846/300616163","contractaciopublica.cat/ca/detall-publicacio/d6ace147-de3c-40a5-832d-b825dc168846/300616163")</x:f>
        <x:v>contractaciopublica.cat/ca/detall-publicacio/d6ace147-de3c-40a5-832d-b825dc168846/300616163</x:v>
      </x:c>
      <x:c r="M17" s="11" t="s">
        <x:v>27</x:v>
      </x:c>
      <x:c r="N17" s="13" t="s">
        <x:v>21</x:v>
      </x:c>
      <x:c r="O17" s="11" t="s">
        <x:v>123</x:v>
      </x:c>
      <x:c r="P17" s="11" t="s">
        <x:v>36</x:v>
      </x:c>
      <x:c r="Q17" s="14" t="str">
        <x:f xml:space="preserve">HYPERLINK("https://www.infonalia.es/licitaciones1125/2025162796.pdf","www.infonalia.es/licitaciones1125/2025162796.pdf")</x:f>
        <x:v>www.infonalia.es/licitaciones1125/2025162796.pdf</x:v>
      </x:c>
    </x:row>
    <x:row r="18">
      <x:c r="A18" s="6" t="s">
        <x:v>17</x:v>
      </x:c>
      <x:c r="B18" s="6" t="s">
        <x:v>124</x:v>
      </x:c>
      <x:c r="C18" s="7" t="s">
        <x:v>26</x:v>
      </x:c>
      <x:c r="D18" s="8" t="s">
        <x:v>125</x:v>
      </x:c>
      <x:c r="E18" s="9" t="s">
        <x:v>21</x:v>
      </x:c>
      <x:c r="F18" s="6" t="s">
        <x:v>126</x:v>
      </x:c>
      <x:c r="G18" s="6" t="s">
        <x:v>127</x:v>
      </x:c>
      <x:c r="H18" s="6" t="s">
        <x:v>128</x:v>
      </x:c>
      <x:c r="I18" s="10"/>
      <x:c r="J18" s="11" t="s">
        <x:v>129</x:v>
      </x:c>
      <x:c r="K18" s="11" t="s">
        <x:v>130</x:v>
      </x:c>
      <x:c r="L18" s="12" t="str">
        <x:f xml:space="preserve">HYPERLINK("https://contractaciopublica.gencat.cat/perfil/DIPTA","contractaciopublica.gencat.cat/perfil/DIPTA")</x:f>
        <x:v>contractaciopublica.gencat.cat/perfil/DIPTA</x:v>
      </x:c>
      <x:c r="M18" s="11" t="s">
        <x:v>131</x:v>
      </x:c>
      <x:c r="N18" s="13" t="s">
        <x:v>74</x:v>
      </x:c>
      <x:c r="O18" s="11" t="s">
        <x:v>132</x:v>
      </x:c>
      <x:c r="P18" s="11" t="s">
        <x:v>42</x:v>
      </x:c>
      <x:c r="Q18" s="14" t="str">
        <x:f xml:space="preserve">HYPERLINK("https://www.infonalia.es/licitaciones1125/2025162818.pdf","www.infonalia.es/licitaciones1125/2025162818.pdf")</x:f>
        <x:v>www.infonalia.es/licitaciones1125/2025162818.pdf</x:v>
      </x:c>
    </x:row>
  </x:sheetData>
  <x:autoFilter ref="A1:Q1"/>
  <x:pageMargins left="0.7" right="0.7" top="0.75" bottom="0.75" header="0.511811023622047" footer="0.511811023622047"/>
  <x:pageSetup paperSize="9" orientation="portrait" horizontalDpi="300" verticalDpi="300"/>
</x: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Licitaciones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direc</dc:creator>
  <dc:description/>
  <cp:lastModifiedBy>.</cp:lastModifiedBy>
  <cp:revision>2</cp:revision>
  <dcterms:created xsi:type="dcterms:W3CDTF">2024-12-04T08:39:24Z</dcterms:created>
  <dcterms:modified xsi:type="dcterms:W3CDTF">2025-01-20T07:55:14Z</dcterms:modified>
  <dc:language>es-ES</dc:language>
</cp:coreProperties>
</file>