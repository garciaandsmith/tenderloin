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<x:sst xmlns:x="http://schemas.openxmlformats.org/spreadsheetml/2006/main" count="11" uniqueCount="11">
  <x:si>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</x:si>
  <x:si>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</x:si>
  <x:si>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</x:si>
  <x:si>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</x:si>
  <x:si>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</x:si>
  <x:si>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</x:si>
  <x:si>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</x:si>
  <x:si>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</x:si>
  <x:si>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</x:si>
  <x:si>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</x:si>
  <x:si>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</x:si>
  <x:si>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</x:si>
  <x:si>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LABORATORIO DE SISTEMAS Y ANÁLISIS SL</x:t>
  </x:si>
  <x:si>
    <x:t>24/11/2025 0:00:00</x:t>
  </x:si>
  <x:si>
    <x:t>25232191</x:t>
  </x:si>
  <x:si>
    <x:t>ÁREA DE GOBIERNO DE VICEALCALDÍA, PORTAVOZ, SEGURIDAD Y EMERGENCIAS DEL AYUNTAMIENTO DE MADRID</x:t>
  </x:si>
  <x:si>
    <x:t>Prestación de servicios para el desarrollo de la prueba de conocimientos de dos procesos selectivos en el ámbito de la Dirección General de Policía Municipal de Madrid. El objeto de este contrato es la elaboración de los cuadernillos de examen, incluyendo el diseño, la maquetación, reprografiado y entrega de los mismos, así como la elaboración de hojas de respuestas de lectura óptica y la corrección de la Prueba de Conocimientos de los procesos selectivos señalados.</x:t>
  </x:si>
  <x:si>
    <x:t>300/2025/02459</x:t>
  </x:si>
  <x:si>
    <x:t>Madrid</x:t>
  </x:si>
  <x:si>
    <x:t>PUBLI CHOICE, S.L</x:t>
  </x:si>
  <x:si>
    <x:t>25232296</x:t>
  </x:si>
  <x:si>
    <x:t>SERVICIO MADRILEÑO DE SALUD. GERENCIA ASISTENCIAL DE ATENCIÓN PRIMARIA</x:t>
  </x:si>
  <x:si>
    <x:t>Servicio de audiovisuales para el diseño y producción de materiales destinados al programa de buenas prácticas clínicas de la Gerencia Asistencial de Atención primaria del Servicio Madrileño de Salud</x:t>
  </x:si>
  <x:si>
    <x:t>A/SER-039217/2025</x:t>
  </x:si>
  <x:si>
    <x:t>Ver detalle de la adjudicación</x:t>
  </x:si>
  <x:si>
    <x:t>TRES TIPOS GRÁFICOS S.L</x:t>
  </x:si>
  <x:si>
    <x:t>25232614</x:t>
  </x:si>
  <x:si>
    <x:t>Creatividad de infografías en materia de accesibilidad</x:t>
  </x:si>
  <x:si>
    <x:t>145/2023/00612.2.67</x:t>
  </x:si>
  <x:si>
    <x:t>PELICULA WASP, A.I.E</x:t>
  </x:si>
  <x:si>
    <x:t>25232661</x:t>
  </x:si>
  <x:si>
    <x:t>AYUNTAMIENTO DE MADRID. COORDINACIÓN GENERAL DE LA ALCALDÍA</x:t>
  </x:si>
  <x:si>
    <x:t>Contrato privado de patrocinio de largometraje ambientado y rodado íntegramente en Madrid, denominado provisionalmente "WASP 2026".</x:t>
  </x:si>
  <x:si>
    <x:t>511202527324</x:t>
  </x:si>
  <x:si>
    <x:t>SPAIN INVESTORS DAY</x:t>
  </x:si>
  <x:si>
    <x:t>25232720</x:t>
  </x:si>
  <x:si>
    <x:t>PRESIDENCIA DE LA COMPAÑÍA ESPAÑOLA DE FINANCIACIÓN DEL DESARROLLO. COFIDES S.A., S.M.E</x:t>
  </x:si>
  <x:si>
    <x:t>Patrocinio Spain Investors Day.</x:t>
  </x:si>
  <x:si>
    <x:t>25PRES040</x:t>
  </x:si>
  <x:si>
    <x:t>CUMPLEN ASOCIACION DE PROFESIONALES DE CUMPLIMIENTO NORMATIVO</x:t>
  </x:si>
  <x:si>
    <x:t>25232731</x:t>
  </x:si>
  <x:si>
    <x:t>AENA. DIRECCIÓN DE CONTRATACIÓN</x:t>
  </x:si>
  <x:si>
    <x:t>Patrocinio "Somos Integridad Y Cumplimiento 2025"</x:t>
  </x:si>
  <x:si>
    <x:t>DCU-531/2025</x:t>
  </x:si>
  <x:si>
    <x:t>Formalizado</x:t>
  </x:si>
  <x:si>
    <x:t>LOTE 1 ACTIVIDADES DE OCIO Y EDUCACIÓN SL.; LOTE 2 KAURI SPORTWEAR S.L </x:t>
  </x:si>
  <x:si>
    <x:t>25232835</x:t>
  </x:si>
  <x:si>
    <x:t>MINISTERIO DE CIENCIA, INNOVACIÓN Y UNIVERSIDADES. DIRECCIÓN GENERAL DEL CENTRO PARA EL DESARROLLO TECNOLÓGICO Y LA INNOVACIÓN, E.P.E</x:t>
  </x:si>
  <x:si>
    <x:t>Servicios de apoyo a la gestión y organización de eventos de CDTI. Lote 1: Servicios de apoyo a la gestión de eventos de promoción del CDTI. Lote 2: Suministro de material promocional para eventos del CDTI. Lote 3: Servicios de apoyo a la gestión de eventos institucionales y corporativos del CDTI.</x:t>
  </x:si>
  <x:si>
    <x:t>09/2025 AB (SG)</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</x:si>
</x:sst>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HYPERLINK("https://www.infonalia.es/adjudicaciones1125/25232191.pdf","www.infonalia.es/adjudicaciones1125/25232191.pdf")</x:f>
        <x:v>www.infonalia.es/adjudicaciones1125/25232191.pdf</x:v>
      </x:c>
      <x:c r="E2" s="8" t="s">
        <x:v>14</x:v>
      </x:c>
      <x:c r="F2" s="6" t="s">
        <x:v>15</x:v>
      </x:c>
      <x:c r="G2" s="6" t="s">
        <x:v>16</x:v>
      </x:c>
      <x:c r="H2" s="6" t="s">
        <x:v>17</x:v>
      </x:c>
      <x:c r="I2" s="6" t="s">
        <x:v>18</x:v>
      </x:c>
      <x:c r="J2" s="9" t="n">
        <x:v>21994.43</x:v>
      </x:c>
      <x:c r="K2" s="9" t="n">
        <x:v>49072.80</x:v>
      </x:c>
    </x:row>
    <x:row r="3">
      <x:c r="A3" s="6" t="s">
        <x:v>11</x:v>
      </x:c>
      <x:c r="B3" s="6" t="s">
        <x:v>19</x:v>
      </x:c>
      <x:c r="C3" s="6" t="s">
        <x:v>13</x:v>
      </x:c>
      <x:c r="D3" s="7" t="str">
        <x:f xml:space="preserve">HYPERLINK("https://www.infonalia.es/adjudicaciones1125/25232296.pdf","www.infonalia.es/adjudicaciones1125/25232296.pdf")</x:f>
        <x:v>www.infonalia.es/adjudicaciones1125/25232296.pdf</x:v>
      </x:c>
      <x:c r="E3" s="8" t="s">
        <x:v>20</x:v>
      </x:c>
      <x:c r="F3" s="6" t="s">
        <x:v>21</x:v>
      </x:c>
      <x:c r="G3" s="6" t="s">
        <x:v>22</x:v>
      </x:c>
      <x:c r="H3" s="6" t="s">
        <x:v>23</x:v>
      </x:c>
      <x:c r="I3" s="6" t="s">
        <x:v>18</x:v>
      </x:c>
      <x:c r="J3" s="9" t="s">
        <x:v>24</x:v>
      </x:c>
      <x:c r="K3" s="9" t="n">
        <x:v>39944.00</x:v>
      </x:c>
    </x:row>
    <x:row r="4">
      <x:c r="A4" s="6" t="s">
        <x:v>11</x:v>
      </x:c>
      <x:c r="B4" s="6" t="s">
        <x:v>25</x:v>
      </x:c>
      <x:c r="C4" s="6" t="s">
        <x:v>13</x:v>
      </x:c>
      <x:c r="D4" s="7" t="str">
        <x:f xml:space="preserve">HYPERLINK("https://www.infonalia.es/adjudicaciones1125/25232614.pdf","www.infonalia.es/adjudicaciones1125/25232614.pdf")</x:f>
        <x:v>www.infonalia.es/adjudicaciones1125/25232614.pdf</x:v>
      </x:c>
      <x:c r="E4" s="8" t="s">
        <x:v>26</x:v>
      </x:c>
      <x:c r="F4" s="6" t="s">
        <x:v>15</x:v>
      </x:c>
      <x:c r="G4" s="6" t="s">
        <x:v>27</x:v>
      </x:c>
      <x:c r="H4" s="6" t="s">
        <x:v>28</x:v>
      </x:c>
      <x:c r="I4" s="6" t="s">
        <x:v>18</x:v>
      </x:c>
      <x:c r="J4" s="9" t="n">
        <x:v>3280.00</x:v>
      </x:c>
      <x:c r="K4" s="9" t="n">
        <x:v>3280.00</x:v>
      </x:c>
    </x:row>
    <x:row r="5">
      <x:c r="A5" s="6" t="s">
        <x:v>11</x:v>
      </x:c>
      <x:c r="B5" s="6" t="s">
        <x:v>29</x:v>
      </x:c>
      <x:c r="C5" s="6" t="s">
        <x:v>13</x:v>
      </x:c>
      <x:c r="D5" s="7" t="str">
        <x:f xml:space="preserve">HYPERLINK("https://www.infonalia.es/adjudicaciones1125/25232661.pdf","www.infonalia.es/adjudicaciones1125/25232661.pdf")</x:f>
        <x:v>www.infonalia.es/adjudicaciones1125/25232661.pdf</x:v>
      </x:c>
      <x:c r="E5" s="8" t="s">
        <x:v>30</x:v>
      </x:c>
      <x:c r="F5" s="6" t="s">
        <x:v>31</x:v>
      </x:c>
      <x:c r="G5" s="6" t="s">
        <x:v>32</x:v>
      </x:c>
      <x:c r="H5" s="6" t="s">
        <x:v>33</x:v>
      </x:c>
      <x:c r="I5" s="6" t="s">
        <x:v>18</x:v>
      </x:c>
      <x:c r="J5" s="9" t="n">
        <x:v>1239669.42</x:v>
      </x:c>
      <x:c r="K5" s="9" t="n">
        <x:v>1239669.42</x:v>
      </x:c>
    </x:row>
    <x:row r="6">
      <x:c r="A6" s="6" t="s">
        <x:v>11</x:v>
      </x:c>
      <x:c r="B6" s="6" t="s">
        <x:v>34</x:v>
      </x:c>
      <x:c r="C6" s="6" t="s">
        <x:v>13</x:v>
      </x:c>
      <x:c r="D6" s="7" t="str">
        <x:f xml:space="preserve">HYPERLINK("https://www.infonalia.es/adjudicaciones1125/25232720.pdf","www.infonalia.es/adjudicaciones1125/25232720.pdf")</x:f>
        <x:v>www.infonalia.es/adjudicaciones1125/25232720.pdf</x:v>
      </x:c>
      <x:c r="E6" s="8" t="s">
        <x:v>35</x:v>
      </x:c>
      <x:c r="F6" s="6" t="s">
        <x:v>36</x:v>
      </x:c>
      <x:c r="G6" s="6" t="s">
        <x:v>37</x:v>
      </x:c>
      <x:c r="H6" s="6" t="s">
        <x:v>38</x:v>
      </x:c>
      <x:c r="I6" s="6" t="s">
        <x:v>18</x:v>
      </x:c>
      <x:c r="J6" s="9" t="n">
        <x:v>23931.00</x:v>
      </x:c>
      <x:c r="K6" s="9" t="n">
        <x:v>23931.00</x:v>
      </x:c>
    </x:row>
    <x:row r="7">
      <x:c r="A7" s="6" t="s">
        <x:v>11</x:v>
      </x:c>
      <x:c r="B7" s="6" t="s">
        <x:v>39</x:v>
      </x:c>
      <x:c r="C7" s="6" t="s">
        <x:v>13</x:v>
      </x:c>
      <x:c r="D7" s="7" t="str">
        <x:f xml:space="preserve">HYPERLINK("https://www.infonalia.es/adjudicaciones1125/25232731.pdf","www.infonalia.es/adjudicaciones1125/25232731.pdf")</x:f>
        <x:v>www.infonalia.es/adjudicaciones1125/25232731.pdf</x:v>
      </x:c>
      <x:c r="E7" s="8" t="s">
        <x:v>40</x:v>
      </x:c>
      <x:c r="F7" s="6" t="s">
        <x:v>41</x:v>
      </x:c>
      <x:c r="G7" s="6" t="s">
        <x:v>42</x:v>
      </x:c>
      <x:c r="H7" s="6" t="s">
        <x:v>43</x:v>
      </x:c>
      <x:c r="I7" s="6" t="s">
        <x:v>18</x:v>
      </x:c>
      <x:c r="J7" s="9" t="n">
        <x:v>5000.00</x:v>
      </x:c>
      <x:c r="K7" s="9" t="n">
        <x:v>5000.00</x:v>
      </x:c>
    </x:row>
    <x:row r="8">
      <x:c r="A8" s="6" t="s">
        <x:v>44</x:v>
      </x:c>
      <x:c r="B8" s="6" t="s">
        <x:v>45</x:v>
      </x:c>
      <x:c r="C8" s="6" t="s">
        <x:v>13</x:v>
      </x:c>
      <x:c r="D8" s="7" t="str">
        <x:f xml:space="preserve">HYPERLINK("https://www.infonalia.es/adjudicaciones1125/25232835.pdf","www.infonalia.es/adjudicaciones1125/25232835.pdf")</x:f>
        <x:v>www.infonalia.es/adjudicaciones1125/25232835.pdf</x:v>
      </x:c>
      <x:c r="E8" s="8" t="s">
        <x:v>46</x:v>
      </x:c>
      <x:c r="F8" s="6" t="s">
        <x:v>47</x:v>
      </x:c>
      <x:c r="G8" s="6" t="s">
        <x:v>48</x:v>
      </x:c>
      <x:c r="H8" s="6" t="s">
        <x:v>49</x:v>
      </x:c>
      <x:c r="I8" s="6" t="s">
        <x:v>18</x:v>
      </x:c>
      <x:c r="J8" s="9" t="s">
        <x:v>24</x:v>
      </x:c>
      <x:c r="K8" s="9" t="n">
        <x:v>1061222.57</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