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<x:sst xmlns:x="http://schemas.openxmlformats.org/spreadsheetml/2006/main" count="6" uniqueCount="6">
  <x:si>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</x:si>
  <x:si>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</x:si>
  <x:si>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</x:si>
  <x:si>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</x:si>
  <x:si>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</x:si>
  <x:si>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</x:si>
  <x:si>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2025090576</x:t>
  </x:si>
  <x:si>
    <x:t>Reanudación del procedimiento</x:t>
  </x:si>
  <x:si>
    <x:t>MINISTERIO DE INDUSTRIA Y TURISMO. INSTITUTO DE TURISMO DE ESPAÑA (TURESPAÑA)</x:t>
  </x:si>
  <x:si>
    <x:t>Concesión de obra, para la redacción del proyecto y dirección facultativa, construcción y explotación del Palacio de Congresos y Exposiciones de Madrid</x:t>
  </x:si>
  <x:si>
    <x:t>2025161880</x:t>
  </x:si>
  <x:si>
    <x:t>Corrección de errores</x:t>
  </x:si>
  <x:si>
    <x:t>SOCIEDAD PÚBLICA DE GESTIÓN Y PROMOCIÓN TURÍSTICA Y CULTURAL DEL PRINCIPADO DE ASTURIAS S.A.U</x:t>
  </x:si>
  <x:si>
    <x:t>Servicio de promoción turística, cultural y polo de actividad económica del Principado de Asturias a través de su conectividad aérea directa con los principales mercados europeos. Lote 1 - Conectividad aérea con Londres. Lote 2 - Conectividad aérea con París. Lote 3 - Conectividad aérea con Bruselas. Lote 4 - Conectividad aérea con Lisboa. Lote 5 - Conectividad aérea con Oporto. Lote 6 - Conectividad aérea con Roma. Lote 7 - Conectividad aérea con Milan. Lote 8 - Conectividad aérea con Venecia, Bolonia o Florencia. Lote 9 - Conectividad aérea con Dublin. Lote 10 - Conectividad aérea con Amsterdam. </x:t>
  </x:si>
  <x:si>
    <x:t>2025165816</x:t>
  </x:si>
  <x:si>
    <x:t>GERENCIA DE LA UNIVERSIDAD DE ALCALÁ</x:t>
  </x:si>
  <x:si>
    <x:t>Servicios de edición, personalización, impresión y entrega a la Universidad de los títulos universitarios oficiales, suplementos europeos al título y títulos propios en formato papel</x:t>
  </x:si>
  <x:si>
    <x:t>2025166532</x:t>
  </x:si>
  <x:si>
    <x:t>Aclaración / Ampliación de pliegos</x:t>
  </x:si>
  <x:si>
    <x:t>AYUNTAMIENTO DE VILADECANS (BARCELONA)</x:t>
  </x:si>
  <x:si>
    <x:t>Servicio de gestión y organización general de la comida de la gente mayor de Viladecans para los años 2026 y 2027.</x:t>
  </x:si>
  <x:si>
    <x:t>2025167783</x:t>
  </x:si>
  <x:si>
    <x:t>AYUNTAMIENTO DE GRANOLLERS (BARCELONA)</x:t>
  </x:si>
  <x:si>
    <x:t>Servicio de gestión, organización, coordinación y ejecución del XVIII congreso internacional ciudades educadoras.</x:t>
  </x:si>
  <x:si>
    <x:t>2025170119</x:t>
  </x:si>
  <x:si>
    <x:t>AYUNTAMIENTO DE LLIÇÀ DE VALL (BARCELONA)</x:t>
  </x:si>
  <x:si>
    <x:t>Prestación del servicio de diseño, producción, gestión y ejecución de las actividades infantiles y familiares para niños hasta 12 años las cuales se realizarán los días 2, 3 y 4 de enero de 2026 en el Parque de Navidad “Lliçàinfants 2026” emplazado en el Pabellón de Deportes Municipal</x:t>
  </x:si>
  <x:si>
    <x:t>2025170300</x:t>
  </x:si>
  <x:si>
    <x:t>CONSELL COMARCAL DEL BAGES (BARCELONA)</x:t>
  </x:si>
  <x:si>
    <x:t>El objeto de este pliego es la contratación de la prestación del servicio de comunicación integral que trabaja la implementación y la estrategia para posicionar el Bages como un destino turístico. Este servicio permitirá disponer de un gabinete de prensa que permita comunicar los proyectos y acciones que realiza la Unidad de Turismo del Consejo Comarcal de El Bages, así como la comunicación y promoción turística constante del destino Bages-Geoparc a través de las redes sociales.</x:t>
  </x:si>
  <x:si>
    <x:t>2025172837</x:t>
  </x:si>
  <x:si>
    <x:t>HAZI DESARROLLO RURAL LITORAL Y ALIMENTARIO-DIRECTOR/A </x:t>
  </x:si>
  <x:si>
    <x:t>Prestación de los servicios para la ejecución de una campaña de promoción y sensibilización de productos europeos con denominación de origen en los mercados de Japón y Corea del Sur durante 3 años, en el marco del programa CAPRICE II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</x:si>
</x:sst>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HYPERLINK("https://www.infonalia.es/modificaciones1225/2025090576.pdf","www.infonalia.es/modificaciones1225/2025090576.pdf")</x:f>
        <x:v>www.infonalia.es/modificaciones1225/2025090576.pdf</x:v>
      </x:c>
      <x:c r="F2" s="5" t="str">
        <x:f xml:space="preserve">HYPERLINK("https://www.infonalia.es/licitaciones0625/2025090576.pdf","www.infonalia.es/licitaciones0625/2025090576.pdf")</x:f>
        <x:v>www.infonalia.es/licitaciones0625/2025090576.pdf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HYPERLINK("https://www.infonalia.es/modificaciones1225/2025161880.pdf","www.infonalia.es/modificaciones1225/2025161880.pdf")</x:f>
        <x:v>www.infonalia.es/modificaciones1225/2025161880.pdf</x:v>
      </x:c>
      <x:c r="F3" s="5" t="str">
        <x:f xml:space="preserve">HYPERLINK("https://www.infonalia.es/licitaciones1125/2025161880.pdf","www.infonalia.es/licitaciones1125/2025161880.pdf")</x:f>
        <x:v>www.infonalia.es/licitaciones1125/2025161880.pdf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HYPERLINK("https://www.infonalia.es/modificaciones1225/2025165816.pdf","www.infonalia.es/modificaciones1225/2025165816.pdf")</x:f>
        <x:v>www.infonalia.es/modificaciones1225/2025165816.pdf</x:v>
      </x:c>
      <x:c r="F4" s="5" t="str">
        <x:f xml:space="preserve">HYPERLINK("https://www.infonalia.es/licitaciones1125/2025165816.pdf","www.infonalia.es/licitaciones1125/2025165816.pdf")</x:f>
        <x:v>www.infonalia.es/licitaciones1125/2025165816.pdf</x:v>
      </x:c>
    </x:row>
    <x:row r="5">
      <x:c r="A5" s="3" t="s">
        <x:v>17</x:v>
      </x:c>
      <x:c r="B5" s="4" t="s">
        <x:v>18</x:v>
      </x:c>
      <x:c r="C5" s="4" t="s">
        <x:v>19</x:v>
      </x:c>
      <x:c r="D5" s="4" t="s">
        <x:v>20</x:v>
      </x:c>
      <x:c r="E5" s="5" t="str">
        <x:f xml:space="preserve">HYPERLINK("https://www.infonalia.es/modificaciones1225/2025166532.pdf","www.infonalia.es/modificaciones1225/2025166532.pdf")</x:f>
        <x:v>www.infonalia.es/modificaciones1225/2025166532.pdf</x:v>
      </x:c>
      <x:c r="F5" s="5" t="str">
        <x:f xml:space="preserve">HYPERLINK("https://www.infonalia.es/licitaciones1125/2025166532.pdf","www.infonalia.es/licitaciones1125/2025166532.pdf")</x:f>
        <x:v>www.infonalia.es/licitaciones1125/2025166532.pdf</x:v>
      </x:c>
    </x:row>
    <x:row r="6">
      <x:c r="A6" s="3" t="s">
        <x:v>21</x:v>
      </x:c>
      <x:c r="B6" s="4" t="s">
        <x:v>18</x:v>
      </x:c>
      <x:c r="C6" s="4" t="s">
        <x:v>22</x:v>
      </x:c>
      <x:c r="D6" s="4" t="s">
        <x:v>23</x:v>
      </x:c>
      <x:c r="E6" s="5" t="str">
        <x:f xml:space="preserve">HYPERLINK("https://www.infonalia.es/modificaciones1225/2025167783.pdf","www.infonalia.es/modificaciones1225/2025167783.pdf")</x:f>
        <x:v>www.infonalia.es/modificaciones1225/2025167783.pdf</x:v>
      </x:c>
      <x:c r="F6" s="5" t="str">
        <x:f xml:space="preserve">HYPERLINK("https://www.infonalia.es/licitaciones1125/2025167783.pdf","www.infonalia.es/licitaciones1125/2025167783.pdf")</x:f>
        <x:v>www.infonalia.es/licitaciones1125/2025167783.pdf</x:v>
      </x:c>
    </x:row>
    <x:row r="7">
      <x:c r="A7" s="3" t="s">
        <x:v>24</x:v>
      </x:c>
      <x:c r="B7" s="4" t="s">
        <x:v>18</x:v>
      </x:c>
      <x:c r="C7" s="4" t="s">
        <x:v>25</x:v>
      </x:c>
      <x:c r="D7" s="4" t="s">
        <x:v>26</x:v>
      </x:c>
      <x:c r="E7" s="5" t="str">
        <x:f xml:space="preserve">HYPERLINK("https://www.infonalia.es/modificaciones1225/2025170119.pdf","www.infonalia.es/modificaciones1225/2025170119.pdf")</x:f>
        <x:v>www.infonalia.es/modificaciones1225/2025170119.pdf</x:v>
      </x:c>
      <x:c r="F7" s="5" t="str">
        <x:f xml:space="preserve">HYPERLINK("https://www.infonalia.es/licitaciones1125/2025170119.pdf","www.infonalia.es/licitaciones1125/2025170119.pdf")</x:f>
        <x:v>www.infonalia.es/licitaciones1125/2025170119.pdf</x:v>
      </x:c>
    </x:row>
    <x:row r="8">
      <x:c r="A8" s="3" t="s">
        <x:v>27</x:v>
      </x:c>
      <x:c r="B8" s="4" t="s">
        <x:v>18</x:v>
      </x:c>
      <x:c r="C8" s="4" t="s">
        <x:v>28</x:v>
      </x:c>
      <x:c r="D8" s="4" t="s">
        <x:v>29</x:v>
      </x:c>
      <x:c r="E8" s="5" t="str">
        <x:f xml:space="preserve">HYPERLINK("https://www.infonalia.es/modificaciones1225/2025170300.pdf","www.infonalia.es/modificaciones1225/2025170300.pdf")</x:f>
        <x:v>www.infonalia.es/modificaciones1225/2025170300.pdf</x:v>
      </x:c>
      <x:c r="F8" s="5" t="str">
        <x:f xml:space="preserve">HYPERLINK("https://www.infonalia.es/licitaciones1125/2025170300.pdf","www.infonalia.es/licitaciones1125/2025170300.pdf")</x:f>
        <x:v>www.infonalia.es/licitaciones1125/2025170300.pdf</x:v>
      </x:c>
    </x:row>
    <x:row r="9">
      <x:c r="A9" s="3" t="s">
        <x:v>30</x:v>
      </x:c>
      <x:c r="B9" s="4" t="s">
        <x:v>18</x:v>
      </x:c>
      <x:c r="C9" s="4" t="s">
        <x:v>31</x:v>
      </x:c>
      <x:c r="D9" s="4" t="s">
        <x:v>32</x:v>
      </x:c>
      <x:c r="E9" s="5" t="str">
        <x:f xml:space="preserve">HYPERLINK("https://www.infonalia.es/modificaciones1225/2025172837.pdf","www.infonalia.es/modificaciones1225/2025172837.pdf")</x:f>
        <x:v>www.infonalia.es/modificaciones1225/2025172837.pdf</x:v>
      </x:c>
      <x:c r="F9" s="5" t="str">
        <x:f xml:space="preserve">HYPERLINK("https://www.infonalia.es/licitaciones1225/2025172837.pdf","www.infonalia.es/licitaciones1225/2025172837.pdf")</x:f>
        <x:v>www.infonalia.es/licitaciones1225/2025172837.pdf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