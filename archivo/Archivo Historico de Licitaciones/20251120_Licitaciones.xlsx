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<x:sst xmlns:x="http://schemas.openxmlformats.org/spreadsheetml/2006/main" count="17" uniqueCount="17">
  <x:si>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</x:si>
  <x:si>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</x:si>
  <x:si>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</x:si>
  <x:si>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</x:si>
  <x:si>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</x:si>
  <x:si>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</x:si>
  <x:si>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</x:si>
  <x:si>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</x:si>
  <x:si>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</x:si>
  <x:si>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</x:si>
  <x:si>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</x:si>
  <x:si>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</x:si>
  <x:si>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</x:si>
  <x:si>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</x:si>
  <x:si>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</x:si>
  <x:si>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</x:si>
  <x:si>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</x:si>
  <x:si>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</x:si>
  <x:si>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</x:si>
  <x:si>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03/12/2025</x:t>
  </x:si>
  <x:si>
    <x:t>2025165226</x:t>
  </x:si>
  <x:si>
    <x:t>20/11/2025</x:t>
  </x:si>
  <x:si>
    <x:t>DIRECCIÓN DEL MUSEO NACIONAL CENTRO DE ARTE REINA SOFÍA</x:t>
  </x:si>
  <x:si>
    <x:t>Servicio de montaje, mantenimiento y desmontaje museográfico de la exposición temporal “AURÈLIA MUÑOZ” del Museo Nacional Centro de Arte Reina Sofía.</x:t>
  </x:si>
  <x:si>
    <x:t>202500000390</x:t>
  </x:si>
  <x:si>
    <x:t>Importe sin impuestos</x:t>
  </x:si>
  <x:si>
    <x:t/>
  </x:si>
  <x:si>
    <x:t>-----</x:t>
  </x:si>
  <x:si>
    <x:t>19/11/2025</x:t>
  </x:si>
  <x:si>
    <x:t/>
  </x:si>
  <x:si>
    <x:t>Madrid</x:t>
  </x:si>
  <x:si>
    <x:t>08/12/2025</x:t>
  </x:si>
  <x:si>
    <x:t>2025165267</x:t>
  </x:si>
  <x:si>
    <x:t>PRESIDENCIA DEL CONSEJO DE ADMINISTRACIÓN DE LA AUTORIDAD PORTUARIA DE BARCELONA (PORT DE BARCELONA)</x:t>
  </x:si>
  <x:si>
    <x:t>Diseño, conceptualización, construcción, montaje y desmontaje del estand del Port de Barcelona en la feria SIL BARCELONA 2026.</x:t>
  </x:si>
  <x:si>
    <x:t>2025-00411</x:t>
  </x:si>
  <x:si>
    <x:t/>
  </x:si>
  <x:si>
    <x:t>Barcelona </x:t>
  </x:si>
  <x:si>
    <x:t>01/12/2025</x:t>
  </x:si>
  <x:si>
    <x:t>2025165513</x:t>
  </x:si>
  <x:si>
    <x:t>EMPRESA ESTATAL MERCADOS CENTRALES DE ABASTECIMIENTO SA (MERCASA)</x:t>
  </x:si>
  <x:si>
    <x:t>La contratación de los servicios de una agencia de comunicación integral que de soporte a la celebración del 60 aniversario de Mercasa desde la Dirección de Relaciones Institucionales, ESG y Comunicación</x:t>
  </x:si>
  <x:si>
    <x:t>06/25 DREC</x:t>
  </x:si>
  <x:si>
    <x:t/>
  </x:si>
  <x:si>
    <x:t>Barcelona. Perfil del Contratante del Ayuntamiento</x:t>
  </x:si>
  <x:si>
    <x:t>26/11/2025</x:t>
  </x:si>
  <x:si>
    <x:t>2025165567</x:t>
  </x:si>
  <x:si>
    <x:t>INFORMACIO I COMUNICACIO DE BARCELONA, SA, SPM</x:t>
  </x:si>
  <x:si>
    <x:t>Servicio de Realización remota para la producción especial de Cursa dels Nassos de Barcelona</x:t>
  </x:si>
  <x:si>
    <x:t>016/250215</x:t>
  </x:si>
  <x:si>
    <x:t/>
  </x:si>
  <x:si>
    <x:t/>
  </x:si>
  <x:si>
    <x:t>Barcelona</x:t>
  </x:si>
  <x:si>
    <x:t>25/11/2025</x:t>
  </x:si>
  <x:si>
    <x:t>2025165652</x:t>
  </x:si>
  <x:si>
    <x:t>JUNTA DE GOBIERNO DEL AYUNTAMIENTO DE MÓSTOLES (MADRID)</x:t>
  </x:si>
  <x:si>
    <x:t>Servicio de retransmisión audiovisual o streaming a través de internet de la cabalgata de reyes 2026</x:t>
  </x:si>
  <x:si>
    <x:t>C074COM2025-002</x:t>
  </x:si>
  <x:si>
    <x:t/>
  </x:si>
  <x:si>
    <x:t>05/12/2025</x:t>
  </x:si>
  <x:si>
    <x:t>2025165808</x:t>
  </x:si>
  <x:si>
    <x:t>ALCALDÍA DEL AYUNTAMIENTO DE AVILÉS (ASTURIAS)</x:t>
  </x:si>
  <x:si>
    <x:t>Contratación de los servicios de producción de un audiovisual que consiste una visita virtual a la Villa de Avilés en la Baja Edad Media y el suministro de los equipos necesarios para su reproducción</x:t>
  </x:si>
  <x:si>
    <x:t>AYT/5962/2025</x:t>
  </x:si>
  <x:si>
    <x:t/>
  </x:si>
  <x:si>
    <x:t>Asturias</x:t>
  </x:si>
  <x:si>
    <x:t>22/12/2025</x:t>
  </x:si>
  <x:si>
    <x:t>2025165816</x:t>
  </x:si>
  <x:si>
    <x:t>GERENCIA DE LA UNIVERSIDAD DE ALCALÁ</x:t>
  </x:si>
  <x:si>
    <x:t>Servicios de edición, personalización, impresión y entrega a la Universidad de los títulos universitarios oficiales, suplementos europeos al título y títulos propios en formato papel</x:t>
  </x:si>
  <x:si>
    <x:t>2025/078.SER.ABR.MC</x:t>
  </x:si>
  <x:si>
    <x:t/>
  </x:si>
  <x:si>
    <x:t>19/12/2025</x:t>
  </x:si>
  <x:si>
    <x:t>2025165820</x:t>
  </x:si>
  <x:si>
    <x:t>PRESIDENCIA Y DIRECCIÓN DE ADMINISTRACIÓN Y FINANZAS DE LA DE LA SOCIEDAD MERCANTIL ESTATAL PARA LA GESTIÓN DE LA INNOVACIÓN Y LAS TECNOLOGÍAS TURÍSTICAS, S.A.M.P. (SEGITTUR)</x:t>
  </x:si>
  <x:si>
    <x:t>Servicios de preproducción, grabación y postproducción de vídeos promocionales y toma de fotografías para 198 destinos de España. Las necesidades a satisfacer se específican con mayor detalle en el “liego de prescripciones técnicas de la contratación"</x:t>
  </x:si>
  <x:si>
    <x:t>362025</x:t>
  </x:si>
  <x:si>
    <x:t/>
  </x:si>
  <x:si>
    <x:t>DOUE - Diario Oficial de la Unión Europea (S)</x:t>
  </x:si>
  <x:si>
    <x:t>2025165889</x:t>
  </x:si>
  <x:si>
    <x:t>CORPORACIÓ CATALANA DE MITJANS AUDIOVISUALS, SA (CCMA, SA)</x:t>
  </x:si>
  <x:si>
    <x:t>Gestión de los canales y perfiles a las plataformas externas de video y audio. Servicio de gestión y curación de contenidos de la CCMA, SA en las distintas
plataformas digitales externas, tanto de vídeo como de audio, donde la CCMA tiene presencia
oficial</x:t>
  </x:si>
  <x:si>
    <x:t>No consta</x:t>
  </x:si>
  <x:si>
    <x:t>Ver pliegos</x:t>
  </x:si>
  <x:si>
    <x:t/>
  </x:si>
  <x:si>
    <x:t>223</x:t>
  </x:si>
  <x:si>
    <x:t/>
  </x:si>
  <x:si>
    <x:t>Catalunya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</x:si>
</x:sst>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98400.00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HYPERLINK("https://contrataciondelestado.es/wps/poc?uri=deeplink:detalle_licitacion&amp;idEvl=Nojsoy%2BrznngL1BHd3qjQA%3D%3D","contrataciondelestado.es/wps/poc?uri=deeplink:detalle_licitacion&amp;idEvl=Nojsoy%2BrznngL1BHd3qjQA%3D%3D")</x:f>
        <x:v>contrataciondelestado.es/wps/poc?uri=deeplink:detalle_licitacion&amp;idEvl=Nojsoy%2BrznngL1BHd3qjQA%3D%3D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HYPERLINK("https://www.infonalia.es/licitaciones1125/2025165226.pdf","www.infonalia.es/licitaciones1125/2025165226.pdf")</x:f>
        <x:v>www.infonalia.es/licitaciones1125/2025165226.pdf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75000.00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HYPERLINK("https://contrataciondelestado.es/wps/poc?uri=deeplink:detalle_licitacion&amp;idEvl=2OD5PnAU9WhSYrkJkLlFdw%3D%3D","contrataciondelestado.es/wps/poc?uri=deeplink:detalle_licitacion&amp;idEvl=2OD5PnAU9WhSYrkJkLlFdw%3D%3D")</x:f>
        <x:v>contrataciondelestado.es/wps/poc?uri=deeplink:detalle_licitacion&amp;idEvl=2OD5PnAU9WhSYrkJkLlFdw%3D%3D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HYPERLINK("https://www.infonalia.es/licitaciones1125/2025165267.pdf","www.infonalia.es/licitaciones1125/2025165267.pdf")</x:f>
        <x:v>www.infonalia.es/licitaciones1125/2025165267.pdf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237000.00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HYPERLINK("https://contrataciondelestado.es/wps/poc?uri=deeplink:detalle_licitacion&amp;idEvl=lClVmmaA3EEeIBJRHQiPkQ%3D%3D","contrataciondelestado.es/wps/poc?uri=deeplink:detalle_licitacion&amp;idEvl=lClVmmaA3EEeIBJRHQiPkQ%3D%3D")</x:f>
        <x:v>contrataciondelestado.es/wps/poc?uri=deeplink:detalle_licitacion&amp;idEvl=lClVmmaA3EEeIBJRHQiPkQ%3D%3D</x:v>
      </x:c>
      <x:c r="M4" s="11" t="s">
        <x:v>27</x:v>
      </x:c>
      <x:c r="N4" s="13" t="s">
        <x:v>28</x:v>
      </x:c>
      <x:c r="O4" s="11" t="s">
        <x:v>43</x:v>
      </x:c>
      <x:c r="P4" s="11" t="s">
        <x:v>30</x:v>
      </x:c>
      <x:c r="Q4" s="14" t="str">
        <x:f xml:space="preserve">HYPERLINK("https://www.infonalia.es/licitaciones1125/2025165513.pdf","www.infonalia.es/licitaciones1125/2025165513.pdf")</x:f>
        <x:v>www.infonalia.es/licitaciones1125/2025165513.pdf</x:v>
      </x:c>
    </x:row>
    <x:row r="5">
      <x:c r="A5" s="6" t="s">
        <x:v>17</x:v>
      </x:c>
      <x:c r="B5" s="6" t="s">
        <x:v>44</x:v>
      </x:c>
      <x:c r="C5" s="7" t="s">
        <x:v>45</x:v>
      </x:c>
      <x:c r="D5" s="8" t="s">
        <x:v>46</x:v>
      </x:c>
      <x:c r="E5" s="9" t="s">
        <x:v>21</x:v>
      </x:c>
      <x:c r="F5" s="6" t="s">
        <x:v>47</x:v>
      </x:c>
      <x:c r="G5" s="6" t="s">
        <x:v>48</x:v>
      </x:c>
      <x:c r="H5" s="6" t="s">
        <x:v>49</x:v>
      </x:c>
      <x:c r="I5" s="10" t="n">
        <x:v>14500.00</x:v>
      </x:c>
      <x:c r="J5" s="11" t="s">
        <x:v>25</x:v>
      </x:c>
      <x:c r="K5" s="11" t="s">
        <x:v>50</x:v>
      </x:c>
      <x:c r="L5" s="12" t="str">
        <x:f xml:space="preserve">HYPERLINK("https://licitacions.bcn.cat/licitacion/licitaciones/detalle?id=13721663","licitacions.bcn.cat/licitacion/licitaciones/detalle?id=13721663")</x:f>
        <x:v>licitacions.bcn.cat/licitacion/licitaciones/detalle?id=13721663</x:v>
      </x:c>
      <x:c r="M5" s="11" t="s">
        <x:v>27</x:v>
      </x:c>
      <x:c r="N5" s="13" t="s">
        <x:v>28</x:v>
      </x:c>
      <x:c r="O5" s="11" t="s">
        <x:v>51</x:v>
      </x:c>
      <x:c r="P5" s="11" t="s">
        <x:v>52</x:v>
      </x:c>
      <x:c r="Q5" s="14" t="str">
        <x:f xml:space="preserve">HYPERLINK("https://www.infonalia.es/licitaciones1125/2025165567.pdf","www.infonalia.es/licitaciones1125/2025165567.pdf")</x:f>
        <x:v>www.infonalia.es/licitaciones1125/2025165567.pdf</x:v>
      </x:c>
    </x:row>
    <x:row r="6">
      <x:c r="A6" s="6" t="s">
        <x:v>17</x:v>
      </x:c>
      <x:c r="B6" s="6" t="s">
        <x:v>18</x:v>
      </x:c>
      <x:c r="C6" s="7" t="s">
        <x:v>53</x:v>
      </x:c>
      <x:c r="D6" s="8" t="s">
        <x:v>54</x:v>
      </x:c>
      <x:c r="E6" s="9" t="s">
        <x:v>21</x:v>
      </x:c>
      <x:c r="F6" s="6" t="s">
        <x:v>55</x:v>
      </x:c>
      <x:c r="G6" s="6" t="s">
        <x:v>56</x:v>
      </x:c>
      <x:c r="H6" s="6" t="s">
        <x:v>57</x:v>
      </x:c>
      <x:c r="I6" s="10" t="n">
        <x:v>2700.00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HYPERLINK("https://contrataciondelestado.es/wps/poc?uri=deeplink:detalle_licitacion&amp;idEvl=opIzhKf2IRedkQsA7ROvsg%3D%3D","contrataciondelestado.es/wps/poc?uri=deeplink:detalle_licitacion&amp;idEvl=opIzhKf2IRedkQsA7ROvsg%3D%3D")</x:f>
        <x:v>contrataciondelestado.es/wps/poc?uri=deeplink:detalle_licitacion&amp;idEvl=opIzhKf2IRedkQsA7ROvsg%3D%3D</x:v>
      </x:c>
      <x:c r="M6" s="11" t="s">
        <x:v>27</x:v>
      </x:c>
      <x:c r="N6" s="13" t="s">
        <x:v>21</x:v>
      </x:c>
      <x:c r="O6" s="11" t="s">
        <x:v>58</x:v>
      </x:c>
      <x:c r="P6" s="11" t="s">
        <x:v>30</x:v>
      </x:c>
      <x:c r="Q6" s="14" t="str">
        <x:f xml:space="preserve">HYPERLINK("https://www.infonalia.es/licitaciones1125/2025165652.pdf","www.infonalia.es/licitaciones1125/2025165652.pdf")</x:f>
        <x:v>www.infonalia.es/licitaciones1125/2025165652.pdf</x:v>
      </x:c>
    </x:row>
    <x:row r="7">
      <x:c r="A7" s="6" t="s">
        <x:v>17</x:v>
      </x:c>
      <x:c r="B7" s="6" t="s">
        <x:v>18</x:v>
      </x:c>
      <x:c r="C7" s="7" t="s">
        <x:v>59</x:v>
      </x:c>
      <x:c r="D7" s="8" t="s">
        <x:v>60</x:v>
      </x:c>
      <x:c r="E7" s="9" t="s">
        <x:v>21</x:v>
      </x:c>
      <x:c r="F7" s="6" t="s">
        <x:v>61</x:v>
      </x:c>
      <x:c r="G7" s="6" t="s">
        <x:v>62</x:v>
      </x:c>
      <x:c r="H7" s="6" t="s">
        <x:v>63</x:v>
      </x:c>
      <x:c r="I7" s="10" t="n">
        <x:v>115700.00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HYPERLINK("https://contrataciondelestado.es/wps/poc?uri=deeplink:detalle_licitacion&amp;idEvl=nX8Z41SK2P0IYE3ZiZ%2BxmQ%3D%3D","contrataciondelestado.es/wps/poc?uri=deeplink:detalle_licitacion&amp;idEvl=nX8Z41SK2P0IYE3ZiZ%2BxmQ%3D%3D")</x:f>
        <x:v>contrataciondelestado.es/wps/poc?uri=deeplink:detalle_licitacion&amp;idEvl=nX8Z41SK2P0IYE3ZiZ%2BxmQ%3D%3D</x:v>
      </x:c>
      <x:c r="M7" s="11" t="s">
        <x:v>27</x:v>
      </x:c>
      <x:c r="N7" s="13" t="s">
        <x:v>21</x:v>
      </x:c>
      <x:c r="O7" s="11" t="s">
        <x:v>64</x:v>
      </x:c>
      <x:c r="P7" s="11" t="s">
        <x:v>65</x:v>
      </x:c>
      <x:c r="Q7" s="14" t="str">
        <x:f xml:space="preserve">HYPERLINK("https://www.infonalia.es/licitaciones1125/2025165808.pdf","www.infonalia.es/licitaciones1125/2025165808.pdf")</x:f>
        <x:v>www.infonalia.es/licitaciones1125/2025165808.pdf</x:v>
      </x:c>
    </x:row>
    <x:row r="8">
      <x:c r="A8" s="6" t="s">
        <x:v>17</x:v>
      </x:c>
      <x:c r="B8" s="6" t="s">
        <x:v>18</x:v>
      </x:c>
      <x:c r="C8" s="7" t="s">
        <x:v>66</x:v>
      </x:c>
      <x:c r="D8" s="8" t="s">
        <x:v>67</x:v>
      </x:c>
      <x:c r="E8" s="9" t="s">
        <x:v>21</x:v>
      </x:c>
      <x:c r="F8" s="6" t="s">
        <x:v>68</x:v>
      </x:c>
      <x:c r="G8" s="6" t="s">
        <x:v>69</x:v>
      </x:c>
      <x:c r="H8" s="6" t="s">
        <x:v>70</x:v>
      </x:c>
      <x:c r="I8" s="10" t="n">
        <x:v>167250.00</x:v>
      </x:c>
      <x:c r="J8" s="11" t="s">
        <x:v>25</x:v>
      </x:c>
      <x:c r="K8" s="11" t="s">
        <x:v>26</x:v>
      </x:c>
      <x:c r="L8" s="12" t="str">
        <x:f xml:space="preserve">HYPERLINK("https://contrataciondelestado.es/wps/poc?uri=deeplink:detalle_licitacion&amp;idEvl=qjbueZOlGU07%2B9FIQYNjeQ%3D%3D","contrataciondelestado.es/wps/poc?uri=deeplink:detalle_licitacion&amp;idEvl=qjbueZOlGU07%2B9FIQYNjeQ%3D%3D")</x:f>
        <x:v>contrataciondelestado.es/wps/poc?uri=deeplink:detalle_licitacion&amp;idEvl=qjbueZOlGU07%2B9FIQYNjeQ%3D%3D</x:v>
      </x:c>
      <x:c r="M8" s="11" t="s">
        <x:v>27</x:v>
      </x:c>
      <x:c r="N8" s="13" t="s">
        <x:v>21</x:v>
      </x:c>
      <x:c r="O8" s="11" t="s">
        <x:v>71</x:v>
      </x:c>
      <x:c r="P8" s="11" t="s">
        <x:v>30</x:v>
      </x:c>
      <x:c r="Q8" s="14" t="str">
        <x:f xml:space="preserve">HYPERLINK("https://www.infonalia.es/licitaciones1125/2025165816.pdf","www.infonalia.es/licitaciones1125/2025165816.pdf")</x:f>
        <x:v>www.infonalia.es/licitaciones1125/2025165816.pdf</x:v>
      </x:c>
    </x:row>
    <x:row r="9">
      <x:c r="A9" s="6" t="s">
        <x:v>17</x:v>
      </x:c>
      <x:c r="B9" s="6" t="s">
        <x:v>18</x:v>
      </x:c>
      <x:c r="C9" s="7" t="s">
        <x:v>72</x:v>
      </x:c>
      <x:c r="D9" s="8" t="s">
        <x:v>73</x:v>
      </x:c>
      <x:c r="E9" s="9" t="s">
        <x:v>21</x:v>
      </x:c>
      <x:c r="F9" s="6" t="s">
        <x:v>74</x:v>
      </x:c>
      <x:c r="G9" s="6" t="s">
        <x:v>75</x:v>
      </x:c>
      <x:c r="H9" s="6" t="s">
        <x:v>76</x:v>
      </x:c>
      <x:c r="I9" s="10" t="n">
        <x:v>289900.00</x:v>
      </x:c>
      <x:c r="J9" s="11" t="s">
        <x:v>25</x:v>
      </x:c>
      <x:c r="K9" s="11" t="s">
        <x:v>26</x:v>
      </x:c>
      <x:c r="L9" s="12" t="str">
        <x:f xml:space="preserve">HYPERLINK("https://contrataciondelestado.es/wps/poc?uri=deeplink:detalle_licitacion&amp;idEvl=SsxDIu%2F6xOp%2FR5QFTlaM4A%3D%3D","contrataciondelestado.es/wps/poc?uri=deeplink:detalle_licitacion&amp;idEvl=SsxDIu%2F6xOp%2FR5QFTlaM4A%3D%3D")</x:f>
        <x:v>contrataciondelestado.es/wps/poc?uri=deeplink:detalle_licitacion&amp;idEvl=SsxDIu%2F6xOp%2FR5QFTlaM4A%3D%3D</x:v>
      </x:c>
      <x:c r="M9" s="11" t="s">
        <x:v>27</x:v>
      </x:c>
      <x:c r="N9" s="13" t="s">
        <x:v>21</x:v>
      </x:c>
      <x:c r="O9" s="11" t="s">
        <x:v>77</x:v>
      </x:c>
      <x:c r="P9" s="11" t="s">
        <x:v>30</x:v>
      </x:c>
      <x:c r="Q9" s="14" t="str">
        <x:f xml:space="preserve">HYPERLINK("https://www.infonalia.es/licitaciones1125/2025165820.pdf","www.infonalia.es/licitaciones1125/2025165820.pdf")</x:f>
        <x:v>www.infonalia.es/licitaciones1125/2025165820.pdf</x:v>
      </x:c>
    </x:row>
    <x:row r="10">
      <x:c r="A10" s="6" t="s">
        <x:v>17</x:v>
      </x:c>
      <x:c r="B10" s="6" t="s">
        <x:v>78</x:v>
      </x:c>
      <x:c r="C10" s="7" t="s">
        <x:v>66</x:v>
      </x:c>
      <x:c r="D10" s="8" t="s">
        <x:v>79</x:v>
      </x:c>
      <x:c r="E10" s="9" t="s">
        <x:v>21</x:v>
      </x:c>
      <x:c r="F10" s="6" t="s">
        <x:v>80</x:v>
      </x:c>
      <x:c r="G10" s="6" t="s">
        <x:v>81</x:v>
      </x:c>
      <x:c r="H10" s="6" t="s">
        <x:v>82</x:v>
      </x:c>
      <x:c r="I10" s="10"/>
      <x:c r="J10" s="11" t="s">
        <x:v>83</x:v>
      </x:c>
      <x:c r="K10" s="11" t="s">
        <x:v>84</x:v>
      </x:c>
      <x:c r="L10" s="12" t="str">
        <x:f xml:space="preserve">HYPERLINK("https://contractaciopublica.cat/ca/perfils-contractant/detall/203758","contractaciopublica.cat/ca/perfils-contractant/detall/203758")</x:f>
        <x:v>contractaciopublica.cat/ca/perfils-contractant/detall/203758</x:v>
      </x:c>
      <x:c r="M10" s="11" t="s">
        <x:v>85</x:v>
      </x:c>
      <x:c r="N10" s="13" t="s">
        <x:v>28</x:v>
      </x:c>
      <x:c r="O10" s="11" t="s">
        <x:v>86</x:v>
      </x:c>
      <x:c r="P10" s="11" t="s">
        <x:v>87</x:v>
      </x:c>
      <x:c r="Q10" s="14" t="str">
        <x:f xml:space="preserve">HYPERLINK("https://www.infonalia.es/licitaciones1125/2025165889.pdf","www.infonalia.es/licitaciones1125/2025165889.pdf")</x:f>
        <x:v>www.infonalia.es/licitaciones1125/2025165889.pdf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