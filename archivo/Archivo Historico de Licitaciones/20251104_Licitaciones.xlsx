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<x:sst xmlns:x="http://schemas.openxmlformats.org/spreadsheetml/2006/main" count="17" uniqueCount="17">
  <x:si>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</x:si>
  <x:si>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</x:si>
  <x:si>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</x:si>
  <x:si>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</x:si>
  <x:si>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</x:si>
  <x:si>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</x:si>
  <x:si>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</x:si>
  <x:si>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</x:si>
  <x:si>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</x:si>
  <x:si>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</x:si>
  <x:si>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</x:si>
  <x:si>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</x:si>
  <x:si>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</x:si>
  <x:si>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</x:si>
  <x:si>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</x:si>
  <x:si>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</x:si>
  <x:si>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</x:si>
  <x:si>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</x:si>
  <x:si>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Catalunya - Plataforma de Contratación</x:t>
  </x:si>
  <x:si>
    <x:t>18/11/2025</x:t>
  </x:si>
  <x:si>
    <x:t>2025155305</x:t>
  </x:si>
  <x:si>
    <x:t>04/11/2025</x:t>
  </x:si>
  <x:si>
    <x:t>AYUNTAMIENTO DE LLEIDA</x:t>
  </x:si>
  <x:si>
    <x:t>Contratación de un servicio de fotografía y vídeo profesional por el Ayuntamiento de Lleida y establecimiento de un mecanismo de trabajo profesional audiovisual en relación con los actos oficiales y actividades municipales que dependen de la Sección de Comunicación. Organizar un sistema de trabajo para la realización, retoque y archivo de las fotografías y vídeos solicitadas por la Sección de Comunicación.</x:t>
  </x:si>
  <x:si>
    <x:t>SER_OBEA_2025_0016</x:t>
  </x:si>
  <x:si>
    <x:t>IVA excluido</x:t>
  </x:si>
  <x:si>
    <x:t/>
  </x:si>
  <x:si>
    <x:t>-----</x:t>
  </x:si>
  <x:si>
    <x:t>03/11/2025</x:t>
  </x:si>
  <x:si>
    <x:t/>
  </x:si>
  <x:si>
    <x:t>Lleida</x:t>
  </x:si>
  <x:si>
    <x:t>2025155311</x:t>
  </x:si>
  <x:si>
    <x:t>GENERALITAT DE CATALUNYA. DEPARTAMENTO DE EMPRESA Y TRABAJO</x:t>
  </x:si>
  <x:si>
    <x:t>2.6.11 Organización y ejecución de la competición de retos Challenge iFest Competition.</x:t>
  </x:si>
  <x:si>
    <x:t>EMO-2026-13</x:t>
  </x:si>
  <x:si>
    <x:t/>
  </x:si>
  <x:si>
    <x:t/>
  </x:si>
  <x:si>
    <x:t>Catalunya</x:t>
  </x:si>
  <x:si>
    <x:t>17/11/2025</x:t>
  </x:si>
  <x:si>
    <x:t>2025155312</x:t>
  </x:si>
  <x:si>
    <x:t>AYUNTAMIENTO DE MATADEPERA (BARCELONA)</x:t>
  </x:si>
  <x:si>
    <x:t>El objeto de este contrato es el servicio integral para la web de Matadepera Radio que consiste en el diseño de la página web, streaming, grabación, podcast, responsive, con aplicación en Smart Phone para Apple y Android, distribución y alojamiento y backups de los contenidos digitales de la emisora.</x:t>
  </x:si>
  <x:si>
    <x:t>X2025012598</x:t>
  </x:si>
  <x:si>
    <x:t/>
  </x:si>
  <x:si>
    <x:t/>
  </x:si>
  <x:si>
    <x:t>Barcelona</x:t>
  </x:si>
  <x:si>
    <x:t>19/11/2025</x:t>
  </x:si>
  <x:si>
    <x:t>2025155322</x:t>
  </x:si>
  <x:si>
    <x:t>AYUNTAMIENTO DE BARCELONA</x:t>
  </x:si>
  <x:si>
    <x:t>Elaboración de las actas de los órganos de participación. Con medidas de contratación sostenible.</x:t>
  </x:si>
  <x:si>
    <x:t>001_25003135</x:t>
  </x:si>
  <x:si>
    <x:t/>
  </x:si>
  <x:si>
    <x:t/>
  </x:si>
  <x:si>
    <x:t>20/11/2025</x:t>
  </x:si>
  <x:si>
    <x:t>2025155327</x:t>
  </x:si>
  <x:si>
    <x:t>BARCELONA DE SERVEIS MUNICIPALS SA</x:t>
  </x:si>
  <x:si>
    <x:t>2025MK0170AC - Comercialización en exclusiva de la publicidad en las bicicletas y estaciones del servicio de Bicing.</x:t>
  </x:si>
  <x:si>
    <x:t>2025MK0170AC</x:t>
  </x:si>
  <x:si>
    <x:t/>
  </x:si>
  <x:si>
    <x:t/>
  </x:si>
  <x:si>
    <x:t>2025155332</x:t>
  </x:si>
  <x:si>
    <x:t>CONSORCI DE LES BIBLIOTEQUES DE BARCELONA</x:t>
  </x:si>
  <x:si>
    <x:t>Servicios de creatividad de proyectos y acciones de comunicación, de maquetación de nuevos diseños, así como de producción de adaptaciones visuales de campañas y de acciones de comunicación de Bibliotecas de Barcelona.</x:t>
  </x:si>
  <x:si>
    <x:t>074_25000214</x:t>
  </x:si>
  <x:si>
    <x:t/>
  </x:si>
  <x:si>
    <x:t/>
  </x:si>
  <x:si>
    <x:t>Plataforma de Contratación del Estado</x:t>
  </x:si>
  <x:si>
    <x:t>21/11/2025</x:t>
  </x:si>
  <x:si>
    <x:t>2025155397</x:t>
  </x:si>
  <x:si>
    <x:t>DIRECCIÓN DEL MUSEO NACIONAL DEL PRADO</x:t>
  </x:si>
  <x:si>
    <x:t>Servicio de elaboración de visitas virtuales de exposiciones temporales para el Museo Nacional del Prado</x:t>
  </x:si>
  <x:si>
    <x:t>25AA0364</x:t>
  </x:si>
  <x:si>
    <x:t>Importe sin impuestos</x:t>
  </x:si>
  <x:si>
    <x:t/>
  </x:si>
  <x:si>
    <x:t>Madrid</x:t>
  </x:si>
  <x:si>
    <x:t>2025155412</x:t>
  </x:si>
  <x:si>
    <x:t>MINISTERIO DE VIVIENDA Y AGENDA URBANA. SECRETARÍA GENERAL DE AGENDA URBANA, VIVIENDA Y ARQUITECTURA</x:t>
  </x:si>
  <x:si>
    <x:t>Servicio de organización y ejecución de dos actos de inauguración de exposiciones y un acto de entrega de premios vinculados a la programación de la Casa de la Arquitectura</x:t>
  </x:si>
  <x:si>
    <x:t>2507CTRCA035</x:t>
  </x:si>
  <x:si>
    <x:t/>
  </x:si>
  <x:si>
    <x:t>2025155528</x:t>
  </x:si>
  <x:si>
    <x:t>SECRETARÍA GENERAL DE UNIVERSIDADES</x:t>
  </x:si>
  <x:si>
    <x:t>Servicio para la instalación del STAND del Ministerio de Ciencia, Innovación y Universidades en la Feria Aula 2026</x:t>
  </x:si>
  <x:si>
    <x:t>202500000080</x:t>
  </x:si>
  <x:si>
    <x:t/>
  </x:si>
  <x:si>
    <x:t>2025155554</x:t>
  </x:si>
  <x:si>
    <x:t>PRESIDENCIA DEL PATRONATO PROVINCIAL DE TURISMO DE SALAMANCA</x:t>
  </x:si>
  <x:si>
    <x:t>Construcción, decoración, montaje, desmontaje y transporte del Stand para la promoción gastronómica de Salamanca, que presentará el Patronato Provincial de Turismo de Salamanca en Madrid Fusión 2026</x:t>
  </x:si>
  <x:si>
    <x:t>PAT–2025/2</x:t>
  </x:si>
  <x:si>
    <x:t/>
  </x:si>
  <x:si>
    <x:t>2025155647</x:t>
  </x:si>
  <x:si>
    <x:t>AYUNTAMIENTO DE L'HOSPITALET DE LLOBREGAT (BARCELONA)</x:t>
  </x:si>
  <x:si>
    <x:t>Servicio de producción, colocación, control de seguimiento y posterior retirada de los diferentes elementos comunicacionales y publicitarios del Ayuntamiento de Hospitalet de Llobregat.</x:t>
  </x:si>
  <x:si>
    <x:t>A JT/4444/2025</x:t>
  </x:si>
  <x:si>
    <x:t/>
  </x:si>
  <x:si>
    <x:t/>
  </x:si>
  <x:si>
    <x:t>Barcelona. Perfil del Contratante del Ayuntamiento</x:t>
  </x:si>
  <x:si>
    <x:t>12/11/2025</x:t>
  </x:si>
  <x:si>
    <x:t>2025155677</x:t>
  </x:si>
  <x:si>
    <x:t>Diseño y producción de elementos de divulgación de la Oficina de Cambio Climático y Sostenibilidad.</x:t>
  </x:si>
  <x:si>
    <x:t>001_P2502903</x:t>
  </x:si>
  <x:si>
    <x:t/>
  </x:si>
  <x:si>
    <x:t/>
  </x:si>
  <x:si>
    <x:t>02/12/2025</x:t>
  </x:si>
  <x:si>
    <x:t>2025155913</x:t>
  </x:si>
  <x:si>
    <x:t>JUNTA DE GOBIERNO DEL AYUNTAMIENTO DE MÓSTOLES (MADRID)</x:t>
  </x:si>
  <x:si>
    <x:t>Servicios de inserción de publicidad en medios de comunicación y otros soportes mediante agencia de medios del Ayuntamiento de Móstoles</x:t>
  </x:si>
  <x:si>
    <x:t>C/050/CON/2025-087</x:t>
  </x:si>
  <x:si>
    <x:t/>
  </x:si>
  <x:si>
    <x:t>2025155982</x:t>
  </x:si>
  <x:si>
    <x:t>AYUNTAMIENTO DE MADRID. DISTRITO DE HORTALEZA</x:t>
  </x:si>
  <x:si>
    <x:t>El objeto del presente contrato es la organización y el desarrollo de un Ciclo de Cine Infantil en el Distrito de Hortaleza, que consiste en la exhibición de películas infantiles así como su cobertura técnico – organizativa.</x:t>
  </x:si>
  <x:si>
    <x:t>300/2025/02836</x:t>
  </x:si>
  <x:si>
    <x:t/>
  </x:si>
  <x:si>
    <x:t>2025156013</x:t>
  </x:si>
  <x:si>
    <x:t>FUNDACIÓN DEL SECTOR PÚBLICO ESTATAL CENTRO NACIONAL DE INVESTIGACIONES ONCOLÓGICAS CARLOS III</x:t>
  </x:si>
  <x:si>
    <x:t>Servicio de Asesoría y Desarrollo de la Estrategia y Materiales de Comunicación para proyecto europeo “PERIFORMANCE: public engagement in research infrastructures for mission cancer: managing complexity of emerging technologies”.</x:t>
  </x:si>
  <x:si>
    <x:t>31/25SPF</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</x:si>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</x:sst>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25440.00</x:v>
      </x:c>
      <x:c r="J2" s="11" t="s">
        <x:v>25</x:v>
      </x:c>
      <x:c r="K2" s="11" t="s">
        <x:v>26</x:v>
      </x:c>
      <x:c r="L2" s="12" t="str">
        <x:f xml:space="preserve">HYPERLINK("https://contractaciopublica.cat/es/detall-publicacio/300606466","contractaciopublica.cat/es/detall-publicacio/300606466")</x:f>
        <x:v>contractaciopublica.cat/es/detall-publicacio/300606466</x:v>
      </x:c>
      <x:c r="M2" s="11" t="s">
        <x:v>27</x:v>
      </x:c>
      <x:c r="N2" s="13" t="s">
        <x:v>28</x:v>
      </x:c>
      <x:c r="O2" s="11" t="s">
        <x:v>29</x:v>
      </x:c>
      <x:c r="P2" s="11" t="s">
        <x:v>30</x:v>
      </x:c>
      <x:c r="Q2" s="14" t="str">
        <x:f xml:space="preserve">HYPERLINK("https://www.infonalia.es/licitaciones1125/2025155305.pdf","www.infonalia.es/licitaciones1125/2025155305.pdf")</x:f>
        <x:v>www.infonalia.es/licitaciones1125/2025155305.pdf</x:v>
      </x:c>
    </x:row>
    <x:row r="3">
      <x:c r="A3" s="6" t="s">
        <x:v>17</x:v>
      </x:c>
      <x:c r="B3" s="6" t="s">
        <x:v>18</x:v>
      </x:c>
      <x:c r="C3" s="7" t="s">
        <x:v>19</x:v>
      </x:c>
      <x:c r="D3" s="8" t="s">
        <x:v>31</x:v>
      </x:c>
      <x:c r="E3" s="9" t="s">
        <x:v>21</x:v>
      </x:c>
      <x:c r="F3" s="6" t="s">
        <x:v>32</x:v>
      </x:c>
      <x:c r="G3" s="6" t="s">
        <x:v>33</x:v>
      </x:c>
      <x:c r="H3" s="6" t="s">
        <x:v>34</x:v>
      </x:c>
      <x:c r="I3" s="10" t="n">
        <x:v>37443.50</x:v>
      </x:c>
      <x:c r="J3" s="11" t="s">
        <x:v>25</x:v>
      </x:c>
      <x:c r="K3" s="11" t="s">
        <x:v>35</x:v>
      </x:c>
      <x:c r="L3" s="12" t="str">
        <x:f xml:space="preserve">HYPERLINK("https://contractaciopublica.cat/es/detall-publicacio/300606474","contractaciopublica.cat/es/detall-publicacio/300606474")</x:f>
        <x:v>contractaciopublica.cat/es/detall-publicacio/300606474</x:v>
      </x:c>
      <x:c r="M3" s="11" t="s">
        <x:v>27</x:v>
      </x:c>
      <x:c r="N3" s="13" t="s">
        <x:v>28</x:v>
      </x:c>
      <x:c r="O3" s="11" t="s">
        <x:v>36</x:v>
      </x:c>
      <x:c r="P3" s="11" t="s">
        <x:v>37</x:v>
      </x:c>
      <x:c r="Q3" s="14" t="str">
        <x:f xml:space="preserve">HYPERLINK("https://www.infonalia.es/licitaciones1125/2025155311.pdf","www.infonalia.es/licitaciones1125/2025155311.pdf")</x:f>
        <x:v>www.infonalia.es/licitaciones1125/2025155311.pdf</x:v>
      </x:c>
    </x:row>
    <x:row r="4">
      <x:c r="A4" s="6" t="s">
        <x:v>17</x:v>
      </x:c>
      <x:c r="B4" s="6" t="s">
        <x:v>18</x:v>
      </x:c>
      <x:c r="C4" s="7" t="s">
        <x:v>38</x:v>
      </x:c>
      <x:c r="D4" s="8" t="s">
        <x:v>39</x:v>
      </x:c>
      <x:c r="E4" s="9" t="s">
        <x:v>21</x:v>
      </x:c>
      <x:c r="F4" s="6" t="s">
        <x:v>40</x:v>
      </x:c>
      <x:c r="G4" s="6" t="s">
        <x:v>41</x:v>
      </x:c>
      <x:c r="H4" s="6" t="s">
        <x:v>42</x:v>
      </x:c>
      <x:c r="I4" s="10" t="n">
        <x:v>35090.33</x:v>
      </x:c>
      <x:c r="J4" s="11" t="s">
        <x:v>25</x:v>
      </x:c>
      <x:c r="K4" s="11" t="s">
        <x:v>43</x:v>
      </x:c>
      <x:c r="L4" s="12" t="str">
        <x:f xml:space="preserve">HYPERLINK("https://contractaciopublica.cat/es/detall-publicacio/300603121","contractaciopublica.cat/es/detall-publicacio/300603121")</x:f>
        <x:v>contractaciopublica.cat/es/detall-publicacio/300603121</x:v>
      </x:c>
      <x:c r="M4" s="11" t="s">
        <x:v>27</x:v>
      </x:c>
      <x:c r="N4" s="13" t="s">
        <x:v>28</x:v>
      </x:c>
      <x:c r="O4" s="11" t="s">
        <x:v>44</x:v>
      </x:c>
      <x:c r="P4" s="11" t="s">
        <x:v>45</x:v>
      </x:c>
      <x:c r="Q4" s="14" t="str">
        <x:f xml:space="preserve">HYPERLINK("https://www.infonalia.es/licitaciones1125/2025155312.pdf","www.infonalia.es/licitaciones1125/2025155312.pdf")</x:f>
        <x:v>www.infonalia.es/licitaciones1125/2025155312.pdf</x:v>
      </x:c>
    </x:row>
    <x:row r="5">
      <x:c r="A5" s="6" t="s">
        <x:v>17</x:v>
      </x:c>
      <x:c r="B5" s="6" t="s">
        <x:v>18</x:v>
      </x:c>
      <x:c r="C5" s="7" t="s">
        <x:v>46</x:v>
      </x:c>
      <x:c r="D5" s="8" t="s">
        <x:v>47</x:v>
      </x:c>
      <x:c r="E5" s="9" t="s">
        <x:v>21</x:v>
      </x:c>
      <x:c r="F5" s="6" t="s">
        <x:v>48</x:v>
      </x:c>
      <x:c r="G5" s="6" t="s">
        <x:v>49</x:v>
      </x:c>
      <x:c r="H5" s="6" t="s">
        <x:v>50</x:v>
      </x:c>
      <x:c r="I5" s="10" t="n">
        <x:v>13223.14</x:v>
      </x:c>
      <x:c r="J5" s="11" t="s">
        <x:v>25</x:v>
      </x:c>
      <x:c r="K5" s="11" t="s">
        <x:v>51</x:v>
      </x:c>
      <x:c r="L5" s="12" t="str">
        <x:f xml:space="preserve">HYPERLINK("https://contractaciopublica.cat/es/detall-publicacio/300604217","contractaciopublica.cat/es/detall-publicacio/300604217")</x:f>
        <x:v>contractaciopublica.cat/es/detall-publicacio/300604217</x:v>
      </x:c>
      <x:c r="M5" s="11" t="s">
        <x:v>27</x:v>
      </x:c>
      <x:c r="N5" s="13" t="s">
        <x:v>28</x:v>
      </x:c>
      <x:c r="O5" s="11" t="s">
        <x:v>52</x:v>
      </x:c>
      <x:c r="P5" s="11" t="s">
        <x:v>45</x:v>
      </x:c>
      <x:c r="Q5" s="14" t="str">
        <x:f xml:space="preserve">HYPERLINK("https://www.infonalia.es/licitaciones1125/2025155322.pdf","www.infonalia.es/licitaciones1125/2025155322.pdf")</x:f>
        <x:v>www.infonalia.es/licitaciones1125/2025155322.pdf</x:v>
      </x:c>
    </x:row>
    <x:row r="6">
      <x:c r="A6" s="6" t="s">
        <x:v>17</x:v>
      </x:c>
      <x:c r="B6" s="6" t="s">
        <x:v>18</x:v>
      </x:c>
      <x:c r="C6" s="7" t="s">
        <x:v>53</x:v>
      </x:c>
      <x:c r="D6" s="8" t="s">
        <x:v>54</x:v>
      </x:c>
      <x:c r="E6" s="9" t="s">
        <x:v>21</x:v>
      </x:c>
      <x:c r="F6" s="6" t="s">
        <x:v>55</x:v>
      </x:c>
      <x:c r="G6" s="6" t="s">
        <x:v>56</x:v>
      </x:c>
      <x:c r="H6" s="6" t="s">
        <x:v>57</x:v>
      </x:c>
      <x:c r="I6" s="10" t="n">
        <x:v>80000.00</x:v>
      </x:c>
      <x:c r="J6" s="11" t="s">
        <x:v>25</x:v>
      </x:c>
      <x:c r="K6" s="11" t="s">
        <x:v>58</x:v>
      </x:c>
      <x:c r="L6" s="12" t="str">
        <x:f xml:space="preserve">HYPERLINK("https://contractaciopublica.cat/es/detall-publicacio/300606433","contractaciopublica.cat/es/detall-publicacio/300606433")</x:f>
        <x:v>contractaciopublica.cat/es/detall-publicacio/300606433</x:v>
      </x:c>
      <x:c r="M6" s="11" t="s">
        <x:v>27</x:v>
      </x:c>
      <x:c r="N6" s="13" t="s">
        <x:v>28</x:v>
      </x:c>
      <x:c r="O6" s="11" t="s">
        <x:v>59</x:v>
      </x:c>
      <x:c r="P6" s="11" t="s">
        <x:v>45</x:v>
      </x:c>
      <x:c r="Q6" s="14" t="str">
        <x:f xml:space="preserve">HYPERLINK("https://www.infonalia.es/licitaciones1125/2025155327.pdf","www.infonalia.es/licitaciones1125/2025155327.pdf")</x:f>
        <x:v>www.infonalia.es/licitaciones1125/2025155327.pdf</x:v>
      </x:c>
    </x:row>
    <x:row r="7">
      <x:c r="A7" s="6" t="s">
        <x:v>17</x:v>
      </x:c>
      <x:c r="B7" s="6" t="s">
        <x:v>18</x:v>
      </x:c>
      <x:c r="C7" s="7" t="s">
        <x:v>19</x:v>
      </x:c>
      <x:c r="D7" s="8" t="s">
        <x:v>60</x:v>
      </x:c>
      <x:c r="E7" s="9" t="s">
        <x:v>21</x:v>
      </x:c>
      <x:c r="F7" s="6" t="s">
        <x:v>61</x:v>
      </x:c>
      <x:c r="G7" s="6" t="s">
        <x:v>62</x:v>
      </x:c>
      <x:c r="H7" s="6" t="s">
        <x:v>63</x:v>
      </x:c>
      <x:c r="I7" s="10" t="n">
        <x:v>51580.00</x:v>
      </x:c>
      <x:c r="J7" s="11" t="s">
        <x:v>25</x:v>
      </x:c>
      <x:c r="K7" s="11" t="s">
        <x:v>64</x:v>
      </x:c>
      <x:c r="L7" s="12" t="str">
        <x:f xml:space="preserve">HYPERLINK("https://contractaciopublica.cat/es/detall-publicacio/300604700","contractaciopublica.cat/es/detall-publicacio/300604700")</x:f>
        <x:v>contractaciopublica.cat/es/detall-publicacio/300604700</x:v>
      </x:c>
      <x:c r="M7" s="11" t="s">
        <x:v>27</x:v>
      </x:c>
      <x:c r="N7" s="13" t="s">
        <x:v>28</x:v>
      </x:c>
      <x:c r="O7" s="11" t="s">
        <x:v>65</x:v>
      </x:c>
      <x:c r="P7" s="11" t="s">
        <x:v>45</x:v>
      </x:c>
      <x:c r="Q7" s="14" t="str">
        <x:f xml:space="preserve">HYPERLINK("https://www.infonalia.es/licitaciones1125/2025155332.pdf","www.infonalia.es/licitaciones1125/2025155332.pdf")</x:f>
        <x:v>www.infonalia.es/licitaciones1125/2025155332.pdf</x:v>
      </x:c>
    </x:row>
    <x:row r="8">
      <x:c r="A8" s="6" t="s">
        <x:v>17</x:v>
      </x:c>
      <x:c r="B8" s="6" t="s">
        <x:v>66</x:v>
      </x:c>
      <x:c r="C8" s="7" t="s">
        <x:v>67</x:v>
      </x:c>
      <x:c r="D8" s="8" t="s">
        <x:v>68</x:v>
      </x:c>
      <x:c r="E8" s="9" t="s">
        <x:v>21</x:v>
      </x:c>
      <x:c r="F8" s="6" t="s">
        <x:v>69</x:v>
      </x:c>
      <x:c r="G8" s="6" t="s">
        <x:v>70</x:v>
      </x:c>
      <x:c r="H8" s="6" t="s">
        <x:v>71</x:v>
      </x:c>
      <x:c r="I8" s="10" t="n">
        <x:v>68000.00</x:v>
      </x:c>
      <x:c r="J8" s="11" t="s">
        <x:v>72</x:v>
      </x:c>
      <x:c r="K8" s="11" t="s">
        <x:v>26</x:v>
      </x:c>
      <x:c r="L8" s="12" t="str">
        <x:f xml:space="preserve">HYPERLINK("https://contrataciondelestado.es/wps/poc?uri=deeplink:detalle_licitacion&amp;idEvl=0T7isO350ag4NavIWzMcHA%3D%3D","contrataciondelestado.es/wps/poc?uri=deeplink:detalle_licitacion&amp;idEvl=0T7isO350ag4NavIWzMcHA%3D%3D")</x:f>
        <x:v>contrataciondelestado.es/wps/poc?uri=deeplink:detalle_licitacion&amp;idEvl=0T7isO350ag4NavIWzMcHA%3D%3D</x:v>
      </x:c>
      <x:c r="M8" s="11" t="s">
        <x:v>27</x:v>
      </x:c>
      <x:c r="N8" s="13" t="s">
        <x:v>28</x:v>
      </x:c>
      <x:c r="O8" s="11" t="s">
        <x:v>73</x:v>
      </x:c>
      <x:c r="P8" s="11" t="s">
        <x:v>74</x:v>
      </x:c>
      <x:c r="Q8" s="14" t="str">
        <x:f xml:space="preserve">HYPERLINK("https://www.infonalia.es/licitaciones1125/2025155397.pdf","www.infonalia.es/licitaciones1125/2025155397.pdf")</x:f>
        <x:v>www.infonalia.es/licitaciones1125/2025155397.pdf</x:v>
      </x:c>
    </x:row>
    <x:row r="9">
      <x:c r="A9" s="6" t="s">
        <x:v>17</x:v>
      </x:c>
      <x:c r="B9" s="6" t="s">
        <x:v>66</x:v>
      </x:c>
      <x:c r="C9" s="7" t="s">
        <x:v>53</x:v>
      </x:c>
      <x:c r="D9" s="8" t="s">
        <x:v>75</x:v>
      </x:c>
      <x:c r="E9" s="9" t="s">
        <x:v>21</x:v>
      </x:c>
      <x:c r="F9" s="6" t="s">
        <x:v>76</x:v>
      </x:c>
      <x:c r="G9" s="6" t="s">
        <x:v>77</x:v>
      </x:c>
      <x:c r="H9" s="6" t="s">
        <x:v>78</x:v>
      </x:c>
      <x:c r="I9" s="10" t="n">
        <x:v>142990.00</x:v>
      </x:c>
      <x:c r="J9" s="11" t="s">
        <x:v>72</x:v>
      </x:c>
      <x:c r="K9" s="11" t="s">
        <x:v>26</x:v>
      </x:c>
      <x:c r="L9" s="12" t="str">
        <x:f xml:space="preserve">HYPERLINK("https://contrataciondelestado.es/wps/poc?uri=deeplink:detalle_licitacion&amp;idEvl=OpJlvC2jMJZq1DdmE7eaXg%3D%3D","contrataciondelestado.es/wps/poc?uri=deeplink:detalle_licitacion&amp;idEvl=OpJlvC2jMJZq1DdmE7eaXg%3D%3D")</x:f>
        <x:v>contrataciondelestado.es/wps/poc?uri=deeplink:detalle_licitacion&amp;idEvl=OpJlvC2jMJZq1DdmE7eaXg%3D%3D</x:v>
      </x:c>
      <x:c r="M9" s="11" t="s">
        <x:v>27</x:v>
      </x:c>
      <x:c r="N9" s="13" t="s">
        <x:v>28</x:v>
      </x:c>
      <x:c r="O9" s="11" t="s">
        <x:v>79</x:v>
      </x:c>
      <x:c r="P9" s="11" t="s">
        <x:v>74</x:v>
      </x:c>
      <x:c r="Q9" s="14" t="str">
        <x:f xml:space="preserve">HYPERLINK("https://www.infonalia.es/licitaciones1125/2025155412.pdf","www.infonalia.es/licitaciones1125/2025155412.pdf")</x:f>
        <x:v>www.infonalia.es/licitaciones1125/2025155412.pdf</x:v>
      </x:c>
    </x:row>
    <x:row r="10">
      <x:c r="A10" s="6" t="s">
        <x:v>17</x:v>
      </x:c>
      <x:c r="B10" s="6" t="s">
        <x:v>66</x:v>
      </x:c>
      <x:c r="C10" s="7" t="s">
        <x:v>46</x:v>
      </x:c>
      <x:c r="D10" s="8" t="s">
        <x:v>80</x:v>
      </x:c>
      <x:c r="E10" s="9" t="s">
        <x:v>21</x:v>
      </x:c>
      <x:c r="F10" s="6" t="s">
        <x:v>81</x:v>
      </x:c>
      <x:c r="G10" s="6" t="s">
        <x:v>82</x:v>
      </x:c>
      <x:c r="H10" s="6" t="s">
        <x:v>83</x:v>
      </x:c>
      <x:c r="I10" s="10" t="n">
        <x:v>85625.98</x:v>
      </x:c>
      <x:c r="J10" s="11" t="s">
        <x:v>72</x:v>
      </x:c>
      <x:c r="K10" s="11" t="s">
        <x:v>26</x:v>
      </x:c>
      <x:c r="L10" s="12" t="str">
        <x:f xml:space="preserve">HYPERLINK("https://contrataciondelestado.es/wps/poc?uri=deeplink:detalle_licitacion&amp;idEvl=sw%2FioXH2OZ9J8Trn0ZPzLw%3D%3D","contrataciondelestado.es/wps/poc?uri=deeplink:detalle_licitacion&amp;idEvl=sw%2FioXH2OZ9J8Trn0ZPzLw%3D%3D")</x:f>
        <x:v>contrataciondelestado.es/wps/poc?uri=deeplink:detalle_licitacion&amp;idEvl=sw%2FioXH2OZ9J8Trn0ZPzLw%3D%3D</x:v>
      </x:c>
      <x:c r="M10" s="11" t="s">
        <x:v>27</x:v>
      </x:c>
      <x:c r="N10" s="13" t="s">
        <x:v>28</x:v>
      </x:c>
      <x:c r="O10" s="11" t="s">
        <x:v>84</x:v>
      </x:c>
      <x:c r="P10" s="11" t="s">
        <x:v>74</x:v>
      </x:c>
      <x:c r="Q10" s="14" t="str">
        <x:f xml:space="preserve">HYPERLINK("https://www.infonalia.es/licitaciones1125/2025155528.pdf","www.infonalia.es/licitaciones1125/2025155528.pdf")</x:f>
        <x:v>www.infonalia.es/licitaciones1125/2025155528.pdf</x:v>
      </x:c>
    </x:row>
    <x:row r="11">
      <x:c r="A11" s="6" t="s">
        <x:v>17</x:v>
      </x:c>
      <x:c r="B11" s="6" t="s">
        <x:v>66</x:v>
      </x:c>
      <x:c r="C11" s="7" t="s">
        <x:v>19</x:v>
      </x:c>
      <x:c r="D11" s="8" t="s">
        <x:v>85</x:v>
      </x:c>
      <x:c r="E11" s="9" t="s">
        <x:v>21</x:v>
      </x:c>
      <x:c r="F11" s="6" t="s">
        <x:v>86</x:v>
      </x:c>
      <x:c r="G11" s="6" t="s">
        <x:v>87</x:v>
      </x:c>
      <x:c r="H11" s="6" t="s">
        <x:v>88</x:v>
      </x:c>
      <x:c r="I11" s="10" t="n">
        <x:v>40000.00</x:v>
      </x:c>
      <x:c r="J11" s="11" t="s">
        <x:v>72</x:v>
      </x:c>
      <x:c r="K11" s="11" t="s">
        <x:v>26</x:v>
      </x:c>
      <x:c r="L11" s="12" t="str">
        <x:f xml:space="preserve">HYPERLINK("https://contrataciondelestado.es/wps/poc?uri=deeplink:detalle_licitacion&amp;idEvl=Op0geDjvNTiKeVWTb9Scog%3D%3D","contrataciondelestado.es/wps/poc?uri=deeplink:detalle_licitacion&amp;idEvl=Op0geDjvNTiKeVWTb9Scog%3D%3D")</x:f>
        <x:v>contrataciondelestado.es/wps/poc?uri=deeplink:detalle_licitacion&amp;idEvl=Op0geDjvNTiKeVWTb9Scog%3D%3D</x:v>
      </x:c>
      <x:c r="M11" s="11" t="s">
        <x:v>27</x:v>
      </x:c>
      <x:c r="N11" s="13" t="s">
        <x:v>28</x:v>
      </x:c>
      <x:c r="O11" s="11" t="s">
        <x:v>89</x:v>
      </x:c>
      <x:c r="P11" s="11" t="s">
        <x:v>74</x:v>
      </x:c>
      <x:c r="Q11" s="14" t="str">
        <x:f xml:space="preserve">HYPERLINK("https://www.infonalia.es/licitaciones1125/2025155554.pdf","www.infonalia.es/licitaciones1125/2025155554.pdf")</x:f>
        <x:v>www.infonalia.es/licitaciones1125/2025155554.pdf</x:v>
      </x:c>
    </x:row>
    <x:row r="12">
      <x:c r="A12" s="6" t="s">
        <x:v>17</x:v>
      </x:c>
      <x:c r="B12" s="6" t="s">
        <x:v>18</x:v>
      </x:c>
      <x:c r="C12" s="7" t="s">
        <x:v>21</x:v>
      </x:c>
      <x:c r="D12" s="8" t="s">
        <x:v>90</x:v>
      </x:c>
      <x:c r="E12" s="9" t="s">
        <x:v>21</x:v>
      </x:c>
      <x:c r="F12" s="6" t="s">
        <x:v>91</x:v>
      </x:c>
      <x:c r="G12" s="6" t="s">
        <x:v>92</x:v>
      </x:c>
      <x:c r="H12" s="6" t="s">
        <x:v>93</x:v>
      </x:c>
      <x:c r="I12" s="10" t="n">
        <x:v>360000.00</x:v>
      </x:c>
      <x:c r="J12" s="11" t="s">
        <x:v>25</x:v>
      </x:c>
      <x:c r="K12" s="11" t="s">
        <x:v>94</x:v>
      </x:c>
      <x:c r="L12" s="12" t="str">
        <x:f xml:space="preserve">HYPERLINK("https://contractaciopublica.cat/es/detall-publicacio/300605748","contractaciopublica.cat/es/detall-publicacio/300605748")</x:f>
        <x:v>contractaciopublica.cat/es/detall-publicacio/300605748</x:v>
      </x:c>
      <x:c r="M12" s="11" t="s">
        <x:v>27</x:v>
      </x:c>
      <x:c r="N12" s="13" t="s">
        <x:v>28</x:v>
      </x:c>
      <x:c r="O12" s="11" t="s">
        <x:v>95</x:v>
      </x:c>
      <x:c r="P12" s="11" t="s">
        <x:v>45</x:v>
      </x:c>
      <x:c r="Q12" s="14" t="str">
        <x:f xml:space="preserve">HYPERLINK("https://www.infonalia.es/licitaciones1125/2025155647.pdf","www.infonalia.es/licitaciones1125/2025155647.pdf")</x:f>
        <x:v>www.infonalia.es/licitaciones1125/2025155647.pdf</x:v>
      </x:c>
    </x:row>
    <x:row r="13">
      <x:c r="A13" s="6" t="s">
        <x:v>17</x:v>
      </x:c>
      <x:c r="B13" s="6" t="s">
        <x:v>96</x:v>
      </x:c>
      <x:c r="C13" s="7" t="s">
        <x:v>97</x:v>
      </x:c>
      <x:c r="D13" s="8" t="s">
        <x:v>98</x:v>
      </x:c>
      <x:c r="E13" s="9" t="s">
        <x:v>21</x:v>
      </x:c>
      <x:c r="F13" s="6" t="s">
        <x:v>48</x:v>
      </x:c>
      <x:c r="G13" s="6" t="s">
        <x:v>99</x:v>
      </x:c>
      <x:c r="H13" s="6" t="s">
        <x:v>100</x:v>
      </x:c>
      <x:c r="I13" s="10" t="n">
        <x:v>14600.00</x:v>
      </x:c>
      <x:c r="J13" s="11" t="s">
        <x:v>72</x:v>
      </x:c>
      <x:c r="K13" s="11" t="s">
        <x:v>101</x:v>
      </x:c>
      <x:c r="L13" s="12" t="str">
        <x:f xml:space="preserve">HYPERLINK("https://licitacions.bcn.cat/licitacion/licitaciones/detalle?id=13420668 1/1","licitacions.bcn.cat/licitacion/licitaciones/detalle?id=13420668 1/1")</x:f>
        <x:v>licitacions.bcn.cat/licitacion/licitaciones/detalle?id=13420668 1/1</x:v>
      </x:c>
      <x:c r="M13" s="11" t="s">
        <x:v>27</x:v>
      </x:c>
      <x:c r="N13" s="13" t="s">
        <x:v>28</x:v>
      </x:c>
      <x:c r="O13" s="11" t="s">
        <x:v>102</x:v>
      </x:c>
      <x:c r="P13" s="11" t="s">
        <x:v>45</x:v>
      </x:c>
      <x:c r="Q13" s="14" t="str">
        <x:f xml:space="preserve">HYPERLINK("https://www.infonalia.es/licitaciones1125/2025155677.pdf","www.infonalia.es/licitaciones1125/2025155677.pdf")</x:f>
        <x:v>www.infonalia.es/licitaciones1125/2025155677.pdf</x:v>
      </x:c>
    </x:row>
    <x:row r="14">
      <x:c r="A14" s="6" t="s">
        <x:v>17</x:v>
      </x:c>
      <x:c r="B14" s="6" t="s">
        <x:v>66</x:v>
      </x:c>
      <x:c r="C14" s="7" t="s">
        <x:v>103</x:v>
      </x:c>
      <x:c r="D14" s="8" t="s">
        <x:v>104</x:v>
      </x:c>
      <x:c r="E14" s="9" t="s">
        <x:v>21</x:v>
      </x:c>
      <x:c r="F14" s="6" t="s">
        <x:v>105</x:v>
      </x:c>
      <x:c r="G14" s="6" t="s">
        <x:v>106</x:v>
      </x:c>
      <x:c r="H14" s="6" t="s">
        <x:v>107</x:v>
      </x:c>
      <x:c r="I14" s="10" t="n">
        <x:v>801020.00</x:v>
      </x:c>
      <x:c r="J14" s="11" t="s">
        <x:v>72</x:v>
      </x:c>
      <x:c r="K14" s="11" t="s">
        <x:v>26</x:v>
      </x:c>
      <x:c r="L14" s="12" t="str">
        <x:f xml:space="preserve">HYPERLINK("https://contrataciondelestado.es/wps/poc?uri=deeplink:detalle_licitacion&amp;idEvl=32wB4Ui0bdTL1rX3q%2FMAPA%3D%3D","contrataciondelestado.es/wps/poc?uri=deeplink:detalle_licitacion&amp;idEvl=32wB4Ui0bdTL1rX3q%2FMAPA%3D%3D")</x:f>
        <x:v>contrataciondelestado.es/wps/poc?uri=deeplink:detalle_licitacion&amp;idEvl=32wB4Ui0bdTL1rX3q%2FMAPA%3D%3D</x:v>
      </x:c>
      <x:c r="M14" s="11" t="s">
        <x:v>27</x:v>
      </x:c>
      <x:c r="N14" s="13" t="s">
        <x:v>21</x:v>
      </x:c>
      <x:c r="O14" s="11" t="s">
        <x:v>108</x:v>
      </x:c>
      <x:c r="P14" s="11" t="s">
        <x:v>74</x:v>
      </x:c>
      <x:c r="Q14" s="14" t="str">
        <x:f xml:space="preserve">HYPERLINK("https://www.infonalia.es/licitaciones1125/2025155913.pdf","www.infonalia.es/licitaciones1125/2025155913.pdf")</x:f>
        <x:v>www.infonalia.es/licitaciones1125/2025155913.pdf</x:v>
      </x:c>
    </x:row>
    <x:row r="15">
      <x:c r="A15" s="6" t="s">
        <x:v>17</x:v>
      </x:c>
      <x:c r="B15" s="6" t="s">
        <x:v>66</x:v>
      </x:c>
      <x:c r="C15" s="7" t="s">
        <x:v>46</x:v>
      </x:c>
      <x:c r="D15" s="8" t="s">
        <x:v>109</x:v>
      </x:c>
      <x:c r="E15" s="9" t="s">
        <x:v>21</x:v>
      </x:c>
      <x:c r="F15" s="6" t="s">
        <x:v>110</x:v>
      </x:c>
      <x:c r="G15" s="6" t="s">
        <x:v>111</x:v>
      </x:c>
      <x:c r="H15" s="6" t="s">
        <x:v>112</x:v>
      </x:c>
      <x:c r="I15" s="10" t="n">
        <x:v>13237.37</x:v>
      </x:c>
      <x:c r="J15" s="11" t="s">
        <x:v>72</x:v>
      </x:c>
      <x:c r="K15" s="11" t="s">
        <x:v>26</x:v>
      </x:c>
      <x:c r="L15" s="12" t="str">
        <x:f xml:space="preserve">HYPERLINK("https://contrataciondelestado.es/wps/poc?uri=deeplink:detalle_licitacion&amp;idEvl=a3Mq9UMb45WP%2Bo96UAV7cQ%3D%3D","contrataciondelestado.es/wps/poc?uri=deeplink:detalle_licitacion&amp;idEvl=a3Mq9UMb45WP%2Bo96UAV7cQ%3D%3D")</x:f>
        <x:v>contrataciondelestado.es/wps/poc?uri=deeplink:detalle_licitacion&amp;idEvl=a3Mq9UMb45WP%2Bo96UAV7cQ%3D%3D</x:v>
      </x:c>
      <x:c r="M15" s="11" t="s">
        <x:v>27</x:v>
      </x:c>
      <x:c r="N15" s="13" t="s">
        <x:v>21</x:v>
      </x:c>
      <x:c r="O15" s="11" t="s">
        <x:v>113</x:v>
      </x:c>
      <x:c r="P15" s="11" t="s">
        <x:v>74</x:v>
      </x:c>
      <x:c r="Q15" s="14" t="str">
        <x:f xml:space="preserve">HYPERLINK("https://www.infonalia.es/licitaciones1125/2025155982.pdf","www.infonalia.es/licitaciones1125/2025155982.pdf")</x:f>
        <x:v>www.infonalia.es/licitaciones1125/2025155982.pdf</x:v>
      </x:c>
    </x:row>
    <x:row r="16">
      <x:c r="A16" s="6" t="s">
        <x:v>17</x:v>
      </x:c>
      <x:c r="B16" s="6" t="s">
        <x:v>66</x:v>
      </x:c>
      <x:c r="C16" s="7" t="s">
        <x:v>46</x:v>
      </x:c>
      <x:c r="D16" s="8" t="s">
        <x:v>114</x:v>
      </x:c>
      <x:c r="E16" s="9" t="s">
        <x:v>21</x:v>
      </x:c>
      <x:c r="F16" s="6" t="s">
        <x:v>115</x:v>
      </x:c>
      <x:c r="G16" s="6" t="s">
        <x:v>116</x:v>
      </x:c>
      <x:c r="H16" s="6" t="s">
        <x:v>117</x:v>
      </x:c>
      <x:c r="I16" s="10" t="n">
        <x:v>55000.00</x:v>
      </x:c>
      <x:c r="J16" s="11" t="s">
        <x:v>72</x:v>
      </x:c>
      <x:c r="K16" s="11" t="s">
        <x:v>26</x:v>
      </x:c>
      <x:c r="L16" s="12" t="str">
        <x:f xml:space="preserve">HYPERLINK("https://contrataciondelestado.es/wps/poc?uri=deeplink:detalle_licitacion&amp;idEvl=2GZIa8c3xHAtm4eBPtV6eQ%3D%3D","contrataciondelestado.es/wps/poc?uri=deeplink:detalle_licitacion&amp;idEvl=2GZIa8c3xHAtm4eBPtV6eQ%3D%3D")</x:f>
        <x:v>contrataciondelestado.es/wps/poc?uri=deeplink:detalle_licitacion&amp;idEvl=2GZIa8c3xHAtm4eBPtV6eQ%3D%3D</x:v>
      </x:c>
      <x:c r="M16" s="11" t="s">
        <x:v>27</x:v>
      </x:c>
      <x:c r="N16" s="13" t="s">
        <x:v>21</x:v>
      </x:c>
      <x:c r="O16" s="11" t="s">
        <x:v>118</x:v>
      </x:c>
      <x:c r="P16" s="11" t="s">
        <x:v>74</x:v>
      </x:c>
      <x:c r="Q16" s="14" t="str">
        <x:f xml:space="preserve">HYPERLINK("https://www.infonalia.es/licitaciones1125/2025156013.pdf","www.infonalia.es/licitaciones1125/2025156013.pdf")</x:f>
        <x:v>www.infonalia.es/licitaciones1125/2025156013.pdf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