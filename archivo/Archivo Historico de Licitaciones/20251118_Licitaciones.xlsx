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<x:sst xmlns:x="http://schemas.openxmlformats.org/spreadsheetml/2006/main" count="17" uniqueCount="17">
  <x:si>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</x:si>
  <x:si>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</x:si>
  <x:si>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</x:si>
  <x:si>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</x:si>
  <x:si>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</x:si>
  <x:si>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</x:si>
  <x:si>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</x:si>
  <x:si>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</x:si>
  <x:si>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</x:si>
  <x:si>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</x:si>
  <x:si>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</x:si>
  <x:si>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</x:si>
  <x:si>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</x:si>
  <x:si>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</x:si>
  <x:si>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</x:si>
  <x:si>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</x:si>
  <x:si>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</x:si>
  <x:si>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</x:si>
  <x:si>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</x:si>
  <x:si>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01/12/2025</x:t>
  </x:si>
  <x:si>
    <x:t>2025163688</x:t>
  </x:si>
  <x:si>
    <x:t>18/11/2025</x:t>
  </x:si>
  <x:si>
    <x:t>JEFATURA DE UNIDAD DE MEDIOS INTERNOS -ÁREA DE COMPRAS DE LA COMPAÑÍA ESPAÑOLA DE SEGUROS DE CRÉDITO A LA EXPORTACIÓN S.A., S.M.E. (CESCE)</x:t>
  </x:si>
  <x:si>
    <x:t>Elaboración de Piezas Audiovisuales para Cesce.</x:t>
  </x:si>
  <x:si>
    <x:t>A49-1125</x:t>
  </x:si>
  <x:si>
    <x:t>Importe sin impuestos</x:t>
  </x:si>
  <x:si>
    <x:t/>
  </x:si>
  <x:si>
    <x:t>-----</x:t>
  </x:si>
  <x:si>
    <x:t>17/11/2025</x:t>
  </x:si>
  <x:si>
    <x:t/>
  </x:si>
  <x:si>
    <x:t>Madrid</x:t>
  </x:si>
  <x:si>
    <x:t>03/12/2025</x:t>
  </x:si>
  <x:si>
    <x:t>2025163689</x:t>
  </x:si>
  <x:si>
    <x:t>FUNDACIÓ BARCELONA MOBILE WORLD CAPITAL FOUNDATION</x:t>
  </x:si>
  <x:si>
    <x:t>El objeto del presente contrato consiste en la prestación de un servicio integral de producción audiovisual, identidad visual y adaptación de formatos a entornos multicanal, destinado a la realización del proyecto audiovisual “20 años, 20 historias: Vidas Conectadas”, con motivo de la conmemoración de los 20 años del MWC en Barcelona. El servicio tiene por finalidad conceptualizar, producir y postproducir una serie documental compuesta por diez (10) cápsulas audiovisuales y una pieza resumen, así como desarrollar su identidad visual y los materiales gráficos y promocionales asociados, garantizando la coherencia narrativa, estética e institucional de todo el conjunto.</x:t>
  </x:si>
  <x:si>
    <x:t>A/F202527/S</x:t>
  </x:si>
  <x:si>
    <x:t/>
  </x:si>
  <x:si>
    <x:t>Barcelona</x:t>
  </x:si>
  <x:si>
    <x:t>02/12/2025</x:t>
  </x:si>
  <x:si>
    <x:t>2025163702</x:t>
  </x:si>
  <x:si>
    <x:t>DIRECCIÓN DE LA FUNDACIÓN ICO</x:t>
  </x:si>
  <x:si>
    <x:t>El presente pliego tiene por objeto la contratación del servicio de transporte de la exposición Escultura con dibujo Colecciones ICO, formada por 45 dibujos y 34 esculturas de mediano y gran formato.</x:t>
  </x:si>
  <x:si>
    <x:t>32/2025</x:t>
  </x:si>
  <x:si>
    <x:t/>
  </x:si>
  <x:si>
    <x:t>2025163759</x:t>
  </x:si>
  <x:si>
    <x:t>CONSELL COMARCAL DEL MARESME (BARCELONA)</x:t>
  </x:si>
  <x:si>
    <x:t>El objeto del presente contrato es la contratación del diseño, organización y gestión de una pequeña feria de promoción de los productos ganaderos de la comarca del Maresme y de sensibilización sobre las ventajas del silvopasto para la reducción del riesgo de incendios y para la activación del sector ganadero en la comarca.</x:t>
  </x:si>
  <x:si>
    <x:t>CCM 3085-0009/2025</x:t>
  </x:si>
  <x:si>
    <x:t/>
  </x:si>
  <x:si>
    <x:t>2025163858</x:t>
  </x:si>
  <x:si>
    <x:t>INSTITUTO DE CULTURA DE BARCELONA</x:t>
  </x:si>
  <x:si>
    <x:t>El objeto del contrato son los servicios de oficina técnica para la gestión de la contratación, logística de viajes y alojamientos del festival Món Llibre, con medidas de contratación pública sostenible.</x:t>
  </x:si>
  <x:si>
    <x:t>006_25001850</x:t>
  </x:si>
  <x:si>
    <x:t/>
  </x:si>
  <x:si>
    <x:t>2025163971</x:t>
  </x:si>
  <x:si>
    <x:t>UNIVERSITAT DE BARCELONA</x:t>
  </x:si>
  <x:si>
    <x:t>Servicio de reacondicionamiento del stand de ediciones anteriores (2024 y 2025) del Salón de la Enseñanza para la edición 2026. El reacondicionamiento contempla: - Transporte de los módulos del stand de las ediciones anteriores en la Fira de Barcelona desde el almacén de la empresa 118Studio Produc. puntos de anclaje y su certificación, canon de montaje y servicios de limpieza - Instalación de nuevo entarimado y enmoquetado de los espacios de la UB - Realización de la instalación eléctrica y red cableada - Instalación del truss perimetral de características similares a las ediciones anteriores - Suministro de los elementos audiovisuales: videowall del estado, reacondicionamiento y repintado de cubos interactivos y aéreos - Realización de la nueva rotulación de acuerdo con la incorporación de la marca del 575 Aniversario y con la nueva oferta formativa para el curso 2026-2027 - Montaje del stand - Desmontaje, transporte y destrucción del stand al finalizar</x:t>
  </x:si>
  <x:si>
    <x:t>2025/109</x:t>
  </x:si>
  <x:si>
    <x:t/>
  </x:si>
  <x:si>
    <x:t>Catalunya - Plataforma de Contratación</x:t>
  </x:si>
  <x:si>
    <x:t>24/11/2025</x:t>
  </x:si>
  <x:si>
    <x:t>2025164078</x:t>
  </x:si>
  <x:si>
    <x:t>INSTITUTO MUNICIPAL DE LA VIVIENDA Y REHABILITACIÓN DE BARCELONA</x:t>
  </x:si>
  <x:si>
    <x:t>Estudio de mercado, procedimientos y normativa para la colocación de lonas publicitarias por el departamento de Comunicación del IMHAB -25/086-</x:t>
  </x:si>
  <x:si>
    <x:t>25/086</x:t>
  </x:si>
  <x:si>
    <x:t>IVA excluido</x:t>
  </x:si>
  <x:si>
    <x:t/>
  </x:si>
  <x:si>
    <x:t/>
  </x:si>
  <x:si>
    <x:t>Barcelona. Perfil del Contratante del Ayuntamiento</x:t>
  </x:si>
  <x:si>
    <x:t>2025164108</x:t>
  </x:si>
  <x:si>
    <x:t>Contratación de una oficina técnica para la contratación de la conceptualización,
 coordinación, difusión y realización de una mesa redonda con motivo de la presentación de las 
"Actas de las Jornadas de los Jardines claustrales de Cataluña"</x:t>
  </x:si>
  <x:si>
    <x:t>006_P2501704</x:t>
  </x:si>
  <x:si>
    <x:t/>
  </x:si>
  <x:si>
    <x:t/>
  </x:si>
  <x:si>
    <x:t>21/11/2025</x:t>
  </x:si>
  <x:si>
    <x:t>2025164109</x:t>
  </x:si>
  <x:si>
    <x:t>INFORMACIO I COMUNICACIO DE BARCELONA, SA, SPM</x:t>
  </x:si>
  <x:si>
    <x:t>Servicio de Realización en directo para la producción especial de Cantagran en el Auditori de Barcelona.</x:t>
  </x:si>
  <x:si>
    <x:t>016/250214</x:t>
  </x:si>
  <x:si>
    <x:t/>
  </x:si>
  <x:si>
    <x:t/>
  </x:si>
  <x:si>
    <x:t>2025164110</x:t>
  </x:si>
  <x:si>
    <x:t>Adecuación de sala de exposiciones de la PL4 del MUEC para la próxima exposición.</x:t>
  </x:si>
  <x:si>
    <x:t>006_P2501698</x:t>
  </x:si>
  <x:si>
    <x:t/>
  </x:si>
  <x:si>
    <x:t/>
  </x:si>
  <x:si>
    <x:t>2025164117</x:t>
  </x:si>
  <x:si>
    <x:t>AYUNTAMIENTO DE BARCELONA</x:t>
  </x:si>
  <x:si>
    <x:t>Impresión de materiales para confeccionar una colección de cromos del barrio de Sant Antoni.</x:t>
  </x:si>
  <x:si>
    <x:t>001_P2503139</x:t>
  </x:si>
  <x:si>
    <x:t/>
  </x:si>
  <x:si>
    <x:t/>
  </x:si>
  <x:si>
    <x:t>20/11/2025</x:t>
  </x:si>
  <x:si>
    <x:t>2025164171</x:t>
  </x:si>
  <x:si>
    <x:t>JUNTA DE GOBIERNO DEL AYUNTAMIENTO DE MÓSTOLES (MADRID)</x:t>
  </x:si>
  <x:si>
    <x:t>Servicio de adaptación a lectura fácil para personas con diversidad funcional del programa de las fiestas de navidad 2025 del Ayuntamiento de Móstoles.</x:t>
  </x:si>
  <x:si>
    <x:t>C074/COM/2025-002 BIS</x:t>
  </x:si>
  <x:si>
    <x:t/>
  </x:si>
  <x:si>
    <x:t>22/11/2025</x:t>
  </x:si>
  <x:si>
    <x:t>2025164223</x:t>
  </x:si>
  <x:si>
    <x:t>Alquiler, montaje, instalación y desmontaje de la equipación técnica, musical y de backline necesaria para la función “YA NO ESTOY SOLA” que se llevará a cabo por la compañía de DIANA NAVARRO el día 29 de noviembre de 2025 en el Teatro del Bosque de Móstoles</x:t>
  </x:si>
  <x:si>
    <x:t>C074/CUL/2025-007</x:t>
  </x:si>
  <x:si>
    <x:t>Ver pliegos</x:t>
  </x:si>
  <x:si>
    <x:t/>
  </x:si>
  <x:si>
    <x:t>12/12/2025</x:t>
  </x:si>
  <x:si>
    <x:t>2025164305</x:t>
  </x:si>
  <x:si>
    <x:t>DIPUTACIÓN DE BARCELONA</x:t>
  </x:si>
  <x:si>
    <x:t>Organización y dinamización de espacios de participación (Living Labs) en distintos parques de la Red de Parques Naturales. Proyecto LIFE21-ipc-es-life-ecoadapt50 (ll4cc, wp3). El trabajo a contratar forma parte del apoyo externo necesario para la gestión del proyecto LIFE-eCOadapt50/101069781 (Exp 2021/0019157.), subvención concedida por la Unión Europea en el marco de la convocatoria “LIFE-2021-STRAT-CLIMA-SIP-twostage”.</x:t>
  </x:si>
  <x:si>
    <x:t>2025/0021348</x:t>
  </x:si>
  <x:si>
    <x:t/>
  </x:si>
  <x:si>
    <x:t>DOUE - Diario Oficial de la Unión Europea (S)</x:t>
  </x:si>
  <x:si>
    <x:t>17/12/2025</x:t>
  </x:si>
  <x:si>
    <x:t>2025164444</x:t>
  </x:si>
  <x:si>
    <x:t>CORPORACIÓ CATALANA DE MITJANS AUDIOVISUALS, SA (CCMA, SA)</x:t>
  </x:si>
  <x:si>
    <x:t>Servicio de diseño creativo digital. Servicio de creación de imágenes digitales en diverses tipologías de grafismos y
proyectos asociados</x:t>
  </x:si>
  <x:si>
    <x:t>No consta</x:t>
  </x:si>
  <x:si>
    <x:t/>
  </x:si>
  <x:si>
    <x:t>221</x:t>
  </x:si>
  <x:si>
    <x:t/>
  </x:si>
  <x:si>
    <x:t>Catalunya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</x:si>
</x:sst>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315000.00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HYPERLINK("https://contrataciondelestado.es/wps/poc?uri=deeplink:detalle_licitacion&amp;idEvl=n465auzu%2FUUadbH3CysQuQ%3D%3D","contrataciondelestado.es/wps/poc?uri=deeplink:detalle_licitacion&amp;idEvl=n465auzu%2FUUadbH3CysQuQ%3D%3D")</x:f>
        <x:v>contrataciondelestado.es/wps/poc?uri=deeplink:detalle_licitacion&amp;idEvl=n465auzu%2FUUadbH3CysQuQ%3D%3D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HYPERLINK("https://www.infonalia.es/licitaciones1125/2025163688.pdf","www.infonalia.es/licitaciones1125/2025163688.pdf")</x:f>
        <x:v>www.infonalia.es/licitaciones1125/2025163688.pdf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164049.59</x:v>
      </x:c>
      <x:c r="J3" s="11" t="s">
        <x:v>25</x:v>
      </x:c>
      <x:c r="K3" s="11" t="s">
        <x:v>26</x:v>
      </x:c>
      <x:c r="L3" s="12" t="str">
        <x:f xml:space="preserve">HYPERLINK("https://contractaciopublica.cat/es/detall-publicacio/c3b7b31a-4486-4747-a92b-6eb72668a601/300621239","contractaciopublica.cat/es/detall-publicacio/c3b7b31a-4486-4747-a92b-6eb72668a601/300621239")</x:f>
        <x:v>contractaciopublica.cat/es/detall-publicacio/c3b7b31a-4486-4747-a92b-6eb72668a601/300621239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HYPERLINK("https://www.infonalia.es/licitaciones1125/2025163689.pdf","www.infonalia.es/licitaciones1125/2025163689.pdf")</x:f>
        <x:v>www.infonalia.es/licitaciones1125/2025163689.pdf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50000.00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HYPERLINK("https://contrataciondelestado.es/wps/poc?uri=deeplink:detalle_licitacion&amp;idEvl=BmZ2dlngHlsQyBAnWzHfCg%3D%3D","contrataciondelestado.es/wps/poc?uri=deeplink:detalle_licitacion&amp;idEvl=BmZ2dlngHlsQyBAnWzHfCg%3D%3D")</x:f>
        <x:v>contrataciondelestado.es/wps/poc?uri=deeplink:detalle_licitacion&amp;idEvl=BmZ2dlngHlsQyBAnWzHfCg%3D%3D</x:v>
      </x:c>
      <x:c r="M4" s="11" t="s">
        <x:v>27</x:v>
      </x:c>
      <x:c r="N4" s="13" t="s">
        <x:v>28</x:v>
      </x:c>
      <x:c r="O4" s="11" t="s">
        <x:v>43</x:v>
      </x:c>
      <x:c r="P4" s="11" t="s">
        <x:v>30</x:v>
      </x:c>
      <x:c r="Q4" s="14" t="str">
        <x:f xml:space="preserve">HYPERLINK("https://www.infonalia.es/licitaciones1125/2025163702.pdf","www.infonalia.es/licitaciones1125/2025163702.pdf")</x:f>
        <x:v>www.infonalia.es/licitaciones1125/2025163702.pdf</x:v>
      </x:c>
    </x:row>
    <x:row r="5">
      <x:c r="A5" s="6" t="s">
        <x:v>17</x:v>
      </x:c>
      <x:c r="B5" s="6" t="s">
        <x:v>18</x:v>
      </x:c>
      <x:c r="C5" s="7" t="s">
        <x:v>38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61983.47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HYPERLINK("https://contractaciopublica.cat/ca/detall-publicacio/fdf5ad0e-1bcc-4c09-9d66-720253e7ecb2/300621047","contractaciopublica.cat/ca/detall-publicacio/fdf5ad0e-1bcc-4c09-9d66-720253e7ecb2/300621047")</x:f>
        <x:v>contractaciopublica.cat/ca/detall-publicacio/fdf5ad0e-1bcc-4c09-9d66-720253e7ecb2/300621047</x:v>
      </x:c>
      <x:c r="M5" s="11" t="s">
        <x:v>27</x:v>
      </x:c>
      <x:c r="N5" s="13" t="s">
        <x:v>28</x:v>
      </x:c>
      <x:c r="O5" s="11" t="s">
        <x:v>48</x:v>
      </x:c>
      <x:c r="P5" s="11" t="s">
        <x:v>37</x:v>
      </x:c>
      <x:c r="Q5" s="14" t="str">
        <x:f xml:space="preserve">HYPERLINK("https://www.infonalia.es/licitaciones1125/2025163759.pdf","www.infonalia.es/licitaciones1125/2025163759.pdf")</x:f>
        <x:v>www.infonalia.es/licitaciones1125/2025163759.pdf</x:v>
      </x:c>
    </x:row>
    <x:row r="6">
      <x:c r="A6" s="6" t="s">
        <x:v>17</x:v>
      </x:c>
      <x:c r="B6" s="6" t="s">
        <x:v>18</x:v>
      </x:c>
      <x:c r="C6" s="7" t="s">
        <x:v>38</x:v>
      </x:c>
      <x:c r="D6" s="8" t="s">
        <x:v>49</x:v>
      </x:c>
      <x:c r="E6" s="9" t="s">
        <x:v>21</x:v>
      </x:c>
      <x:c r="F6" s="6" t="s">
        <x:v>50</x:v>
      </x:c>
      <x:c r="G6" s="6" t="s">
        <x:v>51</x:v>
      </x:c>
      <x:c r="H6" s="6" t="s">
        <x:v>52</x:v>
      </x:c>
      <x:c r="I6" s="10" t="n">
        <x:v>170036.03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HYPERLINK("https://contractaciopublica.cat/ca/detall-publicacio/e4f82256-4bad-464f-9dfc-e6a433dc719d/300620652","contractaciopublica.cat/ca/detall-publicacio/e4f82256-4bad-464f-9dfc-e6a433dc719d/300620652")</x:f>
        <x:v>contractaciopublica.cat/ca/detall-publicacio/e4f82256-4bad-464f-9dfc-e6a433dc719d/300620652</x:v>
      </x:c>
      <x:c r="M6" s="11" t="s">
        <x:v>27</x:v>
      </x:c>
      <x:c r="N6" s="13" t="s">
        <x:v>28</x:v>
      </x:c>
      <x:c r="O6" s="11" t="s">
        <x:v>53</x:v>
      </x:c>
      <x:c r="P6" s="11" t="s">
        <x:v>37</x:v>
      </x:c>
      <x:c r="Q6" s="14" t="str">
        <x:f xml:space="preserve">HYPERLINK("https://www.infonalia.es/licitaciones1125/2025163858.pdf","www.infonalia.es/licitaciones1125/2025163858.pdf")</x:f>
        <x:v>www.infonalia.es/licitaciones1125/2025163858.pdf</x:v>
      </x:c>
    </x:row>
    <x:row r="7">
      <x:c r="A7" s="6" t="s">
        <x:v>17</x:v>
      </x:c>
      <x:c r="B7" s="6" t="s">
        <x:v>18</x:v>
      </x:c>
      <x:c r="C7" s="7" t="s">
        <x:v>31</x:v>
      </x:c>
      <x:c r="D7" s="8" t="s">
        <x:v>54</x:v>
      </x:c>
      <x:c r="E7" s="9" t="s">
        <x:v>21</x:v>
      </x:c>
      <x:c r="F7" s="6" t="s">
        <x:v>55</x:v>
      </x:c>
      <x:c r="G7" s="6" t="s">
        <x:v>56</x:v>
      </x:c>
      <x:c r="H7" s="6" t="s">
        <x:v>57</x:v>
      </x:c>
      <x:c r="I7" s="10" t="n">
        <x:v>80000.00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HYPERLINK("https://contractaciopublica.cat/ca/detall-publicacio/34030336-2cad-48aa-bf88-b70e7085565d/300620258","contractaciopublica.cat/ca/detall-publicacio/34030336-2cad-48aa-bf88-b70e7085565d/300620258")</x:f>
        <x:v>contractaciopublica.cat/ca/detall-publicacio/34030336-2cad-48aa-bf88-b70e7085565d/300620258</x:v>
      </x:c>
      <x:c r="M7" s="11" t="s">
        <x:v>27</x:v>
      </x:c>
      <x:c r="N7" s="13" t="s">
        <x:v>28</x:v>
      </x:c>
      <x:c r="O7" s="11" t="s">
        <x:v>58</x:v>
      </x:c>
      <x:c r="P7" s="11" t="s">
        <x:v>37</x:v>
      </x:c>
      <x:c r="Q7" s="14" t="str">
        <x:f xml:space="preserve">HYPERLINK("https://www.infonalia.es/licitaciones1125/2025163971.pdf","www.infonalia.es/licitaciones1125/2025163971.pdf")</x:f>
        <x:v>www.infonalia.es/licitaciones1125/2025163971.pdf</x:v>
      </x:c>
    </x:row>
    <x:row r="8">
      <x:c r="A8" s="6" t="s">
        <x:v>17</x:v>
      </x:c>
      <x:c r="B8" s="6" t="s">
        <x:v>59</x:v>
      </x:c>
      <x:c r="C8" s="7" t="s">
        <x:v>60</x:v>
      </x:c>
      <x:c r="D8" s="8" t="s">
        <x:v>61</x:v>
      </x:c>
      <x:c r="E8" s="9" t="s">
        <x:v>21</x:v>
      </x:c>
      <x:c r="F8" s="6" t="s">
        <x:v>62</x:v>
      </x:c>
      <x:c r="G8" s="6" t="s">
        <x:v>63</x:v>
      </x:c>
      <x:c r="H8" s="6" t="s">
        <x:v>64</x:v>
      </x:c>
      <x:c r="I8" s="10" t="n">
        <x:v>8000.00</x:v>
      </x:c>
      <x:c r="J8" s="11" t="s">
        <x:v>65</x:v>
      </x:c>
      <x:c r="K8" s="11" t="s">
        <x:v>66</x:v>
      </x:c>
      <x:c r="L8" s="12" t="str">
        <x:f xml:space="preserve">HYPERLINK("https://contractaciopublica.cat/es/detall-publicacio/300620690","contractaciopublica.cat/es/detall-publicacio/300620690")</x:f>
        <x:v>contractaciopublica.cat/es/detall-publicacio/300620690</x:v>
      </x:c>
      <x:c r="M8" s="11" t="s">
        <x:v>27</x:v>
      </x:c>
      <x:c r="N8" s="13" t="s">
        <x:v>28</x:v>
      </x:c>
      <x:c r="O8" s="11" t="s">
        <x:v>67</x:v>
      </x:c>
      <x:c r="P8" s="11" t="s">
        <x:v>37</x:v>
      </x:c>
      <x:c r="Q8" s="14" t="str">
        <x:f xml:space="preserve">HYPERLINK("https://www.infonalia.es/licitaciones1125/2025164078.pdf","www.infonalia.es/licitaciones1125/2025164078.pdf")</x:f>
        <x:v>www.infonalia.es/licitaciones1125/2025164078.pdf</x:v>
      </x:c>
    </x:row>
    <x:row r="9">
      <x:c r="A9" s="6" t="s">
        <x:v>17</x:v>
      </x:c>
      <x:c r="B9" s="6" t="s">
        <x:v>68</x:v>
      </x:c>
      <x:c r="C9" s="7" t="s">
        <x:v>60</x:v>
      </x:c>
      <x:c r="D9" s="8" t="s">
        <x:v>69</x:v>
      </x:c>
      <x:c r="E9" s="9" t="s">
        <x:v>21</x:v>
      </x:c>
      <x:c r="F9" s="6" t="s">
        <x:v>50</x:v>
      </x:c>
      <x:c r="G9" s="6" t="s">
        <x:v>70</x:v>
      </x:c>
      <x:c r="H9" s="6" t="s">
        <x:v>71</x:v>
      </x:c>
      <x:c r="I9" s="10" t="n">
        <x:v>1852.00</x:v>
      </x:c>
      <x:c r="J9" s="11" t="s">
        <x:v>25</x:v>
      </x:c>
      <x:c r="K9" s="11" t="s">
        <x:v>72</x:v>
      </x:c>
      <x:c r="L9" s="12" t="str">
        <x:f xml:space="preserve">HYPERLINK("https://licitacions.bcn.cat/licitacion/licitaciones/detalle?id=13675182","licitacions.bcn.cat/licitacion/licitaciones/detalle?id=13675182")</x:f>
        <x:v>licitacions.bcn.cat/licitacion/licitaciones/detalle?id=13675182</x:v>
      </x:c>
      <x:c r="M9" s="11" t="s">
        <x:v>27</x:v>
      </x:c>
      <x:c r="N9" s="13" t="s">
        <x:v>28</x:v>
      </x:c>
      <x:c r="O9" s="11" t="s">
        <x:v>73</x:v>
      </x:c>
      <x:c r="P9" s="11" t="s">
        <x:v>37</x:v>
      </x:c>
      <x:c r="Q9" s="14" t="str">
        <x:f xml:space="preserve">HYPERLINK("https://www.infonalia.es/licitaciones1125/2025164108.pdf","www.infonalia.es/licitaciones1125/2025164108.pdf")</x:f>
        <x:v>www.infonalia.es/licitaciones1125/2025164108.pdf</x:v>
      </x:c>
    </x:row>
    <x:row r="10">
      <x:c r="A10" s="6" t="s">
        <x:v>17</x:v>
      </x:c>
      <x:c r="B10" s="6" t="s">
        <x:v>68</x:v>
      </x:c>
      <x:c r="C10" s="7" t="s">
        <x:v>74</x:v>
      </x:c>
      <x:c r="D10" s="8" t="s">
        <x:v>75</x:v>
      </x:c>
      <x:c r="E10" s="9" t="s">
        <x:v>21</x:v>
      </x:c>
      <x:c r="F10" s="6" t="s">
        <x:v>76</x:v>
      </x:c>
      <x:c r="G10" s="6" t="s">
        <x:v>77</x:v>
      </x:c>
      <x:c r="H10" s="6" t="s">
        <x:v>78</x:v>
      </x:c>
      <x:c r="I10" s="10" t="n">
        <x:v>14900.00</x:v>
      </x:c>
      <x:c r="J10" s="11" t="s">
        <x:v>25</x:v>
      </x:c>
      <x:c r="K10" s="11" t="s">
        <x:v>79</x:v>
      </x:c>
      <x:c r="L10" s="12" t="str">
        <x:f xml:space="preserve">HYPERLINK("https://licitacions.bcn.cat/licitacion/licitaciones/detalle?id=13684334","licitacions.bcn.cat/licitacion/licitaciones/detalle?id=13684334")</x:f>
        <x:v>licitacions.bcn.cat/licitacion/licitaciones/detalle?id=13684334</x:v>
      </x:c>
      <x:c r="M10" s="11" t="s">
        <x:v>27</x:v>
      </x:c>
      <x:c r="N10" s="13" t="s">
        <x:v>28</x:v>
      </x:c>
      <x:c r="O10" s="11" t="s">
        <x:v>80</x:v>
      </x:c>
      <x:c r="P10" s="11" t="s">
        <x:v>37</x:v>
      </x:c>
      <x:c r="Q10" s="14" t="str">
        <x:f xml:space="preserve">HYPERLINK("https://www.infonalia.es/licitaciones1125/2025164109.pdf","www.infonalia.es/licitaciones1125/2025164109.pdf")</x:f>
        <x:v>www.infonalia.es/licitaciones1125/2025164109.pdf</x:v>
      </x:c>
    </x:row>
    <x:row r="11">
      <x:c r="A11" s="6" t="s">
        <x:v>17</x:v>
      </x:c>
      <x:c r="B11" s="6" t="s">
        <x:v>68</x:v>
      </x:c>
      <x:c r="C11" s="7" t="s">
        <x:v>60</x:v>
      </x:c>
      <x:c r="D11" s="8" t="s">
        <x:v>81</x:v>
      </x:c>
      <x:c r="E11" s="9" t="s">
        <x:v>21</x:v>
      </x:c>
      <x:c r="F11" s="6" t="s">
        <x:v>50</x:v>
      </x:c>
      <x:c r="G11" s="6" t="s">
        <x:v>82</x:v>
      </x:c>
      <x:c r="H11" s="6" t="s">
        <x:v>83</x:v>
      </x:c>
      <x:c r="I11" s="10" t="n">
        <x:v>4800.50</x:v>
      </x:c>
      <x:c r="J11" s="11" t="s">
        <x:v>25</x:v>
      </x:c>
      <x:c r="K11" s="11" t="s">
        <x:v>84</x:v>
      </x:c>
      <x:c r="L11" s="12" t="str">
        <x:f xml:space="preserve">HYPERLINK("https://licitacions.bcn.cat/licitacion/licitaciones/detalle?id=13676470","licitacions.bcn.cat/licitacion/licitaciones/detalle?id=13676470")</x:f>
        <x:v>licitacions.bcn.cat/licitacion/licitaciones/detalle?id=13676470</x:v>
      </x:c>
      <x:c r="M11" s="11" t="s">
        <x:v>27</x:v>
      </x:c>
      <x:c r="N11" s="13" t="s">
        <x:v>28</x:v>
      </x:c>
      <x:c r="O11" s="11" t="s">
        <x:v>85</x:v>
      </x:c>
      <x:c r="P11" s="11" t="s">
        <x:v>37</x:v>
      </x:c>
      <x:c r="Q11" s="14" t="str">
        <x:f xml:space="preserve">HYPERLINK("https://www.infonalia.es/licitaciones1125/2025164110.pdf","www.infonalia.es/licitaciones1125/2025164110.pdf")</x:f>
        <x:v>www.infonalia.es/licitaciones1125/2025164110.pdf</x:v>
      </x:c>
    </x:row>
    <x:row r="12">
      <x:c r="A12" s="6" t="s">
        <x:v>17</x:v>
      </x:c>
      <x:c r="B12" s="6" t="s">
        <x:v>68</x:v>
      </x:c>
      <x:c r="C12" s="7" t="s">
        <x:v>74</x:v>
      </x:c>
      <x:c r="D12" s="8" t="s">
        <x:v>86</x:v>
      </x:c>
      <x:c r="E12" s="9" t="s">
        <x:v>21</x:v>
      </x:c>
      <x:c r="F12" s="6" t="s">
        <x:v>87</x:v>
      </x:c>
      <x:c r="G12" s="6" t="s">
        <x:v>88</x:v>
      </x:c>
      <x:c r="H12" s="6" t="s">
        <x:v>89</x:v>
      </x:c>
      <x:c r="I12" s="10" t="n">
        <x:v>6900.00</x:v>
      </x:c>
      <x:c r="J12" s="11" t="s">
        <x:v>25</x:v>
      </x:c>
      <x:c r="K12" s="11" t="s">
        <x:v>90</x:v>
      </x:c>
      <x:c r="L12" s="12" t="str">
        <x:f xml:space="preserve">HYPERLINK("https://licitacions.bcn.cat/licitacion/licitaciones/detalle?id=13652996","licitacions.bcn.cat/licitacion/licitaciones/detalle?id=13652996")</x:f>
        <x:v>licitacions.bcn.cat/licitacion/licitaciones/detalle?id=13652996</x:v>
      </x:c>
      <x:c r="M12" s="11" t="s">
        <x:v>27</x:v>
      </x:c>
      <x:c r="N12" s="13" t="s">
        <x:v>28</x:v>
      </x:c>
      <x:c r="O12" s="11" t="s">
        <x:v>91</x:v>
      </x:c>
      <x:c r="P12" s="11" t="s">
        <x:v>37</x:v>
      </x:c>
      <x:c r="Q12" s="14" t="str">
        <x:f xml:space="preserve">HYPERLINK("https://www.infonalia.es/licitaciones1125/2025164117.pdf","www.infonalia.es/licitaciones1125/2025164117.pdf")</x:f>
        <x:v>www.infonalia.es/licitaciones1125/2025164117.pdf</x:v>
      </x:c>
    </x:row>
    <x:row r="13">
      <x:c r="A13" s="6" t="s">
        <x:v>17</x:v>
      </x:c>
      <x:c r="B13" s="6" t="s">
        <x:v>18</x:v>
      </x:c>
      <x:c r="C13" s="7" t="s">
        <x:v>92</x:v>
      </x:c>
      <x:c r="D13" s="8" t="s">
        <x:v>93</x:v>
      </x:c>
      <x:c r="E13" s="9" t="s">
        <x:v>21</x:v>
      </x:c>
      <x:c r="F13" s="6" t="s">
        <x:v>94</x:v>
      </x:c>
      <x:c r="G13" s="6" t="s">
        <x:v>95</x:v>
      </x:c>
      <x:c r="H13" s="6" t="s">
        <x:v>96</x:v>
      </x:c>
      <x:c r="I13" s="10" t="n">
        <x:v>1000.00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HYPERLINK("https://contrataciondelestado.es/wps/poc?uri=deeplink:detalle_licitacion&amp;idEvl=tYjli9n6EpsadbH3CysQuQ%3D%3D","contrataciondelestado.es/wps/poc?uri=deeplink:detalle_licitacion&amp;idEvl=tYjli9n6EpsadbH3CysQuQ%3D%3D")</x:f>
        <x:v>contrataciondelestado.es/wps/poc?uri=deeplink:detalle_licitacion&amp;idEvl=tYjli9n6EpsadbH3CysQuQ%3D%3D</x:v>
      </x:c>
      <x:c r="M13" s="11" t="s">
        <x:v>27</x:v>
      </x:c>
      <x:c r="N13" s="13" t="s">
        <x:v>28</x:v>
      </x:c>
      <x:c r="O13" s="11" t="s">
        <x:v>97</x:v>
      </x:c>
      <x:c r="P13" s="11" t="s">
        <x:v>30</x:v>
      </x:c>
      <x:c r="Q13" s="14" t="str">
        <x:f xml:space="preserve">HYPERLINK("https://www.infonalia.es/licitaciones1125/2025164171.pdf","www.infonalia.es/licitaciones1125/2025164171.pdf")</x:f>
        <x:v>www.infonalia.es/licitaciones1125/2025164171.pdf</x:v>
      </x:c>
    </x:row>
    <x:row r="14">
      <x:c r="A14" s="6" t="s">
        <x:v>17</x:v>
      </x:c>
      <x:c r="B14" s="6" t="s">
        <x:v>18</x:v>
      </x:c>
      <x:c r="C14" s="7" t="s">
        <x:v>98</x:v>
      </x:c>
      <x:c r="D14" s="8" t="s">
        <x:v>99</x:v>
      </x:c>
      <x:c r="E14" s="9" t="s">
        <x:v>21</x:v>
      </x:c>
      <x:c r="F14" s="6" t="s">
        <x:v>94</x:v>
      </x:c>
      <x:c r="G14" s="6" t="s">
        <x:v>100</x:v>
      </x:c>
      <x:c r="H14" s="6" t="s">
        <x:v>101</x:v>
      </x:c>
      <x:c r="I14" s="10"/>
      <x:c r="J14" s="11" t="s">
        <x:v>102</x:v>
      </x:c>
      <x:c r="K14" s="11" t="s">
        <x:v>26</x:v>
      </x:c>
      <x:c r="L14" s="12" t="str">
        <x:f xml:space="preserve">HYPERLINK("https://contrataciondelestado.es/wps/poc?uri=deeplink:detalle_licitacion&amp;idEvl=5NEivslRQmp9PLkba5eRog%3D%3D","contrataciondelestado.es/wps/poc?uri=deeplink:detalle_licitacion&amp;idEvl=5NEivslRQmp9PLkba5eRog%3D%3D")</x:f>
        <x:v>contrataciondelestado.es/wps/poc?uri=deeplink:detalle_licitacion&amp;idEvl=5NEivslRQmp9PLkba5eRog%3D%3D</x:v>
      </x:c>
      <x:c r="M14" s="11" t="s">
        <x:v>27</x:v>
      </x:c>
      <x:c r="N14" s="13" t="s">
        <x:v>28</x:v>
      </x:c>
      <x:c r="O14" s="11" t="s">
        <x:v>103</x:v>
      </x:c>
      <x:c r="P14" s="11" t="s">
        <x:v>30</x:v>
      </x:c>
      <x:c r="Q14" s="14" t="str">
        <x:f xml:space="preserve">HYPERLINK("https://www.infonalia.es/licitaciones1125/2025164223.pdf","www.infonalia.es/licitaciones1125/2025164223.pdf")</x:f>
        <x:v>www.infonalia.es/licitaciones1125/2025164223.pdf</x:v>
      </x:c>
    </x:row>
    <x:row r="15">
      <x:c r="A15" s="6" t="s">
        <x:v>17</x:v>
      </x:c>
      <x:c r="B15" s="6" t="s">
        <x:v>18</x:v>
      </x:c>
      <x:c r="C15" s="7" t="s">
        <x:v>104</x:v>
      </x:c>
      <x:c r="D15" s="8" t="s">
        <x:v>105</x:v>
      </x:c>
      <x:c r="E15" s="9" t="s">
        <x:v>21</x:v>
      </x:c>
      <x:c r="F15" s="6" t="s">
        <x:v>106</x:v>
      </x:c>
      <x:c r="G15" s="6" t="s">
        <x:v>107</x:v>
      </x:c>
      <x:c r="H15" s="6" t="s">
        <x:v>108</x:v>
      </x:c>
      <x:c r="I15" s="10" t="n">
        <x:v>40000.00</x:v>
      </x:c>
      <x:c r="J15" s="11" t="s">
        <x:v>25</x:v>
      </x:c>
      <x:c r="K15" s="11" t="s">
        <x:v>26</x:v>
      </x:c>
      <x:c r="L15" s="12" t="str">
        <x:f xml:space="preserve">HYPERLINK("https://contractaciopublica.cat/ca/detall-publicacio/65ee5a28-169f-4f25-b2e6-be58e862edae/300620597","contractaciopublica.cat/ca/detall-publicacio/65ee5a28-169f-4f25-b2e6-be58e862edae/300620597")</x:f>
        <x:v>contractaciopublica.cat/ca/detall-publicacio/65ee5a28-169f-4f25-b2e6-be58e862edae/300620597</x:v>
      </x:c>
      <x:c r="M15" s="11" t="s">
        <x:v>27</x:v>
      </x:c>
      <x:c r="N15" s="13" t="s">
        <x:v>21</x:v>
      </x:c>
      <x:c r="O15" s="11" t="s">
        <x:v>109</x:v>
      </x:c>
      <x:c r="P15" s="11" t="s">
        <x:v>37</x:v>
      </x:c>
      <x:c r="Q15" s="14" t="str">
        <x:f xml:space="preserve">HYPERLINK("https://www.infonalia.es/licitaciones1125/2025164305.pdf","www.infonalia.es/licitaciones1125/2025164305.pdf")</x:f>
        <x:v>www.infonalia.es/licitaciones1125/2025164305.pdf</x:v>
      </x:c>
    </x:row>
    <x:row r="16">
      <x:c r="A16" s="6" t="s">
        <x:v>17</x:v>
      </x:c>
      <x:c r="B16" s="6" t="s">
        <x:v>110</x:v>
      </x:c>
      <x:c r="C16" s="7" t="s">
        <x:v>111</x:v>
      </x:c>
      <x:c r="D16" s="8" t="s">
        <x:v>112</x:v>
      </x:c>
      <x:c r="E16" s="9" t="s">
        <x:v>21</x:v>
      </x:c>
      <x:c r="F16" s="6" t="s">
        <x:v>113</x:v>
      </x:c>
      <x:c r="G16" s="6" t="s">
        <x:v>114</x:v>
      </x:c>
      <x:c r="H16" s="6" t="s">
        <x:v>115</x:v>
      </x:c>
      <x:c r="I16" s="10"/>
      <x:c r="J16" s="11" t="s">
        <x:v>102</x:v>
      </x:c>
      <x:c r="K16" s="11" t="s">
        <x:v>116</x:v>
      </x:c>
      <x:c r="L16" s="12" t="str">
        <x:f xml:space="preserve">HYPERLINK("https://contractaciopublica.cat/ca/perfils-contractant/detall/203758","contractaciopublica.cat/ca/perfils-contractant/detall/203758")</x:f>
        <x:v>contractaciopublica.cat/ca/perfils-contractant/detall/203758</x:v>
      </x:c>
      <x:c r="M16" s="11" t="s">
        <x:v>117</x:v>
      </x:c>
      <x:c r="N16" s="13" t="s">
        <x:v>28</x:v>
      </x:c>
      <x:c r="O16" s="11" t="s">
        <x:v>118</x:v>
      </x:c>
      <x:c r="P16" s="11" t="s">
        <x:v>119</x:v>
      </x:c>
      <x:c r="Q16" s="14" t="str">
        <x:f xml:space="preserve">HYPERLINK("https://www.infonalia.es/licitaciones1125/2025164444.pdf","www.infonalia.es/licitaciones1125/2025164444.pdf")</x:f>
        <x:v>www.infonalia.es/licitaciones1125/2025164444.pdf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