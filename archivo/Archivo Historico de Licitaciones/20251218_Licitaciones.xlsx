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<x:sst xmlns:x="http://schemas.openxmlformats.org/spreadsheetml/2006/main" count="17" uniqueCount="17">
  <x:si>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</x:si>
  <x:si>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</x:si>
  <x:si>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</x:si>
  <x:si>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</x:si>
  <x:si>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</x:si>
  <x:si>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</x:si>
  <x:si>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</x:si>
  <x:si>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</x:si>
  <x:si>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</x:si>
  <x:si>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</x:si>
  <x:si>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</x:si>
  <x:si>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</x:si>
  <x:si>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</x:si>
  <x:si>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</x:si>
  <x:si>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</x:si>
  <x:si>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</x:si>
  <x:si>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</x:si>
  <x:si>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</x:si>
  <x:si>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</x:si>
  <x:si>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
  </x:si>
  <x:si>
    <x:t>2025178990</x:t>
  </x:si>
  <x:si>
    <x:t>18/12/2025</x:t>
  </x:si>
  <x:si>
    <x:t>CONSEJO DE ADMINISTRACIÓN DE ICEX ESPAÑA EXPORTACIÓN E INVERSIONES, E.P.E</x:t>
  </x:si>
  <x:si>
    <x:t>Contratación del servicio de redacción de contenidos periodísticos, incluyendo noticias, reportajes y entrevistas con el fin de generar informaciones para el portal web de ICEX- Invest in Spain</x:t>
  </x:si>
  <x:si>
    <x:t>202/2025</x:t>
  </x:si>
  <x:si>
    <x:t>Importe sin impuestos</x:t>
  </x:si>
  <x:si>
    <x:t>Ver pliegos</x:t>
  </x:si>
  <x:si>
    <x:t>-----</x:t>
  </x:si>
  <x:si>
    <x:t>17/12/2025</x:t>
  </x:si>
  <x:si>
    <x:t/>
  </x:si>
  <x:si>
    <x:t>Madrid</x:t>
  </x:si>
  <x:si>
    <x:t>02/01/2026</x:t>
  </x:si>
  <x:si>
    <x:t>2025178994</x:t>
  </x:si>
  <x:si>
    <x:t>DIRECCIÓN GERENCIA Y PRESIDENCIA MANCOMUNADOS DE DIVERTIA GIJÓN, S.A</x:t>
  </x:si>
  <x:si>
    <x:t>Acuerdo marco para el servicio de asesorías especializadas de programación del Festival Internacional de Cine de Gijón (FICX)</x:t>
  </x:si>
  <x:si>
    <x:t>AM 01/2025</x:t>
  </x:si>
  <x:si>
    <x:t/>
  </x:si>
  <x:si>
    <x:t>Asturias</x:t>
  </x:si>
  <x:si>
    <x:t>05/01/2026</x:t>
  </x:si>
  <x:si>
    <x:t>2025179081</x:t>
  </x:si>
  <x:si>
    <x:t>MINISTERIO DE DEFENSA. CONSEJERO DELEGADO DE INGENIERÍA DE SISTEMAS PARA LA DEFENSA DE ESPAÑA S.A., S.M.E. Y M.P.</x:t>
  </x:si>
  <x:si>
    <x:t>Apoyo técnico a la planificación, coordinación y ejecución de un encuentro internacional mediante un servicio de consultoría para la organización de la III Cumbre Internacional sobre el Uso Responsable de la Inteligencia Artificial en el Ámbito Militar (REAIM)</x:t>
  </x:si>
  <x:si>
    <x:t>2025-01958</x:t>
  </x:si>
  <x:si>
    <x:t/>
  </x:si>
  <x:si>
    <x:t>07/01/2026</x:t>
  </x:si>
  <x:si>
    <x:t>2025179165</x:t>
  </x:si>
  <x:si>
    <x:t>MINISTERIO DE LA PRESIDENCIA, JUSTICIA Y RELACIONES CON LAS CORTES. DIRECCIÓN ADJUNTA DE MEDIOS PERSONALES Y MATERIALES DE LA ABOGACÍA GENERAL DEL ESTADO</x:t>
  </x:si>
  <x:si>
    <x:t>Servicio de asistencia técnica para el seguimiento de información de la AGE en medios de comunicación</x:t>
  </x:si>
  <x:si>
    <x:t>SEG INFO AGE 2025 017_125</x:t>
  </x:si>
  <x:si>
    <x:t/>
  </x:si>
  <x:si>
    <x:t>12/01/2026</x:t>
  </x:si>
  <x:si>
    <x:t>2025179184</x:t>
  </x:si>
  <x:si>
    <x:t>UNIVERSITAT AUTÒNOMA DE BARCELONA</x:t>
  </x:si>
  <x:si>
    <x:t>Servicio de organización y gestión logística del evento MEMEnginy 2026 organizado por la Escuela de Ingeniería de la Universidad Autónoma de Barcelona</x:t>
  </x:si>
  <x:si>
    <x:t>CONTR-144/2025</x:t>
  </x:si>
  <x:si>
    <x:t/>
  </x:si>
  <x:si>
    <x:t>Barcelona</x:t>
  </x:si>
  <x:si>
    <x:t>22/12/2025</x:t>
  </x:si>
  <x:si>
    <x:t>2025179331</x:t>
  </x:si>
  <x:si>
    <x:t>COMISIÓN DELEGADA DE LA FUNDACIÓN PARA LA INVESTIGACIÓN BIOMÉDICA DEL HOSPITAL UNIVERSITARIO PUERTA DE HIERRO - MAJADAHONDA</x:t>
  </x:si>
  <x:si>
    <x:t>Gestión para la publicación de un artículo</x:t>
  </x:si>
  <x:si>
    <x:t>00301-2025/406</x:t>
  </x:si>
  <x:si>
    <x:t/>
  </x:si>
  <x:si>
    <x:t>23/12/2025</x:t>
  </x:si>
  <x:si>
    <x:t>2025179337</x:t>
  </x:si>
  <x:si>
    <x:t>JUNTA DE GOBIERNO DEL AYUNTAMIENTO DE FUENGIROLA (MÁLAGA)</x:t>
  </x:si>
  <x:si>
    <x:t>Contrato de la campaña promocional de Fuengirola en publicidad exterior del recinto ferial y mupis en Helsinki, durante la Feria de Turismo Matka 2026</x:t>
  </x:si>
  <x:si>
    <x:t>MEN-2025000348</x:t>
  </x:si>
  <x:si>
    <x:t/>
  </x:si>
  <x:si>
    <x:t>Finlandia</x:t>
  </x:si>
  <x:si>
    <x:t>25/12/2025</x:t>
  </x:si>
  <x:si>
    <x:t>2025179340</x:t>
  </x:si>
  <x:si>
    <x:t>JUNTA DE GOBIERNO DEL AYUNTAMIENTO DE ALCOBENDAS (MADRID)</x:t>
  </x:si>
  <x:si>
    <x:t>Gestión integral y coordinación operativa de los mercados de productores</x:t>
  </x:si>
  <x:si>
    <x:t>CM/2025/101/050</x:t>
  </x:si>
  <x:si>
    <x:t/>
  </x:si>
  <x:si>
    <x:t>DOUE - Diario Oficial de la Unión Europea (S)</x:t>
  </x:si>
  <x:si>
    <x:t>2025179556</x:t>
  </x:si>
  <x:si>
    <x:t>GRUPO EDP ESPAÑA</x:t>
  </x:si>
  <x:si>
    <x:t>Sistema de Registro de Proveedores del Grupo EDP España</x:t>
  </x:si>
  <x:si>
    <x:t>No consta</x:t>
  </x:si>
  <x:si>
    <x:t>243</x:t>
  </x:si>
  <x:si>
    <x:t>https://espana.edp.com/es</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</x:si>
</x:sst>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25000.00</x:v>
      </x:c>
      <x:c r="J2" s="11" t="s">
        <x:v>25</x:v>
      </x:c>
      <x:c r="K2" s="11" t="s">
        <x:v>26</x:v>
      </x:c>
      <x:c r="L2" s="12" t="str">
        <x:f xml:space="preserve">HYPERLINK("https://contrataciondelestado.es/wps/poc?uri=deeplink:detalle_licitacion&amp;idEvl=V7LrJ311Kl%2B7JOCXkOhcDg%3D%3D","contrataciondelestado.es/wps/poc?uri=deeplink:detalle_licitacion&amp;idEvl=V7LrJ311Kl%2B7JOCXkOhcDg%3D%3D")</x:f>
        <x:v>contrataciondelestado.es/wps/poc?uri=deeplink:detalle_licitacion&amp;idEvl=V7LrJ311Kl%2B7JOCXkOhcDg%3D%3D</x:v>
      </x:c>
      <x:c r="M2" s="11" t="s">
        <x:v>27</x:v>
      </x:c>
      <x:c r="N2" s="13" t="s">
        <x:v>28</x:v>
      </x:c>
      <x:c r="O2" s="11" t="s">
        <x:v>29</x:v>
      </x:c>
      <x:c r="P2" s="11" t="s">
        <x:v>30</x:v>
      </x:c>
      <x:c r="Q2" s="14" t="str">
        <x:f xml:space="preserve">HYPERLINK("https://www.infonalia.es/licitaciones1225/2025178990.pdf","www.infonalia.es/licitaciones1225/2025178990.pdf")</x:f>
        <x:v>www.infonalia.es/licitaciones1225/2025178990.pdf</x:v>
      </x:c>
    </x:row>
    <x:row r="3">
      <x:c r="A3" s="6" t="s">
        <x:v>17</x:v>
      </x:c>
      <x:c r="B3" s="6" t="s">
        <x:v>18</x:v>
      </x:c>
      <x:c r="C3" s="7" t="s">
        <x:v>31</x:v>
      </x:c>
      <x:c r="D3" s="8" t="s">
        <x:v>32</x:v>
      </x:c>
      <x:c r="E3" s="9" t="s">
        <x:v>21</x:v>
      </x:c>
      <x:c r="F3" s="6" t="s">
        <x:v>33</x:v>
      </x:c>
      <x:c r="G3" s="6" t="s">
        <x:v>34</x:v>
      </x:c>
      <x:c r="H3" s="6" t="s">
        <x:v>35</x:v>
      </x:c>
      <x:c r="I3" s="10" t="n">
        <x:v>58600.00</x:v>
      </x:c>
      <x:c r="J3" s="11" t="s">
        <x:v>25</x:v>
      </x:c>
      <x:c r="K3" s="11" t="s">
        <x:v>19</x:v>
      </x:c>
      <x:c r="L3" s="12" t="str">
        <x:f xml:space="preserve">HYPERLINK("https://contrataciondelestado.es/wps/poc?uri=deeplink:detalle_licitacion&amp;idEvl=3YGatU9E9XrpxJFXpLZ%2B2A%3D%3D","contrataciondelestado.es/wps/poc?uri=deeplink:detalle_licitacion&amp;idEvl=3YGatU9E9XrpxJFXpLZ%2B2A%3D%3D")</x:f>
        <x:v>contrataciondelestado.es/wps/poc?uri=deeplink:detalle_licitacion&amp;idEvl=3YGatU9E9XrpxJFXpLZ%2B2A%3D%3D</x:v>
      </x:c>
      <x:c r="M3" s="11" t="s">
        <x:v>27</x:v>
      </x:c>
      <x:c r="N3" s="13" t="s">
        <x:v>28</x:v>
      </x:c>
      <x:c r="O3" s="11" t="s">
        <x:v>36</x:v>
      </x:c>
      <x:c r="P3" s="11" t="s">
        <x:v>37</x:v>
      </x:c>
      <x:c r="Q3" s="14" t="str">
        <x:f xml:space="preserve">HYPERLINK("https://www.infonalia.es/licitaciones1225/2025178994.pdf","www.infonalia.es/licitaciones1225/2025178994.pdf")</x:f>
        <x:v>www.infonalia.es/licitaciones1225/2025178994.pdf</x:v>
      </x:c>
    </x:row>
    <x:row r="4">
      <x:c r="A4" s="6" t="s">
        <x:v>17</x:v>
      </x:c>
      <x:c r="B4" s="6" t="s">
        <x:v>18</x:v>
      </x:c>
      <x:c r="C4" s="7" t="s">
        <x:v>38</x:v>
      </x:c>
      <x:c r="D4" s="8" t="s">
        <x:v>39</x:v>
      </x:c>
      <x:c r="E4" s="9" t="s">
        <x:v>21</x:v>
      </x:c>
      <x:c r="F4" s="6" t="s">
        <x:v>40</x:v>
      </x:c>
      <x:c r="G4" s="6" t="s">
        <x:v>41</x:v>
      </x:c>
      <x:c r="H4" s="6" t="s">
        <x:v>42</x:v>
      </x:c>
      <x:c r="I4" s="10" t="n">
        <x:v>83655.00</x:v>
      </x:c>
      <x:c r="J4" s="11" t="s">
        <x:v>25</x:v>
      </x:c>
      <x:c r="K4" s="11" t="s">
        <x:v>19</x:v>
      </x:c>
      <x:c r="L4" s="12" t="str">
        <x:f xml:space="preserve">HYPERLINK("https://contrataciondelestado.es/wps/poc?uri=deeplink:detalle_licitacion&amp;idEvl=0%2FnPnZkb6Dy7JOCXkOhcDg%3D%3D","contrataciondelestado.es/wps/poc?uri=deeplink:detalle_licitacion&amp;idEvl=0%2FnPnZkb6Dy7JOCXkOhcDg%3D%3D")</x:f>
        <x:v>contrataciondelestado.es/wps/poc?uri=deeplink:detalle_licitacion&amp;idEvl=0%2FnPnZkb6Dy7JOCXkOhcDg%3D%3D</x:v>
      </x:c>
      <x:c r="M4" s="11" t="s">
        <x:v>27</x:v>
      </x:c>
      <x:c r="N4" s="13" t="s">
        <x:v>28</x:v>
      </x:c>
      <x:c r="O4" s="11" t="s">
        <x:v>43</x:v>
      </x:c>
      <x:c r="P4" s="11" t="s">
        <x:v>30</x:v>
      </x:c>
      <x:c r="Q4" s="14" t="str">
        <x:f xml:space="preserve">HYPERLINK("https://www.infonalia.es/licitaciones1225/2025179081.pdf","www.infonalia.es/licitaciones1225/2025179081.pdf")</x:f>
        <x:v>www.infonalia.es/licitaciones1225/2025179081.pdf</x:v>
      </x:c>
    </x:row>
    <x:row r="5">
      <x:c r="A5" s="6" t="s">
        <x:v>17</x:v>
      </x:c>
      <x:c r="B5" s="6" t="s">
        <x:v>18</x:v>
      </x:c>
      <x:c r="C5" s="7" t="s">
        <x:v>44</x:v>
      </x:c>
      <x:c r="D5" s="8" t="s">
        <x:v>45</x:v>
      </x:c>
      <x:c r="E5" s="9" t="s">
        <x:v>21</x:v>
      </x:c>
      <x:c r="F5" s="6" t="s">
        <x:v>46</x:v>
      </x:c>
      <x:c r="G5" s="6" t="s">
        <x:v>47</x:v>
      </x:c>
      <x:c r="H5" s="6" t="s">
        <x:v>48</x:v>
      </x:c>
      <x:c r="I5" s="10" t="n">
        <x:v>16221.82</x:v>
      </x:c>
      <x:c r="J5" s="11" t="s">
        <x:v>25</x:v>
      </x:c>
      <x:c r="K5" s="11" t="s">
        <x:v>19</x:v>
      </x:c>
      <x:c r="L5" s="12" t="str">
        <x:f xml:space="preserve">HYPERLINK("https://contrataciondelestado.es/wps/poc?uri=deeplink:detalle_licitacion&amp;idEvl=xzc%2BuohZz9k7u6%2B%2FR7DUoA%3D%3D","contrataciondelestado.es/wps/poc?uri=deeplink:detalle_licitacion&amp;idEvl=xzc%2BuohZz9k7u6%2B%2FR7DUoA%3D%3D")</x:f>
        <x:v>contrataciondelestado.es/wps/poc?uri=deeplink:detalle_licitacion&amp;idEvl=xzc%2BuohZz9k7u6%2B%2FR7DUoA%3D%3D</x:v>
      </x:c>
      <x:c r="M5" s="11" t="s">
        <x:v>27</x:v>
      </x:c>
      <x:c r="N5" s="13" t="s">
        <x:v>28</x:v>
      </x:c>
      <x:c r="O5" s="11" t="s">
        <x:v>49</x:v>
      </x:c>
      <x:c r="P5" s="11" t="s">
        <x:v>30</x:v>
      </x:c>
      <x:c r="Q5" s="14" t="str">
        <x:f xml:space="preserve">HYPERLINK("https://www.infonalia.es/licitaciones1225/2025179165.pdf","www.infonalia.es/licitaciones1225/2025179165.pdf")</x:f>
        <x:v>www.infonalia.es/licitaciones1225/2025179165.pdf</x:v>
      </x:c>
    </x:row>
    <x:row r="6">
      <x:c r="A6" s="6" t="s">
        <x:v>17</x:v>
      </x:c>
      <x:c r="B6" s="6" t="s">
        <x:v>18</x:v>
      </x:c>
      <x:c r="C6" s="7" t="s">
        <x:v>50</x:v>
      </x:c>
      <x:c r="D6" s="8" t="s">
        <x:v>51</x:v>
      </x:c>
      <x:c r="E6" s="9" t="s">
        <x:v>21</x:v>
      </x:c>
      <x:c r="F6" s="6" t="s">
        <x:v>52</x:v>
      </x:c>
      <x:c r="G6" s="6" t="s">
        <x:v>53</x:v>
      </x:c>
      <x:c r="H6" s="6" t="s">
        <x:v>54</x:v>
      </x:c>
      <x:c r="I6" s="10" t="n">
        <x:v>50000.00</x:v>
      </x:c>
      <x:c r="J6" s="11" t="s">
        <x:v>25</x:v>
      </x:c>
      <x:c r="K6" s="11" t="s">
        <x:v>19</x:v>
      </x:c>
      <x:c r="L6" s="12" t="str">
        <x:f xml:space="preserve">HYPERLINK("https://contractaciopublica.cat/ca/detall-publicacio/2be2b8fb-1ab1-447c-8eb2-1137114a0b2f/300648883","contractaciopublica.cat/ca/detall-publicacio/2be2b8fb-1ab1-447c-8eb2-1137114a0b2f/300648883")</x:f>
        <x:v>contractaciopublica.cat/ca/detall-publicacio/2be2b8fb-1ab1-447c-8eb2-1137114a0b2f/300648883</x:v>
      </x:c>
      <x:c r="M6" s="11" t="s">
        <x:v>27</x:v>
      </x:c>
      <x:c r="N6" s="13" t="s">
        <x:v>28</x:v>
      </x:c>
      <x:c r="O6" s="11" t="s">
        <x:v>55</x:v>
      </x:c>
      <x:c r="P6" s="11" t="s">
        <x:v>56</x:v>
      </x:c>
      <x:c r="Q6" s="14" t="str">
        <x:f xml:space="preserve">HYPERLINK("https://www.infonalia.es/licitaciones1225/2025179184.pdf","www.infonalia.es/licitaciones1225/2025179184.pdf")</x:f>
        <x:v>www.infonalia.es/licitaciones1225/2025179184.pdf</x:v>
      </x:c>
    </x:row>
    <x:row r="7">
      <x:c r="A7" s="6" t="s">
        <x:v>17</x:v>
      </x:c>
      <x:c r="B7" s="6" t="s">
        <x:v>18</x:v>
      </x:c>
      <x:c r="C7" s="7" t="s">
        <x:v>57</x:v>
      </x:c>
      <x:c r="D7" s="8" t="s">
        <x:v>58</x:v>
      </x:c>
      <x:c r="E7" s="9" t="s">
        <x:v>21</x:v>
      </x:c>
      <x:c r="F7" s="6" t="s">
        <x:v>59</x:v>
      </x:c>
      <x:c r="G7" s="6" t="s">
        <x:v>60</x:v>
      </x:c>
      <x:c r="H7" s="6" t="s">
        <x:v>61</x:v>
      </x:c>
      <x:c r="I7" s="10" t="n">
        <x:v>500.00</x:v>
      </x:c>
      <x:c r="J7" s="11" t="s">
        <x:v>25</x:v>
      </x:c>
      <x:c r="K7" s="11" t="s">
        <x:v>19</x:v>
      </x:c>
      <x:c r="L7" s="12" t="str">
        <x:f xml:space="preserve">HYPERLINK("https://contrataciondelestado.es/wps/poc?uri=deeplink:detalle_licitacion&amp;idEvl=vM9b%2FTVQebnkY6rls5tG9A%3D%3D","contrataciondelestado.es/wps/poc?uri=deeplink:detalle_licitacion&amp;idEvl=vM9b%2FTVQebnkY6rls5tG9A%3D%3D")</x:f>
        <x:v>contrataciondelestado.es/wps/poc?uri=deeplink:detalle_licitacion&amp;idEvl=vM9b%2FTVQebnkY6rls5tG9A%3D%3D</x:v>
      </x:c>
      <x:c r="M7" s="11" t="s">
        <x:v>27</x:v>
      </x:c>
      <x:c r="N7" s="13" t="s">
        <x:v>28</x:v>
      </x:c>
      <x:c r="O7" s="11" t="s">
        <x:v>62</x:v>
      </x:c>
      <x:c r="P7" s="11" t="s">
        <x:v>30</x:v>
      </x:c>
      <x:c r="Q7" s="14" t="str">
        <x:f xml:space="preserve">HYPERLINK("https://www.infonalia.es/licitaciones1225/2025179331.pdf","www.infonalia.es/licitaciones1225/2025179331.pdf")</x:f>
        <x:v>www.infonalia.es/licitaciones1225/2025179331.pdf</x:v>
      </x:c>
    </x:row>
    <x:row r="8">
      <x:c r="A8" s="6" t="s">
        <x:v>17</x:v>
      </x:c>
      <x:c r="B8" s="6" t="s">
        <x:v>18</x:v>
      </x:c>
      <x:c r="C8" s="7" t="s">
        <x:v>63</x:v>
      </x:c>
      <x:c r="D8" s="8" t="s">
        <x:v>64</x:v>
      </x:c>
      <x:c r="E8" s="9" t="s">
        <x:v>21</x:v>
      </x:c>
      <x:c r="F8" s="6" t="s">
        <x:v>65</x:v>
      </x:c>
      <x:c r="G8" s="6" t="s">
        <x:v>66</x:v>
      </x:c>
      <x:c r="H8" s="6" t="s">
        <x:v>67</x:v>
      </x:c>
      <x:c r="I8" s="10" t="n">
        <x:v>13980.00</x:v>
      </x:c>
      <x:c r="J8" s="11" t="s">
        <x:v>25</x:v>
      </x:c>
      <x:c r="K8" s="11" t="s">
        <x:v>19</x:v>
      </x:c>
      <x:c r="L8" s="12" t="str">
        <x:f xml:space="preserve">HYPERLINK("https://contrataciondelestado.es/wps/poc?uri=deeplink:detalle_licitacion&amp;idEvl=8TKEU8LjSXi9Hd5zqvq9cg%3D%3D","contrataciondelestado.es/wps/poc?uri=deeplink:detalle_licitacion&amp;idEvl=8TKEU8LjSXi9Hd5zqvq9cg%3D%3D")</x:f>
        <x:v>contrataciondelestado.es/wps/poc?uri=deeplink:detalle_licitacion&amp;idEvl=8TKEU8LjSXi9Hd5zqvq9cg%3D%3D</x:v>
      </x:c>
      <x:c r="M8" s="11" t="s">
        <x:v>27</x:v>
      </x:c>
      <x:c r="N8" s="13" t="s">
        <x:v>28</x:v>
      </x:c>
      <x:c r="O8" s="11" t="s">
        <x:v>68</x:v>
      </x:c>
      <x:c r="P8" s="11" t="s">
        <x:v>69</x:v>
      </x:c>
      <x:c r="Q8" s="14" t="str">
        <x:f xml:space="preserve">HYPERLINK("https://www.infonalia.es/licitaciones1225/2025179337.pdf","www.infonalia.es/licitaciones1225/2025179337.pdf")</x:f>
        <x:v>www.infonalia.es/licitaciones1225/2025179337.pdf</x:v>
      </x:c>
    </x:row>
    <x:row r="9">
      <x:c r="A9" s="6" t="s">
        <x:v>17</x:v>
      </x:c>
      <x:c r="B9" s="6" t="s">
        <x:v>18</x:v>
      </x:c>
      <x:c r="C9" s="7" t="s">
        <x:v>70</x:v>
      </x:c>
      <x:c r="D9" s="8" t="s">
        <x:v>71</x:v>
      </x:c>
      <x:c r="E9" s="9" t="s">
        <x:v>21</x:v>
      </x:c>
      <x:c r="F9" s="6" t="s">
        <x:v>72</x:v>
      </x:c>
      <x:c r="G9" s="6" t="s">
        <x:v>73</x:v>
      </x:c>
      <x:c r="H9" s="6" t="s">
        <x:v>74</x:v>
      </x:c>
      <x:c r="I9" s="10" t="n">
        <x:v>7300.00</x:v>
      </x:c>
      <x:c r="J9" s="11" t="s">
        <x:v>25</x:v>
      </x:c>
      <x:c r="K9" s="11" t="s">
        <x:v>19</x:v>
      </x:c>
      <x:c r="L9" s="12" t="str">
        <x:f xml:space="preserve">HYPERLINK("https://contrataciondelestado.es/wps/poc?uri=deeplink:detalle_licitacion&amp;idEvl=B43C7pfQuBWOUi78BmzhOQ%3D%3D","contrataciondelestado.es/wps/poc?uri=deeplink:detalle_licitacion&amp;idEvl=B43C7pfQuBWOUi78BmzhOQ%3D%3D")</x:f>
        <x:v>contrataciondelestado.es/wps/poc?uri=deeplink:detalle_licitacion&amp;idEvl=B43C7pfQuBWOUi78BmzhOQ%3D%3D</x:v>
      </x:c>
      <x:c r="M9" s="11" t="s">
        <x:v>27</x:v>
      </x:c>
      <x:c r="N9" s="13" t="s">
        <x:v>28</x:v>
      </x:c>
      <x:c r="O9" s="11" t="s">
        <x:v>75</x:v>
      </x:c>
      <x:c r="P9" s="11" t="s">
        <x:v>30</x:v>
      </x:c>
      <x:c r="Q9" s="14" t="str">
        <x:f xml:space="preserve">HYPERLINK("https://www.infonalia.es/licitaciones1225/2025179340.pdf","www.infonalia.es/licitaciones1225/2025179340.pdf")</x:f>
        <x:v>www.infonalia.es/licitaciones1225/2025179340.pdf</x:v>
      </x:c>
    </x:row>
    <x:row r="10">
      <x:c r="A10" s="6" t="s">
        <x:v>17</x:v>
      </x:c>
      <x:c r="B10" s="6" t="s">
        <x:v>76</x:v>
      </x:c>
      <x:c r="C10" s="7" t="s">
        <x:v>19</x:v>
      </x:c>
      <x:c r="D10" s="8" t="s">
        <x:v>77</x:v>
      </x:c>
      <x:c r="E10" s="9" t="s">
        <x:v>21</x:v>
      </x:c>
      <x:c r="F10" s="6" t="s">
        <x:v>78</x:v>
      </x:c>
      <x:c r="G10" s="6" t="s">
        <x:v>79</x:v>
      </x:c>
      <x:c r="H10" s="6" t="s">
        <x:v>79</x:v>
      </x:c>
      <x:c r="I10" s="10"/>
      <x:c r="J10" s="11" t="s">
        <x:v>80</x:v>
      </x:c>
      <x:c r="K10" s="11" t="s">
        <x:v>80</x:v>
      </x:c>
      <x:c r="L10" s="12" t="str">
        <x:f xml:space="preserve">HYPERLINK("https://www.achilles.com","www.achilles.com")</x:f>
        <x:v>www.achilles.com</x:v>
      </x:c>
      <x:c r="M10" s="11" t="s">
        <x:v>81</x:v>
      </x:c>
      <x:c r="N10" s="13" t="s">
        <x:v>28</x:v>
      </x:c>
      <x:c r="O10" s="11" t="s">
        <x:v>82</x:v>
      </x:c>
      <x:c r="P10" s="11" t="s">
        <x:v>37</x:v>
      </x:c>
      <x:c r="Q10" s="14" t="str">
        <x:f xml:space="preserve">HYPERLINK("https://www.infonalia.es/licitaciones1225/2025179556.pdf","www.infonalia.es/licitaciones1225/2025179556.pdf")</x:f>
        <x:v>www.infonalia.es/licitaciones1225/2025179556.pdf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