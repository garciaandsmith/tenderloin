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<x:sst xmlns:x="http://schemas.openxmlformats.org/spreadsheetml/2006/main" count="17" uniqueCount="17">
  <x:si>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</x:si>
  <x:si>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</x:si>
  <x:si>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</x:si>
  <x:si>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</x:si>
  <x:si>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</x:si>
  <x:si>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</x:si>
  <x:si>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</x:si>
  <x:si>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</x:si>
  <x:si>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</x:si>
  <x:si>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</x:si>
  <x:si>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</x:si>
  <x:si>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</x:si>
  <x:si>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</x:si>
  <x:si>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</x:si>
  <x:si>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</x:si>
  <x:si>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</x:si>
  <x:si>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</x:si>
  <x:si>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</x:si>
  <x:si>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</x:si>
  <x:si>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12/02/2026</x:t>
  </x:si>
  <x:si>
    <x:t>2026002951</x:t>
  </x:si>
  <x:si>
    <x:t>14/01/2026</x:t>
  </x:si>
  <x:si>
    <x:t>INSTITUTO BARCELONA DEPORTES. AYUNTAMIENTO DE BARCELONA.</x:t>
  </x:si>
  <x:si>
    <x:t>Diseño, organización, producción y dirección de la Gala de presentación oficial de los equipos del Grand Départ Barcelona 2026</x:t>
  </x:si>
  <x:si>
    <x:t>032_25000260</x:t>
  </x:si>
  <x:si>
    <x:t>Importe sin impuestos</x:t>
  </x:si>
  <x:si>
    <x:t/>
  </x:si>
  <x:si>
    <x:t>-----</x:t>
  </x:si>
  <x:si>
    <x:t>13/01/2026</x:t>
  </x:si>
  <x:si>
    <x:t/>
  </x:si>
  <x:si>
    <x:t>Barcelona</x:t>
  </x:si>
  <x:si>
    <x:t>28/01/2026</x:t>
  </x:si>
  <x:si>
    <x:t>2026002955</x:t>
  </x:si>
  <x:si>
    <x:t>AYUNTAMIENTO DE MADRID. DISTRITO DE SALAMANCA</x:t>
  </x:si>
  <x:si>
    <x:t>Contrato de servicios de: organización, programación y ejecución de actividades socioculturales, artísticas y lúdicas del Distrito de Salamanca para los años 2026 a 2028</x:t>
  </x:si>
  <x:si>
    <x:t>300/2025/02153</x:t>
  </x:si>
  <x:si>
    <x:t/>
  </x:si>
  <x:si>
    <x:t>Madrid</x:t>
  </x:si>
  <x:si>
    <x:t>16/01/2026</x:t>
  </x:si>
  <x:si>
    <x:t>2026003056</x:t>
  </x:si>
  <x:si>
    <x:t>INSTITUTO CATALÁN DE LAS EMPRESAS CULTURALES</x:t>
  </x:si>
  <x:si>
    <x:t>Servicio de inserción de publicidad institucional en ICAT para la difusión de la participación catalana en el festival ESNS 2026 (Eurosonic Noorderslag)</x:t>
  </x:si>
  <x:si>
    <x:t>ICEC-2026-51</x:t>
  </x:si>
  <x:si>
    <x:t/>
  </x:si>
  <x:si>
    <x:t>Catalunya</x:t>
  </x:si>
  <x:si>
    <x:t>27/01/2026</x:t>
  </x:si>
  <x:si>
    <x:t>2026003059</x:t>
  </x:si>
  <x:si>
    <x:t>CONSORCI CATALUNYA INTERNACIONAL</x:t>
  </x:si>
  <x:si>
    <x:t>Actualización de contenidos, producción, montaje y desmontaje de la exposición itinerante "Europa, nuestro espacio común"</x:t>
  </x:si>
  <x:si>
    <x:t>CONTR-2026-4</x:t>
  </x:si>
  <x:si>
    <x:t/>
  </x:si>
  <x:si>
    <x:t>02/02/2026</x:t>
  </x:si>
  <x:si>
    <x:t>2026003102</x:t>
  </x:si>
  <x:si>
    <x:t>MINISTERIO DE CULTURA. SECRETARÍA DE ESTADO DE CULTURA. DIRECCIÓN GENERAL DE PATRIMONIO CULTURAL Y BELLAS ARTES</x:t>
  </x:si>
  <x:si>
    <x:t>Servicio de producción, montaje y desmontaje de la exposición temporal "Bateas Novohispanas. Una encrucijada cultural" en el Museo de América</x:t>
  </x:si>
  <x:si>
    <x:t>MSA250128</x:t>
  </x:si>
  <x:si>
    <x:t/>
  </x:si>
  <x:si>
    <x:t>2026003161</x:t>
  </x:si>
  <x:si>
    <x:t>AGENCIA GALLEGA DE LA CALIDAD ALIMENTARIA</x:t>
  </x:si>
  <x:si>
    <x:t>AGA-2026-0002: Servicio de diseño, organización, montaje, desmontaje y atención de los puestos de la Agencia Gallega de la Calidad Alimentaria en las ferias Prowein, Alimentaria y Salón Gourmets durante lo 2026</x:t>
  </x:si>
  <x:si>
    <x:t>PcPG/2026/827174</x:t>
  </x:si>
  <x:si>
    <x:t/>
  </x:si>
  <x:si>
    <x:t>2026003166</x:t>
  </x:si>
  <x:si>
    <x:t>PRINCIPADO DE ASTURIAS. CONSEJERÍA DE CULTURA, POLÍTICA LLINGÜÍSTICA Y DEPORTE</x:t>
  </x:si>
  <x:si>
    <x:t>Servicio de coedición y comercialización de las obras ganadoras de los Premios Literarios en lengua asturiana convocados por la Consejería de Cultura, Política Llingüística y Deporte del Principado de Asturias en 2025. Lote 1: Obra Bisarma, de Marina Pangua Cuesta, ganadora del XLVI Premio Xosefa Xovellanos de Novela en lengua asturiana. Lote 2: Obra Esti amor asturfalante, de Sofía Fernández Castañón, ganadora del XXXI Premio Xuan María Acebal de Poesía en lengua asturiana. Lote 3: Obra Al verde de El Cierru, de Iris Díaz Trancho, ganadora del XXXI Premio Máximo Fuertes Acevedo de Ensayo en lengua asturiana. Lote 4: Obra Ascensoristes, S.A., de María Ángeles García Rodríguez y Xurde Fernández Fernández, ganadora del XVIII Premio María Josefa Canellada de Literatura infantil y juvenil en lengua asturiana. Lote 5: Obra Mil Venecies, de Agustín Cernuda del Río y Alejandro Castrillo Cernuda, ganadora del XVII Premio Alfonso Iglesias de Cómic en lengua asturiana. Lote 6: Obra Diariu indecente de una docente, de Claudia Gutiérrez Lueje, ganadora del V Premio Enriqueta González Rubín de Narrativa Joven. Lote 7: Obra Sobrante d¿un foriatu recortable primero de les venti cero nueve, de Milio Ureta Soto, ganadora del III Premio Pachín de Melás de Textos Teatrales.</x:t>
  </x:si>
  <x:si>
    <x:t>2025001126</x:t>
  </x:si>
  <x:si>
    <x:t/>
  </x:si>
  <x:si>
    <x:t>Asturias</x:t>
  </x:si>
  <x:si>
    <x:t>BOPBAR - Boletín Oficial de la Provincia de Barcelona</x:t>
  </x:si>
  <x:si>
    <x:t>2026003185</x:t>
  </x:si>
  <x:si>
    <x:t>AYUNTAMIENTO DE SITGES (BARCELONA)</x:t>
  </x:si>
  <x:si>
    <x:t>Permiso para la ocupación del dominio público 
por la celebración de un evento de Patchwork.</x:t>
  </x:si>
  <x:si>
    <x:t>No consta</x:t>
  </x:si>
  <x:si>
    <x:t/>
  </x:si>
  <x:si>
    <x:t/>
  </x:si>
  <x:si>
    <x:t>18/01/2026</x:t>
  </x:si>
  <x:si>
    <x:t>2026003247</x:t>
  </x:si>
  <x:si>
    <x:t>JUNTA DE GOBIERNO DEL AYUNTAMIENTO DE MÓSTOLES (MADRID)</x:t>
  </x:si>
  <x:si>
    <x:t>El presente contrato tiene por objeto la planificación, organización y ejecución del evento "CONFETI FEST", que se llevará a cabo el día 15 de febrero de 2026 en Móstoles</x:t>
  </x:si>
  <x:si>
    <x:t>C073/FEST/2026-005</x:t>
  </x:si>
  <x:si>
    <x:t/>
  </x:si>
  <x:si>
    <x:t>2026003251</x:t>
  </x:si>
  <x:si>
    <x:t>Contrato para la organización del Baile Familiar de Carnaval y Concurso de Disfraces en las Fiestas de Carnaval 2026 Ayuntamiento de Móstoles</x:t>
  </x:si>
  <x:si>
    <x:t>C073/FEST/2026-004</x:t>
  </x:si>
  <x:si>
    <x:t/>
  </x:si>
  <x:si>
    <x:t>2026003269</x:t>
  </x:si>
  <x:si>
    <x:t>AYUNTAMIENTO DE MADRID. ÁREA DE GOBIERNO DE CULTURA, TURISMO Y DEPORTE</x:t>
  </x:si>
  <x:si>
    <x:t>Contrato menor de servicios de creación, edición e impresión de libro ilustrado para la difusión de la Semana Santa de Madrid</x:t>
  </x:si>
  <x:si>
    <x:t>300/2026/00036</x:t>
  </x:si>
  <x:si>
    <x:t/>
  </x:si>
  <x:si>
    <x:t>19/01/2026</x:t>
  </x:si>
  <x:si>
    <x:t>2026003270</x:t>
  </x:si>
  <x:si>
    <x:t>JUNTA DE GOBIERNO DEL AYUNTAMIENTO DE ALCORCÓN (MADRID)</x:t>
  </x:si>
  <x:si>
    <x:t>Servicios de difusión y comunicación del proceso de presupuestos participativos</x:t>
  </x:si>
  <x:si>
    <x:t>2025/02.07.01.01/358</x:t>
  </x:si>
  <x:si>
    <x:t/>
  </x:si>
  <x:si>
    <x:t>21/01/2026</x:t>
  </x:si>
  <x:si>
    <x:t>2026003271</x:t>
  </x:si>
  <x:si>
    <x:t>DIRECCIÓN DE COMPRAS DE LA CORPORACIÓN DE RADIO Y TELEVISIÓN ESPAÑOLA S.A</x:t>
  </x:si>
  <x:si>
    <x:t>Sistema de sincronismo y distribución para Estudios de RNE</x:t>
  </x:si>
  <x:si>
    <x:t>S-06136-2025</x:t>
  </x:si>
  <x:si>
    <x:t/>
  </x:si>
  <x:si>
    <x:t>Madrid </x:t>
  </x:si>
  <x:si>
    <x:t>2026003321</x:t>
  </x:si>
  <x:si>
    <x:t>MINISTERIO DE DERECHOS SOCIALES, CONSUMO Y AGENDA 2030. DIRECCIÓN GENERAL DEL INSTITUTO DE MAYORES Y SERVICIOS SOCIALES</x:t>
  </x:si>
  <x:si>
    <x:t>Servicios de soporte para la gestión de redes, comunicaciones y seguridad para el Instituto de Mayores y Servicios Sociales (IMSERSO)</x:t>
  </x:si>
  <x:si>
    <x:t>833/2025</x:t>
  </x:si>
  <x:si>
    <x:t/>
  </x:si>
  <x:si>
    <x:t>16/02/2026</x:t>
  </x:si>
  <x:si>
    <x:t>2026003326</x:t>
  </x:si>
  <x:si>
    <x:t>MINISTERIO DE DEFENSA. CONSEJERO DELEGADO DE INGENIERÍA DE SISTEMAS PARA LA DEFENSA DE ESPAÑA S.A., S.M.E. Y M.P.</x:t>
  </x:si>
  <x:si>
    <x:t>Servicios de consultoría tecnológica de inteligencia de negocio en el ámbito del seguimiento del Plan Industrial y Tecnológico de Seguridad y Defensa (PITSD)</x:t>
  </x:si>
  <x:si>
    <x:t>2025-01968</x:t>
  </x:si>
  <x:si>
    <x:t/>
  </x:si>
  <x:si>
    <x:t>17/02/2026</x:t>
  </x:si>
  <x:si>
    <x:t>2026003333</x:t>
  </x:si>
  <x:si>
    <x:t>MADRID DESTINO CULTURA TURISMO Y NEGOCIO, S.A.</x:t>
  </x:si>
  <x:si>
    <x:t>Contratación de la prestación de los servicios de coordinación y trabajo de comunicación, atención a medios y redes sociales de campañas culturales (Lotes 1, 2, 3, 4 y 5) que son encomendadas a Madrid Destino. Lote 1: Navidad y Cabalgata de Reyes, San Isidro y Carnaval. Lote 2: Veranos de la Villa y Refúgiate en la Cultura, Semana Santa y Año Nuevo Chino. Lote 3: Festival Internacional JAZZMADRID. Lote 4: Bienal Flamenco Madrid. Lote 5: Campañas culturales nuevas: medio mes y mes entero.</x:t>
  </x:si>
  <x:si>
    <x:t>SP25-00656/00657/00658/00659/00660</x:t>
  </x:si>
  <x:si>
    <x:t/>
  </x:si>
  <x:si>
    <x:t>30/01/2026</x:t>
  </x:si>
  <x:si>
    <x:t>2026003448</x:t>
  </x:si>
  <x:si>
    <x:t>MINISTERIO DEL INTERIOR. JEFATURA DE ASUNTOS ECONÓMICOS DE LA GUARDIA CIVIL</x:t>
  </x:si>
  <x:si>
    <x:t>Contratación del servicio de impresión, empaquetado, transporte y entrega de credenciales de condecoraciones, diplomas de reconocimiento a personal retirado, Reales Despachos y Títulos de Empleo (CDRDTE), emitidos periódicamente, tanto de carácter ordinario como honorifico, por la Guardia Civil</x:t>
  </x:si>
  <x:si>
    <x:t>A/0081/X/25/2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</x:si>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</x:sst>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490773.21</x:v>
      </x:c>
      <x:c r="J2" s="11" t="s">
        <x:v>25</x:v>
      </x:c>
      <x:c r="K2" s="11" t="s">
        <x:v>26</x:v>
      </x:c>
      <x:c r="L2" s="12" t="str">
        <x:f xml:space="preserve">HYPERLINK("https://contractaciopublica.cat/ca/detall-publicacio/3e6753c8-7027-4f1e-a40d-fd0161f2f369/300659367","contractaciopublica.cat/ca/detall-publicacio/3e6753c8-7027-4f1e-a40d-fd0161f2f369/300659367")</x:f>
        <x:v>contractaciopublica.cat/ca/detall-publicacio/3e6753c8-7027-4f1e-a40d-fd0161f2f369/300659367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HYPERLINK("https://www.infonalia.es/licitaciones0126/2026002951.pdf","www.infonalia.es/licitaciones0126/2026002951.pdf")</x:f>
        <x:v>www.infonalia.es/licitaciones0126/2026002951.pdf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194560.36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HYPERLINK("https://contrataciondelestado.es/wps/poc?uri=deeplink:detalle_licitacion&amp;idEvl=jTizJx%2FTxZDIGlsa0Wad%2Bw%3D%3D","contrataciondelestado.es/wps/poc?uri=deeplink:detalle_licitacion&amp;idEvl=jTizJx%2FTxZDIGlsa0Wad%2Bw%3D%3D")</x:f>
        <x:v>contrataciondelestado.es/wps/poc?uri=deeplink:detalle_licitacion&amp;idEvl=jTizJx%2FTxZDIGlsa0Wad%2Bw%3D%3D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HYPERLINK("https://www.infonalia.es/licitaciones0126/2026002955.pdf","www.infonalia.es/licitaciones0126/2026002955.pdf")</x:f>
        <x:v>www.infonalia.es/licitaciones0126/2026002955.pdf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991.74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HYPERLINK("https://contractaciopublica.cat/ca/detall-publicacio/4f952dea-9782-4edf-9a0b-a17d90fc73a1/300664590","contractaciopublica.cat/ca/detall-publicacio/4f952dea-9782-4edf-9a0b-a17d90fc73a1/300664590")</x:f>
        <x:v>contractaciopublica.cat/ca/detall-publicacio/4f952dea-9782-4edf-9a0b-a17d90fc73a1/300664590</x:v>
      </x:c>
      <x:c r="M4" s="11" t="s">
        <x:v>27</x:v>
      </x:c>
      <x:c r="N4" s="13" t="s">
        <x:v>28</x:v>
      </x:c>
      <x:c r="O4" s="11" t="s">
        <x:v>43</x:v>
      </x:c>
      <x:c r="P4" s="11" t="s">
        <x:v>44</x:v>
      </x:c>
      <x:c r="Q4" s="14" t="str">
        <x:f xml:space="preserve">HYPERLINK("https://www.infonalia.es/licitaciones0126/2026003056.pdf","www.infonalia.es/licitaciones0126/2026003056.pdf")</x:f>
        <x:v>www.infonalia.es/licitaciones0126/2026003056.pdf</x:v>
      </x:c>
    </x:row>
    <x:row r="5">
      <x:c r="A5" s="6" t="s">
        <x:v>17</x:v>
      </x:c>
      <x:c r="B5" s="6" t="s">
        <x:v>18</x:v>
      </x:c>
      <x:c r="C5" s="7" t="s">
        <x:v>45</x:v>
      </x:c>
      <x:c r="D5" s="8" t="s">
        <x:v>46</x:v>
      </x:c>
      <x:c r="E5" s="9" t="s">
        <x:v>21</x:v>
      </x:c>
      <x:c r="F5" s="6" t="s">
        <x:v>47</x:v>
      </x:c>
      <x:c r="G5" s="6" t="s">
        <x:v>48</x:v>
      </x:c>
      <x:c r="H5" s="6" t="s">
        <x:v>49</x:v>
      </x:c>
      <x:c r="I5" s="10" t="n">
        <x:v>33057.85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HYPERLINK("https://contractaciopublica.cat/ca/detall-publicacio/469d5e94-bef6-42e3-bef3-e2ad9a23ef47/300663601","contractaciopublica.cat/ca/detall-publicacio/469d5e94-bef6-42e3-bef3-e2ad9a23ef47/300663601")</x:f>
        <x:v>contractaciopublica.cat/ca/detall-publicacio/469d5e94-bef6-42e3-bef3-e2ad9a23ef47/300663601</x:v>
      </x:c>
      <x:c r="M5" s="11" t="s">
        <x:v>27</x:v>
      </x:c>
      <x:c r="N5" s="13" t="s">
        <x:v>28</x:v>
      </x:c>
      <x:c r="O5" s="11" t="s">
        <x:v>50</x:v>
      </x:c>
      <x:c r="P5" s="11" t="s">
        <x:v>44</x:v>
      </x:c>
      <x:c r="Q5" s="14" t="str">
        <x:f xml:space="preserve">HYPERLINK("https://www.infonalia.es/licitaciones0126/2026003059.pdf","www.infonalia.es/licitaciones0126/2026003059.pdf")</x:f>
        <x:v>www.infonalia.es/licitaciones0126/2026003059.pdf</x:v>
      </x:c>
    </x:row>
    <x:row r="6">
      <x:c r="A6" s="6" t="s">
        <x:v>17</x:v>
      </x:c>
      <x:c r="B6" s="6" t="s">
        <x:v>18</x:v>
      </x:c>
      <x:c r="C6" s="7" t="s">
        <x:v>51</x:v>
      </x:c>
      <x:c r="D6" s="8" t="s">
        <x:v>52</x:v>
      </x:c>
      <x:c r="E6" s="9" t="s">
        <x:v>21</x:v>
      </x:c>
      <x:c r="F6" s="6" t="s">
        <x:v>53</x:v>
      </x:c>
      <x:c r="G6" s="6" t="s">
        <x:v>54</x:v>
      </x:c>
      <x:c r="H6" s="6" t="s">
        <x:v>55</x:v>
      </x:c>
      <x:c r="I6" s="10" t="n">
        <x:v>59269.56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HYPERLINK("https://contrataciondelestado.es/wps/poc?uri=deeplink:detalle_licitacion&amp;idEvl=YsAx7qNdoxdq1DdmE7eaXg%3D%3D","contrataciondelestado.es/wps/poc?uri=deeplink:detalle_licitacion&amp;idEvl=YsAx7qNdoxdq1DdmE7eaXg%3D%3D")</x:f>
        <x:v>contrataciondelestado.es/wps/poc?uri=deeplink:detalle_licitacion&amp;idEvl=YsAx7qNdoxdq1DdmE7eaXg%3D%3D</x:v>
      </x:c>
      <x:c r="M6" s="11" t="s">
        <x:v>27</x:v>
      </x:c>
      <x:c r="N6" s="13" t="s">
        <x:v>28</x:v>
      </x:c>
      <x:c r="O6" s="11" t="s">
        <x:v>56</x:v>
      </x:c>
      <x:c r="P6" s="11" t="s">
        <x:v>37</x:v>
      </x:c>
      <x:c r="Q6" s="14" t="str">
        <x:f xml:space="preserve">HYPERLINK("https://www.infonalia.es/licitaciones0126/2026003102.pdf","www.infonalia.es/licitaciones0126/2026003102.pdf")</x:f>
        <x:v>www.infonalia.es/licitaciones0126/2026003102.pdf</x:v>
      </x:c>
    </x:row>
    <x:row r="7">
      <x:c r="A7" s="6" t="s">
        <x:v>17</x:v>
      </x:c>
      <x:c r="B7" s="6" t="s">
        <x:v>18</x:v>
      </x:c>
      <x:c r="C7" s="7" t="s">
        <x:v>31</x:v>
      </x:c>
      <x:c r="D7" s="8" t="s">
        <x:v>57</x:v>
      </x:c>
      <x:c r="E7" s="9" t="s">
        <x:v>21</x:v>
      </x:c>
      <x:c r="F7" s="6" t="s">
        <x:v>58</x:v>
      </x:c>
      <x:c r="G7" s="6" t="s">
        <x:v>59</x:v>
      </x:c>
      <x:c r="H7" s="6" t="s">
        <x:v>60</x:v>
      </x:c>
      <x:c r="I7" s="10" t="n">
        <x:v>890772.95</x:v>
      </x:c>
      <x:c r="J7" s="11" t="s">
        <x:v>25</x:v>
      </x:c>
      <x:c r="K7" s="11" t="s">
        <x:v>26</x:v>
      </x:c>
      <x:c r="L7" s="12" t="str">
        <x:f xml:space="preserve">HYPERLINK("https://www.contratosdegalicia.gal/licitacion?N=827174","www.contratosdegalicia.gal/licitacion?N=827174")</x:f>
        <x:v>www.contratosdegalicia.gal/licitacion?N=827174</x:v>
      </x:c>
      <x:c r="M7" s="11" t="s">
        <x:v>27</x:v>
      </x:c>
      <x:c r="N7" s="13" t="s">
        <x:v>28</x:v>
      </x:c>
      <x:c r="O7" s="11" t="s">
        <x:v>61</x:v>
      </x:c>
      <x:c r="P7" s="11" t="s">
        <x:v>37</x:v>
      </x:c>
      <x:c r="Q7" s="14" t="str">
        <x:f xml:space="preserve">HYPERLINK("https://www.infonalia.es/licitaciones0126/2026003161.pdf","www.infonalia.es/licitaciones0126/2026003161.pdf")</x:f>
        <x:v>www.infonalia.es/licitaciones0126/2026003161.pdf</x:v>
      </x:c>
    </x:row>
    <x:row r="8">
      <x:c r="A8" s="6" t="s">
        <x:v>17</x:v>
      </x:c>
      <x:c r="B8" s="6" t="s">
        <x:v>18</x:v>
      </x:c>
      <x:c r="C8" s="7" t="s">
        <x:v>31</x:v>
      </x:c>
      <x:c r="D8" s="8" t="s">
        <x:v>62</x:v>
      </x:c>
      <x:c r="E8" s="9" t="s">
        <x:v>21</x:v>
      </x:c>
      <x:c r="F8" s="6" t="s">
        <x:v>63</x:v>
      </x:c>
      <x:c r="G8" s="6" t="s">
        <x:v>64</x:v>
      </x:c>
      <x:c r="H8" s="6" t="s">
        <x:v>65</x:v>
      </x:c>
      <x:c r="I8" s="10" t="n">
        <x:v>30750.02</x:v>
      </x:c>
      <x:c r="J8" s="11" t="s">
        <x:v>25</x:v>
      </x:c>
      <x:c r="K8" s="11" t="s">
        <x:v>26</x:v>
      </x:c>
      <x:c r="L8" s="12" t="str">
        <x:f xml:space="preserve">HYPERLINK("https://contrataciondelestado.es/wps/poc?uri=deeplink:detalle_licitacion&amp;idEvl=lWXIcGplYquKeVWTb9Scog%3D%3D","contrataciondelestado.es/wps/poc?uri=deeplink:detalle_licitacion&amp;idEvl=lWXIcGplYquKeVWTb9Scog%3D%3D")</x:f>
        <x:v>contrataciondelestado.es/wps/poc?uri=deeplink:detalle_licitacion&amp;idEvl=lWXIcGplYquKeVWTb9Scog%3D%3D</x:v>
      </x:c>
      <x:c r="M8" s="11" t="s">
        <x:v>27</x:v>
      </x:c>
      <x:c r="N8" s="13" t="s">
        <x:v>28</x:v>
      </x:c>
      <x:c r="O8" s="11" t="s">
        <x:v>66</x:v>
      </x:c>
      <x:c r="P8" s="11" t="s">
        <x:v>67</x:v>
      </x:c>
      <x:c r="Q8" s="14" t="str">
        <x:f xml:space="preserve">HYPERLINK("https://www.infonalia.es/licitaciones0126/2026003166.pdf","www.infonalia.es/licitaciones0126/2026003166.pdf")</x:f>
        <x:v>www.infonalia.es/licitaciones0126/2026003166.pdf</x:v>
      </x:c>
    </x:row>
    <x:row r="9">
      <x:c r="A9" s="6" t="s">
        <x:v>17</x:v>
      </x:c>
      <x:c r="B9" s="6" t="s">
        <x:v>68</x:v>
      </x:c>
      <x:c r="C9" s="7" t="s">
        <x:v>31</x:v>
      </x:c>
      <x:c r="D9" s="8" t="s">
        <x:v>69</x:v>
      </x:c>
      <x:c r="E9" s="9" t="s">
        <x:v>21</x:v>
      </x:c>
      <x:c r="F9" s="6" t="s">
        <x:v>70</x:v>
      </x:c>
      <x:c r="G9" s="6" t="s">
        <x:v>71</x:v>
      </x:c>
      <x:c r="H9" s="6" t="s">
        <x:v>72</x:v>
      </x:c>
      <x:c r="I9" s="10"/>
      <x:c r="J9" s="11" t="s">
        <x:v>72</x:v>
      </x:c>
      <x:c r="K9" s="11" t="s">
        <x:v>73</x:v>
      </x:c>
      <x:c r="L9" s="12" t="str">
        <x:f xml:space="preserve">HYPERLINK("https://","")</x:f>
        <x:v/>
      </x:c>
      <x:c r="M9" s="11" t="s">
        <x:v>27</x:v>
      </x:c>
      <x:c r="N9" s="13" t="s">
        <x:v>21</x:v>
      </x:c>
      <x:c r="O9" s="11" t="s">
        <x:v>74</x:v>
      </x:c>
      <x:c r="P9" s="11" t="s">
        <x:v>30</x:v>
      </x:c>
      <x:c r="Q9" s="14" t="str">
        <x:f xml:space="preserve">HYPERLINK("https://www.infonalia.es/licitaciones0126/2026003185.pdf","www.infonalia.es/licitaciones0126/2026003185.pdf")</x:f>
        <x:v>www.infonalia.es/licitaciones0126/2026003185.pdf</x:v>
      </x:c>
    </x:row>
    <x:row r="10">
      <x:c r="A10" s="6" t="s">
        <x:v>17</x:v>
      </x:c>
      <x:c r="B10" s="6" t="s">
        <x:v>18</x:v>
      </x:c>
      <x:c r="C10" s="7" t="s">
        <x:v>75</x:v>
      </x:c>
      <x:c r="D10" s="8" t="s">
        <x:v>76</x:v>
      </x:c>
      <x:c r="E10" s="9" t="s">
        <x:v>21</x:v>
      </x:c>
      <x:c r="F10" s="6" t="s">
        <x:v>77</x:v>
      </x:c>
      <x:c r="G10" s="6" t="s">
        <x:v>78</x:v>
      </x:c>
      <x:c r="H10" s="6" t="s">
        <x:v>79</x:v>
      </x:c>
      <x:c r="I10" s="10" t="n">
        <x:v>14999.00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HYPERLINK("https://contrataciondelestado.es/wps/poc?uri=deeplink:detalle_licitacion&amp;idEvl=XGTiX61PSbDIGlsa0Wad%2Bw%3D%3D","contrataciondelestado.es/wps/poc?uri=deeplink:detalle_licitacion&amp;idEvl=XGTiX61PSbDIGlsa0Wad%2Bw%3D%3D")</x:f>
        <x:v>contrataciondelestado.es/wps/poc?uri=deeplink:detalle_licitacion&amp;idEvl=XGTiX61PSbDIGlsa0Wad%2Bw%3D%3D</x:v>
      </x:c>
      <x:c r="M10" s="11" t="s">
        <x:v>27</x:v>
      </x:c>
      <x:c r="N10" s="13" t="s">
        <x:v>28</x:v>
      </x:c>
      <x:c r="O10" s="11" t="s">
        <x:v>80</x:v>
      </x:c>
      <x:c r="P10" s="11" t="s">
        <x:v>37</x:v>
      </x:c>
      <x:c r="Q10" s="14" t="str">
        <x:f xml:space="preserve">HYPERLINK("https://www.infonalia.es/licitaciones0126/2026003247.pdf","www.infonalia.es/licitaciones0126/2026003247.pdf")</x:f>
        <x:v>www.infonalia.es/licitaciones0126/2026003247.pdf</x:v>
      </x:c>
    </x:row>
    <x:row r="11">
      <x:c r="A11" s="6" t="s">
        <x:v>17</x:v>
      </x:c>
      <x:c r="B11" s="6" t="s">
        <x:v>18</x:v>
      </x:c>
      <x:c r="C11" s="7" t="s">
        <x:v>75</x:v>
      </x:c>
      <x:c r="D11" s="8" t="s">
        <x:v>81</x:v>
      </x:c>
      <x:c r="E11" s="9" t="s">
        <x:v>21</x:v>
      </x:c>
      <x:c r="F11" s="6" t="s">
        <x:v>77</x:v>
      </x:c>
      <x:c r="G11" s="6" t="s">
        <x:v>82</x:v>
      </x:c>
      <x:c r="H11" s="6" t="s">
        <x:v>83</x:v>
      </x:c>
      <x:c r="I11" s="10" t="n">
        <x:v>14999.00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HYPERLINK("https://contrataciondelestado.es/wps/poc?uri=deeplink:detalle_licitacion&amp;idEvl=Gt3nLBdB4j1t5r0ngvMetA%3D%3D","contrataciondelestado.es/wps/poc?uri=deeplink:detalle_licitacion&amp;idEvl=Gt3nLBdB4j1t5r0ngvMetA%3D%3D")</x:f>
        <x:v>contrataciondelestado.es/wps/poc?uri=deeplink:detalle_licitacion&amp;idEvl=Gt3nLBdB4j1t5r0ngvMetA%3D%3D</x:v>
      </x:c>
      <x:c r="M11" s="11" t="s">
        <x:v>27</x:v>
      </x:c>
      <x:c r="N11" s="13" t="s">
        <x:v>28</x:v>
      </x:c>
      <x:c r="O11" s="11" t="s">
        <x:v>84</x:v>
      </x:c>
      <x:c r="P11" s="11" t="s">
        <x:v>37</x:v>
      </x:c>
      <x:c r="Q11" s="14" t="str">
        <x:f xml:space="preserve">HYPERLINK("https://www.infonalia.es/licitaciones0126/2026003251.pdf","www.infonalia.es/licitaciones0126/2026003251.pdf")</x:f>
        <x:v>www.infonalia.es/licitaciones0126/2026003251.pdf</x:v>
      </x:c>
    </x:row>
    <x:row r="12">
      <x:c r="A12" s="6" t="s">
        <x:v>17</x:v>
      </x:c>
      <x:c r="B12" s="6" t="s">
        <x:v>18</x:v>
      </x:c>
      <x:c r="C12" s="7" t="s">
        <x:v>21</x:v>
      </x:c>
      <x:c r="D12" s="8" t="s">
        <x:v>85</x:v>
      </x:c>
      <x:c r="E12" s="9" t="s">
        <x:v>21</x:v>
      </x:c>
      <x:c r="F12" s="6" t="s">
        <x:v>86</x:v>
      </x:c>
      <x:c r="G12" s="6" t="s">
        <x:v>87</x:v>
      </x:c>
      <x:c r="H12" s="6" t="s">
        <x:v>88</x:v>
      </x:c>
      <x:c r="I12" s="10" t="n">
        <x:v>11500.00</x:v>
      </x:c>
      <x:c r="J12" s="11" t="s">
        <x:v>25</x:v>
      </x:c>
      <x:c r="K12" s="11" t="s">
        <x:v>26</x:v>
      </x:c>
      <x:c r="L12" s="12" t="str">
        <x:f xml:space="preserve">HYPERLINK("https://contrataciondelestado.es/wps/poc?uri=deeplink:detalle_licitacion&amp;idEvl=NpyB%2BhYfb2w2wEhQbcAqug%3D%3D","contrataciondelestado.es/wps/poc?uri=deeplink:detalle_licitacion&amp;idEvl=NpyB%2BhYfb2w2wEhQbcAqug%3D%3D")</x:f>
        <x:v>contrataciondelestado.es/wps/poc?uri=deeplink:detalle_licitacion&amp;idEvl=NpyB%2BhYfb2w2wEhQbcAqug%3D%3D</x:v>
      </x:c>
      <x:c r="M12" s="11" t="s">
        <x:v>27</x:v>
      </x:c>
      <x:c r="N12" s="13" t="s">
        <x:v>28</x:v>
      </x:c>
      <x:c r="O12" s="11" t="s">
        <x:v>89</x:v>
      </x:c>
      <x:c r="P12" s="11" t="s">
        <x:v>37</x:v>
      </x:c>
      <x:c r="Q12" s="14" t="str">
        <x:f xml:space="preserve">HYPERLINK("https://www.infonalia.es/licitaciones0126/2026003269.pdf","www.infonalia.es/licitaciones0126/2026003269.pdf")</x:f>
        <x:v>www.infonalia.es/licitaciones0126/2026003269.pdf</x:v>
      </x:c>
    </x:row>
    <x:row r="13">
      <x:c r="A13" s="6" t="s">
        <x:v>17</x:v>
      </x:c>
      <x:c r="B13" s="6" t="s">
        <x:v>18</x:v>
      </x:c>
      <x:c r="C13" s="7" t="s">
        <x:v>90</x:v>
      </x:c>
      <x:c r="D13" s="8" t="s">
        <x:v>91</x:v>
      </x:c>
      <x:c r="E13" s="9" t="s">
        <x:v>21</x:v>
      </x:c>
      <x:c r="F13" s="6" t="s">
        <x:v>92</x:v>
      </x:c>
      <x:c r="G13" s="6" t="s">
        <x:v>93</x:v>
      </x:c>
      <x:c r="H13" s="6" t="s">
        <x:v>94</x:v>
      </x:c>
      <x:c r="I13" s="10" t="n">
        <x:v>14000.00</x:v>
      </x:c>
      <x:c r="J13" s="11" t="s">
        <x:v>25</x:v>
      </x:c>
      <x:c r="K13" s="11" t="s">
        <x:v>26</x:v>
      </x:c>
      <x:c r="L13" s="12" t="str">
        <x:f xml:space="preserve">HYPERLINK("https://contrataciondelestado.es/wps/poc?uri=deeplink:detalle_licitacion&amp;idEvl=kSDvlN5lb1w7u6%2B%2FR7DUoA%3D%3D","contrataciondelestado.es/wps/poc?uri=deeplink:detalle_licitacion&amp;idEvl=kSDvlN5lb1w7u6%2B%2FR7DUoA%3D%3D")</x:f>
        <x:v>contrataciondelestado.es/wps/poc?uri=deeplink:detalle_licitacion&amp;idEvl=kSDvlN5lb1w7u6%2B%2FR7DUoA%3D%3D</x:v>
      </x:c>
      <x:c r="M13" s="11" t="s">
        <x:v>27</x:v>
      </x:c>
      <x:c r="N13" s="13" t="s">
        <x:v>28</x:v>
      </x:c>
      <x:c r="O13" s="11" t="s">
        <x:v>95</x:v>
      </x:c>
      <x:c r="P13" s="11" t="s">
        <x:v>37</x:v>
      </x:c>
      <x:c r="Q13" s="14" t="str">
        <x:f xml:space="preserve">HYPERLINK("https://www.infonalia.es/licitaciones0126/2026003270.pdf","www.infonalia.es/licitaciones0126/2026003270.pdf")</x:f>
        <x:v>www.infonalia.es/licitaciones0126/2026003270.pdf</x:v>
      </x:c>
    </x:row>
    <x:row r="14">
      <x:c r="A14" s="6" t="s">
        <x:v>17</x:v>
      </x:c>
      <x:c r="B14" s="6" t="s">
        <x:v>18</x:v>
      </x:c>
      <x:c r="C14" s="7" t="s">
        <x:v>96</x:v>
      </x:c>
      <x:c r="D14" s="8" t="s">
        <x:v>97</x:v>
      </x:c>
      <x:c r="E14" s="9" t="s">
        <x:v>21</x:v>
      </x:c>
      <x:c r="F14" s="6" t="s">
        <x:v>98</x:v>
      </x:c>
      <x:c r="G14" s="6" t="s">
        <x:v>99</x:v>
      </x:c>
      <x:c r="H14" s="6" t="s">
        <x:v>100</x:v>
      </x:c>
      <x:c r="I14" s="10" t="n">
        <x:v>10500.00</x:v>
      </x:c>
      <x:c r="J14" s="11" t="s">
        <x:v>25</x:v>
      </x:c>
      <x:c r="K14" s="11" t="s">
        <x:v>26</x:v>
      </x:c>
      <x:c r="L14" s="12" t="str">
        <x:f xml:space="preserve">HYPERLINK("https://contrataciondelestado.es/wps/poc?uri=deeplink:detalle_licitacion&amp;idEvl=%2FQvM9nnhSkiFQ%2FlhRK79lA%3D%3D","contrataciondelestado.es/wps/poc?uri=deeplink:detalle_licitacion&amp;idEvl=%2FQvM9nnhSkiFQ%2FlhRK79lA%3D%3D")</x:f>
        <x:v>contrataciondelestado.es/wps/poc?uri=deeplink:detalle_licitacion&amp;idEvl=%2FQvM9nnhSkiFQ%2FlhRK79lA%3D%3D</x:v>
      </x:c>
      <x:c r="M14" s="11" t="s">
        <x:v>27</x:v>
      </x:c>
      <x:c r="N14" s="13" t="s">
        <x:v>28</x:v>
      </x:c>
      <x:c r="O14" s="11" t="s">
        <x:v>101</x:v>
      </x:c>
      <x:c r="P14" s="11" t="s">
        <x:v>102</x:v>
      </x:c>
      <x:c r="Q14" s="14" t="str">
        <x:f xml:space="preserve">HYPERLINK("https://www.infonalia.es/licitaciones0126/2026003271.pdf","www.infonalia.es/licitaciones0126/2026003271.pdf")</x:f>
        <x:v>www.infonalia.es/licitaciones0126/2026003271.pdf</x:v>
      </x:c>
    </x:row>
    <x:row r="15">
      <x:c r="A15" s="6" t="s">
        <x:v>17</x:v>
      </x:c>
      <x:c r="B15" s="6" t="s">
        <x:v>18</x:v>
      </x:c>
      <x:c r="C15" s="7" t="s">
        <x:v>31</x:v>
      </x:c>
      <x:c r="D15" s="8" t="s">
        <x:v>103</x:v>
      </x:c>
      <x:c r="E15" s="9" t="s">
        <x:v>21</x:v>
      </x:c>
      <x:c r="F15" s="6" t="s">
        <x:v>104</x:v>
      </x:c>
      <x:c r="G15" s="6" t="s">
        <x:v>105</x:v>
      </x:c>
      <x:c r="H15" s="6" t="s">
        <x:v>106</x:v>
      </x:c>
      <x:c r="I15" s="10" t="n">
        <x:v>808588.65</x:v>
      </x:c>
      <x:c r="J15" s="11" t="s">
        <x:v>25</x:v>
      </x:c>
      <x:c r="K15" s="11" t="s">
        <x:v>26</x:v>
      </x:c>
      <x:c r="L15" s="12" t="str">
        <x:f xml:space="preserve">HYPERLINK("https://contrataciondelestado.es/wps/poc?uri=deeplink:detalle_licitacion&amp;idEvl=KRsU6i9mLa2Izo3LHNPGcQ%3D%3D","contrataciondelestado.es/wps/poc?uri=deeplink:detalle_licitacion&amp;idEvl=KRsU6i9mLa2Izo3LHNPGcQ%3D%3D")</x:f>
        <x:v>contrataciondelestado.es/wps/poc?uri=deeplink:detalle_licitacion&amp;idEvl=KRsU6i9mLa2Izo3LHNPGcQ%3D%3D</x:v>
      </x:c>
      <x:c r="M15" s="11" t="s">
        <x:v>27</x:v>
      </x:c>
      <x:c r="N15" s="13" t="s">
        <x:v>21</x:v>
      </x:c>
      <x:c r="O15" s="11" t="s">
        <x:v>107</x:v>
      </x:c>
      <x:c r="P15" s="11" t="s">
        <x:v>37</x:v>
      </x:c>
      <x:c r="Q15" s="14" t="str">
        <x:f xml:space="preserve">HYPERLINK("https://www.infonalia.es/licitaciones0126/2026003321.pdf","www.infonalia.es/licitaciones0126/2026003321.pdf")</x:f>
        <x:v>www.infonalia.es/licitaciones0126/2026003321.pdf</x:v>
      </x:c>
    </x:row>
    <x:row r="16">
      <x:c r="A16" s="6" t="s">
        <x:v>17</x:v>
      </x:c>
      <x:c r="B16" s="6" t="s">
        <x:v>18</x:v>
      </x:c>
      <x:c r="C16" s="7" t="s">
        <x:v>108</x:v>
      </x:c>
      <x:c r="D16" s="8" t="s">
        <x:v>109</x:v>
      </x:c>
      <x:c r="E16" s="9" t="s">
        <x:v>21</x:v>
      </x:c>
      <x:c r="F16" s="6" t="s">
        <x:v>110</x:v>
      </x:c>
      <x:c r="G16" s="6" t="s">
        <x:v>111</x:v>
      </x:c>
      <x:c r="H16" s="6" t="s">
        <x:v>112</x:v>
      </x:c>
      <x:c r="I16" s="10" t="n">
        <x:v>96000.00</x:v>
      </x:c>
      <x:c r="J16" s="11" t="s">
        <x:v>25</x:v>
      </x:c>
      <x:c r="K16" s="11" t="s">
        <x:v>26</x:v>
      </x:c>
      <x:c r="L16" s="12" t="str">
        <x:f xml:space="preserve">HYPERLINK("https://contrataciondelestado.es/wps/poc?uri=deeplink:detalle_licitacion&amp;idEvl=rRBRLOzOjSK7JOCXkOhcDg%3D%3D","contrataciondelestado.es/wps/poc?uri=deeplink:detalle_licitacion&amp;idEvl=rRBRLOzOjSK7JOCXkOhcDg%3D%3D")</x:f>
        <x:v>contrataciondelestado.es/wps/poc?uri=deeplink:detalle_licitacion&amp;idEvl=rRBRLOzOjSK7JOCXkOhcDg%3D%3D</x:v>
      </x:c>
      <x:c r="M16" s="11" t="s">
        <x:v>27</x:v>
      </x:c>
      <x:c r="N16" s="13" t="s">
        <x:v>21</x:v>
      </x:c>
      <x:c r="O16" s="11" t="s">
        <x:v>113</x:v>
      </x:c>
      <x:c r="P16" s="11" t="s">
        <x:v>37</x:v>
      </x:c>
      <x:c r="Q16" s="14" t="str">
        <x:f xml:space="preserve">HYPERLINK("https://www.infonalia.es/licitaciones0126/2026003326.pdf","www.infonalia.es/licitaciones0126/2026003326.pdf")</x:f>
        <x:v>www.infonalia.es/licitaciones0126/2026003326.pdf</x:v>
      </x:c>
    </x:row>
    <x:row r="17">
      <x:c r="A17" s="6" t="s">
        <x:v>17</x:v>
      </x:c>
      <x:c r="B17" s="6" t="s">
        <x:v>18</x:v>
      </x:c>
      <x:c r="C17" s="7" t="s">
        <x:v>114</x:v>
      </x:c>
      <x:c r="D17" s="8" t="s">
        <x:v>115</x:v>
      </x:c>
      <x:c r="E17" s="9" t="s">
        <x:v>21</x:v>
      </x:c>
      <x:c r="F17" s="6" t="s">
        <x:v>116</x:v>
      </x:c>
      <x:c r="G17" s="6" t="s">
        <x:v>117</x:v>
      </x:c>
      <x:c r="H17" s="6" t="s">
        <x:v>118</x:v>
      </x:c>
      <x:c r="I17" s="10" t="n">
        <x:v>148392.52</x:v>
      </x:c>
      <x:c r="J17" s="11" t="s">
        <x:v>25</x:v>
      </x:c>
      <x:c r="K17" s="11" t="s">
        <x:v>26</x:v>
      </x:c>
      <x:c r="L17" s="12" t="str">
        <x:f xml:space="preserve">HYPERLINK("https://contrataciondelestado.es/wps/poc?uri=deeplink:detalle_licitacion&amp;idEvl=4hsMhBtXY%2BngL1BHd3qjQA%3D%3D","contrataciondelestado.es/wps/poc?uri=deeplink:detalle_licitacion&amp;idEvl=4hsMhBtXY%2BngL1BHd3qjQA%3D%3D")</x:f>
        <x:v>contrataciondelestado.es/wps/poc?uri=deeplink:detalle_licitacion&amp;idEvl=4hsMhBtXY%2BngL1BHd3qjQA%3D%3D</x:v>
      </x:c>
      <x:c r="M17" s="11" t="s">
        <x:v>27</x:v>
      </x:c>
      <x:c r="N17" s="13" t="s">
        <x:v>21</x:v>
      </x:c>
      <x:c r="O17" s="11" t="s">
        <x:v>119</x:v>
      </x:c>
      <x:c r="P17" s="11" t="s">
        <x:v>37</x:v>
      </x:c>
      <x:c r="Q17" s="14" t="str">
        <x:f xml:space="preserve">HYPERLINK("https://www.infonalia.es/licitaciones0126/2026003333.pdf","www.infonalia.es/licitaciones0126/2026003333.pdf")</x:f>
        <x:v>www.infonalia.es/licitaciones0126/2026003333.pdf</x:v>
      </x:c>
    </x:row>
    <x:row r="18">
      <x:c r="A18" s="6" t="s">
        <x:v>17</x:v>
      </x:c>
      <x:c r="B18" s="6" t="s">
        <x:v>18</x:v>
      </x:c>
      <x:c r="C18" s="7" t="s">
        <x:v>120</x:v>
      </x:c>
      <x:c r="D18" s="8" t="s">
        <x:v>121</x:v>
      </x:c>
      <x:c r="E18" s="9" t="s">
        <x:v>21</x:v>
      </x:c>
      <x:c r="F18" s="6" t="s">
        <x:v>122</x:v>
      </x:c>
      <x:c r="G18" s="6" t="s">
        <x:v>123</x:v>
      </x:c>
      <x:c r="H18" s="6" t="s">
        <x:v>124</x:v>
      </x:c>
      <x:c r="I18" s="10" t="n">
        <x:v>67146.00</x:v>
      </x:c>
      <x:c r="J18" s="11" t="s">
        <x:v>25</x:v>
      </x:c>
      <x:c r="K18" s="11" t="s">
        <x:v>26</x:v>
      </x:c>
      <x:c r="L18" s="12" t="str">
        <x:f xml:space="preserve">HYPERLINK("https://contrataciondelestado.es/wps/poc?uri=deeplink:detalle_licitacion&amp;idEvl=iprMePqHC9%2BHCIsjvJ3rhQ%3D%3D","contrataciondelestado.es/wps/poc?uri=deeplink:detalle_licitacion&amp;idEvl=iprMePqHC9%2BHCIsjvJ3rhQ%3D%3D")</x:f>
        <x:v>contrataciondelestado.es/wps/poc?uri=deeplink:detalle_licitacion&amp;idEvl=iprMePqHC9%2BHCIsjvJ3rhQ%3D%3D</x:v>
      </x:c>
      <x:c r="M18" s="11" t="s">
        <x:v>27</x:v>
      </x:c>
      <x:c r="N18" s="13" t="s">
        <x:v>21</x:v>
      </x:c>
      <x:c r="O18" s="11" t="s">
        <x:v>125</x:v>
      </x:c>
      <x:c r="P18" s="11" t="s">
        <x:v>37</x:v>
      </x:c>
      <x:c r="Q18" s="14" t="str">
        <x:f xml:space="preserve">HYPERLINK("https://www.infonalia.es/licitaciones0126/2026003448.pdf","www.infonalia.es/licitaciones0126/2026003448.pdf")</x:f>
        <x:v>www.infonalia.es/licitaciones0126/2026003448.pdf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