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<x:sst xmlns:x="http://schemas.openxmlformats.org/spreadsheetml/2006/main" count="17" uniqueCount="17">
  <x:si>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</x:si>
  <x:si>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</x:si>
  <x:si>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</x:si>
  <x:si>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</x:si>
  <x:si>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</x:si>
  <x:si>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</x:si>
  <x:si>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</x:si>
  <x:si>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</x:si>
  <x:si>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</x:si>
  <x:si>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</x:si>
  <x:si>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</x:si>
  <x:si>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</x:si>
  <x:si>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</x:si>
  <x:si>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</x:si>
  <x:si>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</x:si>
  <x:si>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</x:si>
  <x:si>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</x:si>
  <x:si>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</x:si>
  <x:si>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</x:si>
  <x:si>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24/11/2025</x:t>
  </x:si>
  <x:si>
    <x:t>2025157728</x:t>
  </x:si>
  <x:si>
    <x:t>07/11/2025</x:t>
  </x:si>
  <x:si>
    <x:t>FUNDACIÓ BARCELONA MOBILE WORLD CAPITAL FOUNDATION</x:t>
  </x:si>
  <x:si>
    <x:t>El objeto del contrato consiste en la prestación de un servicio integral de diseño, producción ejecutiva, coordinación técnica y gestión operativa de los espacios específicos en el marco del evento Talent Arena 2026, promovido por MWCapital. El servicio comprenderá, como mínimo, los cuatro (4) bloques funcionales descritos en el apartado 3 del Pliego de Prescripciones Técnicas (PPT): (I) Diseño y adaptación de los espacios específicos al concepto general del evento; (II) Producción ejecutiva y montaje de los espacios, incluyendo la dotación de materiales, elementos audiovisuales, mobiliario y equipamientos técnicos necesarios; (III) Coordinación técnica y operativa durante el evento, incluyendo supervisión y mantenimiento; y (IV) Gestión general del proyecto, seguimiento y cierre.</x:t>
  </x:si>
  <x:si>
    <x:t>A/F202526/S</x:t>
  </x:si>
  <x:si>
    <x:t>Importe sin impuestos</x:t>
  </x:si>
  <x:si>
    <x:t/>
  </x:si>
  <x:si>
    <x:t>-----</x:t>
  </x:si>
  <x:si>
    <x:t>06/11/2025</x:t>
  </x:si>
  <x:si>
    <x:t/>
  </x:si>
  <x:si>
    <x:t>Barcelona</x:t>
  </x:si>
  <x:si>
    <x:t>23/06/2030</x:t>
  </x:si>
  <x:si>
    <x:t>2025157765</x:t>
  </x:si>
  <x:si>
    <x:t>CENTRO DE TELECOMUNICACIONES Y TECNOLOGÍAS DE LA INFORMACIÓN DE LA GENERALITAT DE CATALUNYA</x:t>
  </x:si>
  <x:si>
    <x:t>Sistema Dinámico de Adquisición para la adhesión de proveedores para la contratación de los servicios de definición, gestión, construcción, mantenimiento y operación, y el soporte a las soluciones TIC, para el Centro de Telecomunicaciones y Tecnologías de la Información de la Generalitat de Catalunya. Lote 1 Categoría En Franja A1 Consultoría de Soluciones TIC. Importes de licitación inferiores o iguales a 150.000,00 €. Lote 2 Categoría En Franja A2 Consultoría de Soluciones TIC Importes de licitación superiores a 150.000,00 €. Lote 3 Subcategoría B1 Construcción y/o mantenimiento de Sistemas de Información con tecnología específica GIS. Lote 4 Subcategoría B2 Franja B2-1 Construcción y/o mantenimiento de Sistemas de Información con tecnología específica asociada a paquetes de software de soluciones empresariales. Importe de licitación inferior e igual a 300.000,00 euros. Lote 5 Subcategoría B2 Franja B2-2 Construcción y/o mantenimiento de Sistemas de Información con tecnología específica asociada a paquetes de software de soluciones empresariales. Importe de licitación superior a 300.000,00 euros. Lote 6 Subcategoría B3 Franja B3-1 Construcción y/o mantenimiento de Sistemas de Información con tecnología del dato e inteligencia artificial. Importe de licitación inferior o igual a 300.000,00 euros. Lote 7 Subcategoría B3 Franja B3-2 Construcción y/o mantenimiento de Sistemas de Información con tecnología del dato e inteligencia artificial. Importe de licitación superior a 300.000,00 euros.
Lote 8 Subcategoría B4 Franja B4-1 Construcción y/o mantenimiento de frameworks, componentes y plataformas de arquitectura. Importe de licitación inferior o igual a 300.000,0 euros. Lote 9 Subcategoría B4 Franja B4-2 Construcción y/o mantenimiento de frameworks, componentes y plataformas de arquitectura. Importe de licitación superior a 300.000,00 euros. Lote 10 Subcategoría C Franja C1 Construcción y/o mantenimiento de Sistemas de Información con tecnología no específica. (15 lotes en total, consultar en los pliegos)...</x:t>
  </x:si>
  <x:si>
    <x:t>CTTI-2025-96</x:t>
  </x:si>
  <x:si>
    <x:t>Valor estimado</x:t>
  </x:si>
  <x:si>
    <x:t/>
  </x:si>
  <x:si>
    <x:t>Catalunya</x:t>
  </x:si>
  <x:si>
    <x:t>17/11/2025</x:t>
  </x:si>
  <x:si>
    <x:t>2025157810</x:t>
  </x:si>
  <x:si>
    <x:t>UNIVERSITAT DE BARCELONA</x:t>
  </x:si>
  <x:si>
    <x:t>Provisión de servicios por las actividades de divulgación de la Unidad de Cultura Científica e Innovación (UCC+I) de la Universidad de Barcelona. Los lotes que se incluirían en este contrato son los siguientes: - Desayunos de pausas de jornadas y sesiones de formación, así como de reuniones de trabajo. - Desayunos del personal implicado en la realización de la Fiesta de la Ciencia de la Universidad de Barcelona. - Paella de la comida ofrecida al personal implicado en la realización de la Fiesta de la Ciencia de la Universidad de Barcelona. - Bebidas de la comida ofrecida al personal implicado en la realización de la Fiesta de la Ciencia de la Universidad de Barcelona. - Diseño gráfico y adaptaciones de los proyectos de la UCC+I. - Alquiler mobiliario de la Fiesta de la Ciencia. Lote 1 Desayunos de pausas de jornadas y sesiones de formación, así como de reuniones de trabajo. Lote 2 Desayunos del personal implicado en la realización de la Fiesta de la Ciencia. Lote 3 Paella de la comida ofrecida al personal implicado en la realización de la Fiesta de la Ciencia. Lote 4 Bebidas de la comida ofrecida al personal implicado en la realización de la Fiesta de la Ciencia. Lote 5 Diseño gráfico y adaptaciones de los proyectos de la UCC+I. Lote 6 Alquiler mobiliario de la Fiesta de la Ciencia</x:t>
  </x:si>
  <x:si>
    <x:t>2025/136</x:t>
  </x:si>
  <x:si>
    <x:t/>
  </x:si>
  <x:si>
    <x:t>2025157928</x:t>
  </x:si>
  <x:si>
    <x:t>AYUNTAMIENTO DE CORNELLÀ DE LLOBREGAT (BARCELONA)</x:t>
  </x:si>
  <x:si>
    <x:t>Servicios de montaje y monitorización de los mercados de segunda mano de Cornellà 2026 y 2027.</x:t>
  </x:si>
  <x:si>
    <x:t>25-106</x:t>
  </x:si>
  <x:si>
    <x:t/>
  </x:si>
  <x:si>
    <x:t>21/11/2025</x:t>
  </x:si>
  <x:si>
    <x:t>2025158107</x:t>
  </x:si>
  <x:si>
    <x:t>AYUNTAMIENTO DE PINEDA DE MAR (BARCELONA)</x:t>
  </x:si>
  <x:si>
    <x:t>El objeto del contrato es la contratación mixta del suministro e instalación de una plataforma de destino con IA generativa sobre la web de destino VisitPineda en pantalla táctil exterior de mínimo 32 pulgadas para instalar en la fachada exterior de la Oficina de turismo y servicio de aplicación de plataforma inteligencia artificial generativa en tótem infomativo comercial y su mantenimiento</x:t>
  </x:si>
  <x:si>
    <x:t>8260/2025</x:t>
  </x:si>
  <x:si>
    <x:t/>
  </x:si>
  <x:si>
    <x:t>2025158111</x:t>
  </x:si>
  <x:si>
    <x:t>INSTITUTO CATALÁN DE LAS EMPRESAS CULTURALES</x:t>
  </x:si>
  <x:si>
    <x:t>Servicios técnicos (sonido, iluminación, multimedia y concejalía) necesarios para las diversas actividades que se llevan a cabo en el centro de artes Santa Mònica.</x:t>
  </x:si>
  <x:si>
    <x:t>ICEC-2026-6</x:t>
  </x:si>
  <x:si>
    <x:t/>
  </x:si>
  <x:si>
    <x:t>Community.Vortal</x:t>
  </x:si>
  <x:si>
    <x:t>13/11/2025</x:t>
  </x:si>
  <x:si>
    <x:t>2025158312</x:t>
  </x:si>
  <x:si>
    <x:t>FERROCARRIL METROPOLITA DE BARCELONA, SA</x:t>
  </x:si>
  <x:si>
    <x:t>Guía para la persona usuaria de metro.</x:t>
  </x:si>
  <x:si>
    <x:t>16114144</x:t>
  </x:si>
  <x:si>
    <x:t>No consta</x:t>
  </x:si>
  <x:si>
    <x:t/>
  </x:si>
  <x:si>
    <x:t/>
  </x:si>
  <x:si>
    <x:t>Fira Barcelona – Perfil del contratante</x:t>
  </x:si>
  <x:si>
    <x:t>10/12/2025</x:t>
  </x:si>
  <x:si>
    <x:t>2025158323</x:t>
  </x:si>
  <x:si>
    <x:t>FIRA BARCELONA</x:t>
  </x:si>
  <x:si>
    <x:t>Suministro, montaje, desmontaje, almacenamiento y mantenimiento de stands y zona de actividades para el salón Barcelona Wine Week (en lo sucesivo el “Salón”) celebrado en los recintos feriales de Montjuïc o Gran Vía.</x:t>
  </x:si>
  <x:si>
    <x:t>PA11NP25</x:t>
  </x:si>
  <x:si>
    <x:t>Ver pliegos</x:t>
  </x:si>
  <x:si>
    <x:t/>
  </x:si>
  <x:si>
    <x:t/>
  </x:si>
  <x:si>
    <x:t>09/12/2025</x:t>
  </x:si>
  <x:si>
    <x:t>2025158493</x:t>
  </x:si>
  <x:si>
    <x:t>JUNTA DE ANDALUCÍA. AGENCIA EMPRESARIAL PARA LA TRANSFORMACIÓN Y EL DESARROLLO ECONÓMICO</x:t>
  </x:si>
  <x:si>
    <x:t>Servicios a demanda relacionados con la internacionalización de empresas andaluzas en Indonesia, Singapur y Malasia.</x:t>
  </x:si>
  <x:si>
    <x:t>CONTR 2025 0000492678</x:t>
  </x:si>
  <x:si>
    <x:t/>
  </x:si>
  <x:si>
    <x:t>Indonesia, Singapur y Malasia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</x:si>
</x:sst>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220900.00</x:v>
      </x:c>
      <x:c r="J2" s="11" t="s">
        <x:v>25</x:v>
      </x:c>
      <x:c r="K2" s="11" t="s">
        <x:v>26</x:v>
      </x:c>
      <x:c r="L2" s="12" t="str">
        <x:f xml:space="preserve">HYPERLINK("https://contractaciopublica.cat/es/detall-publicacio/1c566f4d-3fd1-4460-ab61-39338ab6325d/300610958","contractaciopublica.cat/es/detall-publicacio/1c566f4d-3fd1-4460-ab61-39338ab6325d/300610958")</x:f>
        <x:v>contractaciopublica.cat/es/detall-publicacio/1c566f4d-3fd1-4460-ab61-39338ab6325d/300610958</x:v>
      </x:c>
      <x:c r="M2" s="11" t="s">
        <x:v>27</x:v>
      </x:c>
      <x:c r="N2" s="13" t="s">
        <x:v>28</x:v>
      </x:c>
      <x:c r="O2" s="11" t="s">
        <x:v>29</x:v>
      </x:c>
      <x:c r="P2" s="11" t="s">
        <x:v>30</x:v>
      </x:c>
      <x:c r="Q2" s="14" t="str">
        <x:f xml:space="preserve">HYPERLINK("https://www.infonalia.es/licitaciones1125/2025157728.pdf","www.infonalia.es/licitaciones1125/2025157728.pdf")</x:f>
        <x:v>www.infonalia.es/licitaciones1125/2025157728.pdf</x:v>
      </x:c>
    </x:row>
    <x:row r="3">
      <x:c r="A3" s="6" t="s">
        <x:v>17</x:v>
      </x:c>
      <x:c r="B3" s="6" t="s">
        <x:v>18</x:v>
      </x:c>
      <x:c r="C3" s="7" t="s">
        <x:v>31</x:v>
      </x:c>
      <x:c r="D3" s="8" t="s">
        <x:v>32</x:v>
      </x:c>
      <x:c r="E3" s="9" t="s">
        <x:v>21</x:v>
      </x:c>
      <x:c r="F3" s="6" t="s">
        <x:v>33</x:v>
      </x:c>
      <x:c r="G3" s="6" t="s">
        <x:v>34</x:v>
      </x:c>
      <x:c r="H3" s="6" t="s">
        <x:v>35</x:v>
      </x:c>
      <x:c r="I3" s="10" t="n">
        <x:v>6519432000.00</x:v>
      </x:c>
      <x:c r="J3" s="11" t="s">
        <x:v>36</x:v>
      </x:c>
      <x:c r="K3" s="11" t="s">
        <x:v>26</x:v>
      </x:c>
      <x:c r="L3" s="12" t="str">
        <x:f xml:space="preserve">HYPERLINK("https://contractaciopublica.cat/ca/detall-publicacio/43ced24f-d1ae-4950-88cb-51ac72424929/300448472","contractaciopublica.cat/ca/detall-publicacio/43ced24f-d1ae-4950-88cb-51ac72424929/300448472")</x:f>
        <x:v>contractaciopublica.cat/ca/detall-publicacio/43ced24f-d1ae-4950-88cb-51ac72424929/300448472</x:v>
      </x:c>
      <x:c r="M3" s="11" t="s">
        <x:v>27</x:v>
      </x:c>
      <x:c r="N3" s="13" t="s">
        <x:v>28</x:v>
      </x:c>
      <x:c r="O3" s="11" t="s">
        <x:v>37</x:v>
      </x:c>
      <x:c r="P3" s="11" t="s">
        <x:v>38</x:v>
      </x:c>
      <x:c r="Q3" s="14" t="str">
        <x:f xml:space="preserve">HYPERLINK("https://www.infonalia.es/licitaciones1125/2025157765.pdf","www.infonalia.es/licitaciones1125/2025157765.pdf")</x:f>
        <x:v>www.infonalia.es/licitaciones1125/2025157765.pdf</x:v>
      </x:c>
    </x:row>
    <x:row r="4">
      <x:c r="A4" s="6" t="s">
        <x:v>17</x:v>
      </x:c>
      <x:c r="B4" s="6" t="s">
        <x:v>18</x:v>
      </x:c>
      <x:c r="C4" s="7" t="s">
        <x:v>39</x:v>
      </x:c>
      <x:c r="D4" s="8" t="s">
        <x:v>40</x:v>
      </x:c>
      <x:c r="E4" s="9" t="s">
        <x:v>21</x:v>
      </x:c>
      <x:c r="F4" s="6" t="s">
        <x:v>41</x:v>
      </x:c>
      <x:c r="G4" s="6" t="s">
        <x:v>42</x:v>
      </x:c>
      <x:c r="H4" s="6" t="s">
        <x:v>43</x:v>
      </x:c>
      <x:c r="I4" s="10" t="n">
        <x:v>26450.00</x:v>
      </x:c>
      <x:c r="J4" s="11" t="s">
        <x:v>25</x:v>
      </x:c>
      <x:c r="K4" s="11" t="s">
        <x:v>26</x:v>
      </x:c>
      <x:c r="L4" s="12" t="str">
        <x:f xml:space="preserve">HYPERLINK("https://contractaciopublica.cat/ca/detall-publicacio/f67be653-67f4-44d6-b1f1-03abac1c05e8/300610154","contractaciopublica.cat/ca/detall-publicacio/f67be653-67f4-44d6-b1f1-03abac1c05e8/300610154")</x:f>
        <x:v>contractaciopublica.cat/ca/detall-publicacio/f67be653-67f4-44d6-b1f1-03abac1c05e8/300610154</x:v>
      </x:c>
      <x:c r="M4" s="11" t="s">
        <x:v>27</x:v>
      </x:c>
      <x:c r="N4" s="13" t="s">
        <x:v>28</x:v>
      </x:c>
      <x:c r="O4" s="11" t="s">
        <x:v>44</x:v>
      </x:c>
      <x:c r="P4" s="11" t="s">
        <x:v>30</x:v>
      </x:c>
      <x:c r="Q4" s="14" t="str">
        <x:f xml:space="preserve">HYPERLINK("https://www.infonalia.es/licitaciones1125/2025157810.pdf","www.infonalia.es/licitaciones1125/2025157810.pdf")</x:f>
        <x:v>www.infonalia.es/licitaciones1125/2025157810.pdf</x:v>
      </x:c>
    </x:row>
    <x:row r="5">
      <x:c r="A5" s="6" t="s">
        <x:v>17</x:v>
      </x:c>
      <x:c r="B5" s="6" t="s">
        <x:v>18</x:v>
      </x:c>
      <x:c r="C5" s="7" t="s">
        <x:v>19</x:v>
      </x:c>
      <x:c r="D5" s="8" t="s">
        <x:v>45</x:v>
      </x:c>
      <x:c r="E5" s="9" t="s">
        <x:v>21</x:v>
      </x:c>
      <x:c r="F5" s="6" t="s">
        <x:v>46</x:v>
      </x:c>
      <x:c r="G5" s="6" t="s">
        <x:v>47</x:v>
      </x:c>
      <x:c r="H5" s="6" t="s">
        <x:v>48</x:v>
      </x:c>
      <x:c r="I5" s="10" t="n">
        <x:v>16453.12</x:v>
      </x:c>
      <x:c r="J5" s="11" t="s">
        <x:v>25</x:v>
      </x:c>
      <x:c r="K5" s="11" t="s">
        <x:v>26</x:v>
      </x:c>
      <x:c r="L5" s="12" t="str">
        <x:f xml:space="preserve">HYPERLINK("https://contractaciopublica.cat/ca/detall-publicacio/46bf0681-c1ad-4408-a501-772043240eca/300610151","contractaciopublica.cat/ca/detall-publicacio/46bf0681-c1ad-4408-a501-772043240eca/300610151")</x:f>
        <x:v>contractaciopublica.cat/ca/detall-publicacio/46bf0681-c1ad-4408-a501-772043240eca/300610151</x:v>
      </x:c>
      <x:c r="M5" s="11" t="s">
        <x:v>27</x:v>
      </x:c>
      <x:c r="N5" s="13" t="s">
        <x:v>28</x:v>
      </x:c>
      <x:c r="O5" s="11" t="s">
        <x:v>49</x:v>
      </x:c>
      <x:c r="P5" s="11" t="s">
        <x:v>30</x:v>
      </x:c>
      <x:c r="Q5" s="14" t="str">
        <x:f xml:space="preserve">HYPERLINK("https://www.infonalia.es/licitaciones1125/2025157928.pdf","www.infonalia.es/licitaciones1125/2025157928.pdf")</x:f>
        <x:v>www.infonalia.es/licitaciones1125/2025157928.pdf</x:v>
      </x:c>
    </x:row>
    <x:row r="6">
      <x:c r="A6" s="6" t="s">
        <x:v>17</x:v>
      </x:c>
      <x:c r="B6" s="6" t="s">
        <x:v>18</x:v>
      </x:c>
      <x:c r="C6" s="7" t="s">
        <x:v>50</x:v>
      </x:c>
      <x:c r="D6" s="8" t="s">
        <x:v>51</x:v>
      </x:c>
      <x:c r="E6" s="9" t="s">
        <x:v>21</x:v>
      </x:c>
      <x:c r="F6" s="6" t="s">
        <x:v>52</x:v>
      </x:c>
      <x:c r="G6" s="6" t="s">
        <x:v>53</x:v>
      </x:c>
      <x:c r="H6" s="6" t="s">
        <x:v>54</x:v>
      </x:c>
      <x:c r="I6" s="10" t="n">
        <x:v>14760.00</x:v>
      </x:c>
      <x:c r="J6" s="11" t="s">
        <x:v>25</x:v>
      </x:c>
      <x:c r="K6" s="11" t="s">
        <x:v>26</x:v>
      </x:c>
      <x:c r="L6" s="12" t="str">
        <x:f xml:space="preserve">HYPERLINK("https://contractaciopublica.cat/ca/detall-publicacio/f907990f-3c4b-4291-a6f3-8e76e35df686/300608708","contractaciopublica.cat/ca/detall-publicacio/f907990f-3c4b-4291-a6f3-8e76e35df686/300608708")</x:f>
        <x:v>contractaciopublica.cat/ca/detall-publicacio/f907990f-3c4b-4291-a6f3-8e76e35df686/300608708</x:v>
      </x:c>
      <x:c r="M6" s="11" t="s">
        <x:v>27</x:v>
      </x:c>
      <x:c r="N6" s="13" t="s">
        <x:v>28</x:v>
      </x:c>
      <x:c r="O6" s="11" t="s">
        <x:v>55</x:v>
      </x:c>
      <x:c r="P6" s="11" t="s">
        <x:v>30</x:v>
      </x:c>
      <x:c r="Q6" s="14" t="str">
        <x:f xml:space="preserve">HYPERLINK("https://www.infonalia.es/licitaciones1125/2025158107.pdf","www.infonalia.es/licitaciones1125/2025158107.pdf")</x:f>
        <x:v>www.infonalia.es/licitaciones1125/2025158107.pdf</x:v>
      </x:c>
    </x:row>
    <x:row r="7">
      <x:c r="A7" s="6" t="s">
        <x:v>17</x:v>
      </x:c>
      <x:c r="B7" s="6" t="s">
        <x:v>18</x:v>
      </x:c>
      <x:c r="C7" s="7" t="s">
        <x:v>19</x:v>
      </x:c>
      <x:c r="D7" s="8" t="s">
        <x:v>56</x:v>
      </x:c>
      <x:c r="E7" s="9" t="s">
        <x:v>21</x:v>
      </x:c>
      <x:c r="F7" s="6" t="s">
        <x:v>57</x:v>
      </x:c>
      <x:c r="G7" s="6" t="s">
        <x:v>58</x:v>
      </x:c>
      <x:c r="H7" s="6" t="s">
        <x:v>59</x:v>
      </x:c>
      <x:c r="I7" s="10" t="n">
        <x:v>44250.00</x:v>
      </x:c>
      <x:c r="J7" s="11" t="s">
        <x:v>25</x:v>
      </x:c>
      <x:c r="K7" s="11" t="s">
        <x:v>26</x:v>
      </x:c>
      <x:c r="L7" s="12" t="str">
        <x:f xml:space="preserve">HYPERLINK("https://contractaciopublica.cat/ca/detall-publicacio/63b24511-4c05-4325-bf7e-1bdd9c636d3d/300603366","contractaciopublica.cat/ca/detall-publicacio/63b24511-4c05-4325-bf7e-1bdd9c636d3d/300603366")</x:f>
        <x:v>contractaciopublica.cat/ca/detall-publicacio/63b24511-4c05-4325-bf7e-1bdd9c636d3d/300603366</x:v>
      </x:c>
      <x:c r="M7" s="11" t="s">
        <x:v>27</x:v>
      </x:c>
      <x:c r="N7" s="13" t="s">
        <x:v>28</x:v>
      </x:c>
      <x:c r="O7" s="11" t="s">
        <x:v>60</x:v>
      </x:c>
      <x:c r="P7" s="11" t="s">
        <x:v>30</x:v>
      </x:c>
      <x:c r="Q7" s="14" t="str">
        <x:f xml:space="preserve">HYPERLINK("https://www.infonalia.es/licitaciones1125/2025158111.pdf","www.infonalia.es/licitaciones1125/2025158111.pdf")</x:f>
        <x:v>www.infonalia.es/licitaciones1125/2025158111.pdf</x:v>
      </x:c>
    </x:row>
    <x:row r="8">
      <x:c r="A8" s="6" t="s">
        <x:v>17</x:v>
      </x:c>
      <x:c r="B8" s="6" t="s">
        <x:v>61</x:v>
      </x:c>
      <x:c r="C8" s="7" t="s">
        <x:v>62</x:v>
      </x:c>
      <x:c r="D8" s="8" t="s">
        <x:v>63</x:v>
      </x:c>
      <x:c r="E8" s="9" t="s">
        <x:v>21</x:v>
      </x:c>
      <x:c r="F8" s="6" t="s">
        <x:v>64</x:v>
      </x:c>
      <x:c r="G8" s="6" t="s">
        <x:v>65</x:v>
      </x:c>
      <x:c r="H8" s="6" t="s">
        <x:v>66</x:v>
      </x:c>
      <x:c r="I8" s="10"/>
      <x:c r="J8" s="11" t="s">
        <x:v>67</x:v>
      </x:c>
      <x:c r="K8" s="11" t="s">
        <x:v>68</x:v>
      </x:c>
      <x:c r="L8" s="12" t="str">
        <x:f xml:space="preserve">HYPERLINK("https://community.vortal.biz/public/?currentLanguage=es","community.vortal.biz/public/?currentLanguage=es")</x:f>
        <x:v>community.vortal.biz/public/?currentLanguage=es</x:v>
      </x:c>
      <x:c r="M8" s="11" t="s">
        <x:v>27</x:v>
      </x:c>
      <x:c r="N8" s="13" t="s">
        <x:v>28</x:v>
      </x:c>
      <x:c r="O8" s="11" t="s">
        <x:v>69</x:v>
      </x:c>
      <x:c r="P8" s="11" t="s">
        <x:v>30</x:v>
      </x:c>
      <x:c r="Q8" s="14" t="str">
        <x:f xml:space="preserve">HYPERLINK("https://www.infonalia.es/licitaciones1125/2025158312.pdf","www.infonalia.es/licitaciones1125/2025158312.pdf")</x:f>
        <x:v>www.infonalia.es/licitaciones1125/2025158312.pdf</x:v>
      </x:c>
    </x:row>
    <x:row r="9">
      <x:c r="A9" s="6" t="s">
        <x:v>17</x:v>
      </x:c>
      <x:c r="B9" s="6" t="s">
        <x:v>70</x:v>
      </x:c>
      <x:c r="C9" s="7" t="s">
        <x:v>71</x:v>
      </x:c>
      <x:c r="D9" s="8" t="s">
        <x:v>72</x:v>
      </x:c>
      <x:c r="E9" s="9" t="s">
        <x:v>21</x:v>
      </x:c>
      <x:c r="F9" s="6" t="s">
        <x:v>73</x:v>
      </x:c>
      <x:c r="G9" s="6" t="s">
        <x:v>74</x:v>
      </x:c>
      <x:c r="H9" s="6" t="s">
        <x:v>75</x:v>
      </x:c>
      <x:c r="I9" s="10"/>
      <x:c r="J9" s="11" t="s">
        <x:v>76</x:v>
      </x:c>
      <x:c r="K9" s="11" t="s">
        <x:v>77</x:v>
      </x:c>
      <x:c r="L9" s="12" t="str">
        <x:f xml:space="preserve">HYPERLINK("https://www.firabarcelona.com/licitacio/","www.firabarcelona.com/licitacio/")</x:f>
        <x:v>www.firabarcelona.com/licitacio/</x:v>
      </x:c>
      <x:c r="M9" s="11" t="s">
        <x:v>27</x:v>
      </x:c>
      <x:c r="N9" s="13" t="s">
        <x:v>28</x:v>
      </x:c>
      <x:c r="O9" s="11" t="s">
        <x:v>78</x:v>
      </x:c>
      <x:c r="P9" s="11" t="s">
        <x:v>30</x:v>
      </x:c>
      <x:c r="Q9" s="14" t="str">
        <x:f xml:space="preserve">HYPERLINK("https://www.infonalia.es/licitaciones1125/2025158323.pdf","www.infonalia.es/licitaciones1125/2025158323.pdf")</x:f>
        <x:v>www.infonalia.es/licitaciones1125/2025158323.pdf</x:v>
      </x:c>
    </x:row>
    <x:row r="10">
      <x:c r="A10" s="6" t="s">
        <x:v>17</x:v>
      </x:c>
      <x:c r="B10" s="6" t="s">
        <x:v>18</x:v>
      </x:c>
      <x:c r="C10" s="7" t="s">
        <x:v>79</x:v>
      </x:c>
      <x:c r="D10" s="8" t="s">
        <x:v>80</x:v>
      </x:c>
      <x:c r="E10" s="9" t="s">
        <x:v>21</x:v>
      </x:c>
      <x:c r="F10" s="6" t="s">
        <x:v>81</x:v>
      </x:c>
      <x:c r="G10" s="6" t="s">
        <x:v>82</x:v>
      </x:c>
      <x:c r="H10" s="6" t="s">
        <x:v>83</x:v>
      </x:c>
      <x:c r="I10" s="10" t="n">
        <x:v>136321.26</x:v>
      </x:c>
      <x:c r="J10" s="11" t="s">
        <x:v>25</x:v>
      </x:c>
      <x:c r="K10" s="11" t="s">
        <x:v>26</x:v>
      </x:c>
      <x:c r="L10" s="12" t="str">
        <x:f xml:space="preserve">HYPERLINK("https://www.juntadeandalucia.es/haciendayadministracionpublica/apl/pdc_sirec/perfiles-licitaciones/detalle-licitacion.jsf?idExpediente=874000","www.juntadeandalucia.es/haciendayadministracionpublica/apl/pdc_sirec/perfiles-licitaciones/detalle-licitacion.jsf?idExpediente=874000")</x:f>
        <x:v>www.juntadeandalucia.es/haciendayadministracionpublica/apl/pdc_sirec/perfiles-licitaciones/detalle-licitacion.jsf?idExpediente=874000</x:v>
      </x:c>
      <x:c r="M10" s="11" t="s">
        <x:v>27</x:v>
      </x:c>
      <x:c r="N10" s="13" t="s">
        <x:v>21</x:v>
      </x:c>
      <x:c r="O10" s="11" t="s">
        <x:v>84</x:v>
      </x:c>
      <x:c r="P10" s="11" t="s">
        <x:v>85</x:v>
      </x:c>
      <x:c r="Q10" s="14" t="str">
        <x:f xml:space="preserve">HYPERLINK("https://www.infonalia.es/licitaciones1125/2025158493.pdf","www.infonalia.es/licitaciones1125/2025158493.pdf")</x:f>
        <x:v>www.infonalia.es/licitaciones1125/2025158493.pdf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