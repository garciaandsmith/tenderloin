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<x:sst xmlns:x="http://schemas.openxmlformats.org/spreadsheetml/2006/main" count="11" uniqueCount="11">
  <x:si>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</x:si>
  <x:si>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</x:si>
  <x:si>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</x:si>
  <x:si>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</x:si>
  <x:si>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</x:si>
  <x:si>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</x:si>
  <x:si>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</x:si>
  <x:si>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</x:si>
  <x:si>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</x:si>
  <x:si>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</x:si>
  <x:si>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</x:si>
  <x:si>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</x:si>
  <x:si>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INTERVENTO 2 SL</x:t>
  </x:si>
  <x:si>
    <x:t>03/11/2025 0:00:00</x:t>
  </x:si>
  <x:si>
    <x:t>25213214</x:t>
  </x:si>
  <x:si>
    <x:t>FOMENT DE CIUTAT SA</x:t>
  </x:si>
  <x:si>
    <x:t>Prestación del servicio de diseño, producción, montaje, desmontaje, mantenimiento y transporte de la exposición itinerante “Pla de Barris 2025-2028”, en el marco del Plan de Barrios de Barcelona, así como para el fomento de la eficiencia social</x:t>
  </x:si>
  <x:si>
    <x:t>F250000430</x:t>
  </x:si>
  <x:si>
    <x:t>Barcelona</x:t>
  </x:si>
  <x:si>
    <x:t>Ver detalle de la adjudicación</x:t>
  </x:si>
  <x:si>
    <x:t>DELOITTE, TECHNOLOGY AND TRANSFORMATION, SLU</x:t>
  </x:si>
  <x:si>
    <x:t>25213221</x:t>
  </x:si>
  <x:si>
    <x:t>F250000307.- Servicio de apoyo a la coordinación de las acciones de comunicación de Foment de Ciutat, con objetivos de eficiencia social</x:t>
  </x:si>
  <x:si>
    <x:t>F250000307</x:t>
  </x:si>
  <x:si>
    <x:t>RÚSTIC XERINOLA, S.L</x:t>
  </x:si>
  <x:si>
    <x:t>25213303</x:t>
  </x:si>
  <x:si>
    <x:t>AYUNTAMIENTO DE BADALONA (BARCELONA)</x:t>
  </x:si>
  <x:si>
    <x:t>Contrato mixto de suministros y servicios para la celebración de la feria gastronómica de Navidad 2025.</x:t>
  </x:si>
  <x:si>
    <x:t>2025/44405B</x:t>
  </x:si>
  <x:si>
    <x:t>TECHFRIENDLY S.L</x:t>
  </x:si>
  <x:si>
    <x:t>25213319</x:t>
  </x:si>
  <x:si>
    <x:t>JUNTA DE GOBIERNO DEL AYUNTAMIENTO DE GETAFE (MADRID)</x:t>
  </x:si>
  <x:si>
    <x:t>Servicio de elaboración de la Agenda urbana de Getafe (AUGE) en el marco de la Agenda 2030, mediante el uso de inteligencia artificial</x:t>
  </x:si>
  <x:si>
    <x:t>2025000040</x:t>
  </x:si>
  <x:si>
    <x:t>Madrid</x:t>
  </x:si>
  <x:si>
    <x:t>GRUPO CR TECNO S.L</x:t>
  </x:si>
  <x:si>
    <x:t>25213363</x:t>
  </x:si>
  <x:si>
    <x:t>CONCEJAL DE CONTRATACIÓN DEL AYUNTAMIENTO DE TORREJÓN DE ARDOZ (MADRID)</x:t>
  </x:si>
  <x:si>
    <x:t>Suministro y Fabricación de 20 expositores de revistas de exterior para el Ayuntamiento de Torrejón de Ardoz.</x:t>
  </x:si>
  <x:si>
    <x:t>PA 101/2025</x:t>
  </x:si>
  <x:si>
    <x:t>SIERRA MEDIA SIGLO XXI S.L</x:t>
  </x:si>
  <x:si>
    <x:t>25213474</x:t>
  </x:si>
  <x:si>
    <x:t>ALCALDÍA DEL AYUNTAMIENTO DE VILLANUEVA DE LA CAÑADA (MADRID)</x:t>
  </x:si>
  <x:si>
    <x:t>Servicio profesional de fotografía</x:t>
  </x:si>
  <x:si>
    <x:t>23.02.11/2025/0020</x:t>
  </x:si>
  <x:si>
    <x:t>EVÉNTURIS, EVENTOS Y COMUNICACIÓN, SL</x:t>
  </x:si>
  <x:si>
    <x:t>25213594</x:t>
  </x:si>
  <x:si>
    <x:t>CONSEJERO DELEGADO DE INGENIERÍA DE SISTEMAS PARA LA DEFENSA DE ESPAÑA S.A., S.M.E. Y M.P.</x:t>
  </x:si>
  <x:si>
    <x:t>Contratación de los servicios de apoyo técnico a la oficina de comunicación del CESTIC</x:t>
  </x:si>
  <x:si>
    <x:t>2025-01610</x:t>
  </x:si>
  <x:si>
    <x:t>GROUPM PUBLICIDAD WORLWIDE, S.A</x:t>
  </x:si>
  <x:si>
    <x:t>25213827</x:t>
  </x:si>
  <x:si>
    <x:t>CONSEJO DE ADMINISTRACIÓN DE LA SOCIEDAD ESTATAL LOTERÍAS Y APUESTAS DEL ESTADO, S.M.E., S.A.</x:t>
  </x:si>
  <x:si>
    <x:t>Servicio integral de medios para la planificación estratégica y táctica, asesoramiento permanente, compra de espacios y difusión en medios de comunicación y demás soportes publicitarios de las campañas y acciones de publicidad y comunicación del Sorteo de Navidad ® y del Sorteo de El Niño ® del juego Lotería Nacional</x:t>
  </x:si>
  <x:si>
    <x:t>25/229</x:t>
  </x:si>
  <x:si>
    <x:t>SPEZIAL OUTSOURCING, S.L</x:t>
  </x:si>
  <x:si>
    <x:t>25213959</x:t>
  </x:si>
  <x:si>
    <x:t>MINISTERIO DE ECONOMÍA, COMERCIO Y EMPRESA. SECRETARÍA GENERAL DE LA COMISIÓN NACIONAL DE LOS MERCADOS Y LA COMPETENCIA</x:t>
  </x:si>
  <x:si>
    <x:t>Servicios de regiduría y peón para montaje de eventos, movimientos de mobiliario e inventario en la sede de la CNMC en Madrid (Contratación reservada a centros especiales de empleo de iniciativa social y a empresas de inserción).</x:t>
  </x:si>
  <x:si>
    <x:t>250150</x:t>
  </x:si>
  <x:si>
    <x:t>LOTE 1 T2O ADMEDIA SERVICES SL</x:t>
  </x:si>
  <x:si>
    <x:t>25214041</x:t>
  </x:si>
  <x:si>
    <x:t>MINISTERIO DE HACIENDA. D.G. DE RACIONALIZACIÓN Y CENTRALIZACIÓN DE LA CONTRATACIÓN</x:t>
  </x:si>
  <x:si>
    <x:t>Campaña De Publicidad Institucional El Valor De Las Libertades Y La Democracia . (Subdirección General De La Oficina Presupuestaria Y Gestión Económica . Mpt)</x:t>
  </x:si>
  <x:si>
    <x:t>CBA4493/2025</x:t>
  </x:si>
  <x:si>
    <x:t>LOTE 2 NOVA SAPIENS, S.L</x:t>
  </x:si>
  <x:si>
    <x:t>25214042</x:t>
  </x:si>
  <x:si>
    <x:t>Servicios De Compra De Espacios En Medios De Comunicación Y Demás Soportes Publicitarios Para La Materialización De La Campaña De Publicidad Institucional Denominada La Administración Cerca De Ti “Lact” (Subdirección General De Administración Financiera Y Patrimonio De La Age En El Territorio)</x:t>
  </x:si>
  <x:si>
    <x:t>CBA4585/2025</x:t>
  </x:si>
  <x:si>
    <x:t>ATECH ADVANCED SOLUTIONS S.A.</x:t>
  </x:si>
  <x:si>
    <x:t>25214065</x:t>
  </x:si>
  <x:si>
    <x:t>Servicio De Mantenimiento Del Sistema Elince Del Ministerio De Asuntos Exteriores, Unión Europea Y Cooperación. (S.G. De Informática, Comunicaciones Y Redes. Maec)</x:t>
  </x:si>
  <x:si>
    <x:t>CEA4499/2025</x:t>
  </x:si>
  <x:si>
    <x:t>QUALITY MEDIA PRODUCCIONES SL</x:t>
  </x:si>
  <x:si>
    <x:t>25214102</x:t>
  </x:si>
  <x:si>
    <x:t>DIRECCIÓN GENERAL DE LA ENTIDAD PÚBLICA EMPRESARIAL RED.ES</x:t>
  </x:si>
  <x:si>
    <x:t>Servicio comisión registro dominios CRD 2025</x:t>
  </x:si>
  <x:si>
    <x:t>004/21-CO CB5</x:t>
  </x:si>
  <x:si>
    <x:t>NIVELL PUBLICITARI DIGITAL S.L</x:t>
  </x:si>
  <x:si>
    <x:t>25214111</x:t>
  </x:si>
  <x:si>
    <x:t>ÁREA DE GOBIERNO DE VICEALCALDÍA, PORTAVOZ, SEGURIDAD Y EMERGENCIAS DEL AYUNTAMIENTO DE MADRID</x:t>
  </x:si>
  <x:si>
    <x:t>Producción, instalación y desmontaje de las banderolas la campaña de publicidad del Plan de Fomento de la Natalidad</x:t>
  </x:si>
  <x:si>
    <x:t>511/2024/09735.36</x:t>
  </x:si>
  <x:si>
    <x:t>IRISMEDIA AGENCIA DE MEDIOS S.L</x:t>
  </x:si>
  <x:si>
    <x:t>25214189</x:t>
  </x:si>
  <x:si>
    <x:t>Promoción de la convocatoria pública de admisión de proyectos empresariales a la Red de Factorías Industriales de la ciudad de Madrid</x:t>
  </x:si>
  <x:si>
    <x:t>511/2024/09993.1.42</x:t>
  </x:si>
  <x:si>
    <x:t>FORO DE DEBATE S.L</x:t>
  </x:si>
  <x:si>
    <x:t>25214216</x:t>
  </x:si>
  <x:si>
    <x:t>MINISTERIO DE AGRICULTURA, PESCA Y ALIMENTACIÓN. DIRECCIÓN GENERAL DE LA INDUSTRIA ALIMENTARIA</x:t>
  </x:si>
  <x:si>
    <x:t>Participación, con los servicios necesarios, del Ministerio de Agricultura, Pesca y Alimentación en Madrid Fusión organizado por Foro De Debate, en las ediciones de 2026 Y 2027</x:t>
  </x:si>
  <x:si>
    <x:t>202505100639</x:t>
  </x:si>
  <x:si>
    <x:t>Madrid </x:t>
  </x:si>
  <x:si>
    <x:t>TRES TIPOS GRÁFICOS S.L</x:t>
  </x:si>
  <x:si>
    <x:t>25214221</x:t>
  </x:si>
  <x:si>
    <x:t>Diseño de dos dípticos y una infografía sobre el Sistema Arbitral de Consumo para el Instituto Municipal de Consumo</x:t>
  </x:si>
  <x:si>
    <x:t>145/2023/00612.2.63</x:t>
  </x:si>
  <x:si>
    <x:t>INSTITUT CATALÀ DE CULTURA DE BARCELONA</x:t>
  </x:si>
  <x:si>
    <x:t>25214293</x:t>
  </x:si>
  <x:si>
    <x:t>TRACTAMENT I SELECCIÓ DE RESIDUS, S.A.</x:t>
  </x:si>
  <x:si>
    <x:t>CTTE1157 Contrato de patrocinio entre Barcelona Energía y el Instituto de Cultura de Barcelona para varios festivales</x:t>
  </x:si>
  <x:si>
    <x:t>CTTE1157</x:t>
  </x:si>
  <x:si>
    <x:t>Desierto</x:t>
  </x:si>
  <x:si>
    <x:t>DESIERTO</x:t>
  </x:si>
  <x:si>
    <x:t>25214353</x:t>
  </x:si>
  <x:si>
    <x:t>DIRECCIÓN GENERAL DE IBERMUTUA, MUTUA COLABORADORA CON LASEGURIDAD SOCIAL Nº 274</x:t>
  </x:si>
  <x:si>
    <x:t>Suscripción a través de banco de imágenes digitales para las áreas de IBERMUTUA.</x:t>
  </x:si>
  <x:si>
    <x:t>CG-2025/2801/0124</x:t>
  </x:si>
  <x:si>
    <x:t>Ver pliegos</x:t>
  </x:si>
  <x:si>
    <x:t>LOTE 3 EVENTOS INFIMA SL </x:t>
  </x:si>
  <x:si>
    <x:t>25214437</x:t>
  </x:si>
  <x:si>
    <x:t>AYUNTAMIENTO DE MADRID. DISTRITO DE CHAMARTÍN</x:t>
  </x:si>
  <x:si>
    <x:t>Contrato para la prestación del servicio de actividades culturales y de ocio en el Distrito de Chamartín (3 lotes). Lote 1: Programacion en centros culturales y espacios abiertos. Lote 2: Simultanea internacional de ajedrez y ajedrez en en los parques. Lote 3: Actividades conmemorativas, puntuales o extraordinarias.</x:t>
  </x:si>
  <x:si>
    <x:t>300/2025/00928</x:t>
  </x:si>
  <x:si>
    <x:t>Formalizado</x:t>
  </x:si>
  <x:si>
    <x:t>LOTE 1 ILUSQUER,S.L. </x:t>
  </x:si>
  <x:si>
    <x:t>25214447</x:t>
  </x:si>
  <x:si>
    <x:t>AYUNTAMIENTO DE MADRID. DISTRITO DE CHAMBERÍ</x:t>
  </x:si>
  <x:si>
    <x:t>Actividades navideñas en el Distrito de Chamberí. Lote 1: Decoración luminosa navideña. Lote 2: Tren neumático de la Navidad. Lote 3: Desfile navideño en Chamberí.</x:t>
  </x:si>
  <x:si>
    <x:t>300/2025/01425</x:t>
  </x:si>
  <x:si>
    <x:t>G.S. LLEM, S.L</x:t>
  </x:si>
  <x:si>
    <x:t>25214556</x:t>
  </x:si>
  <x:si>
    <x:t>INSTITUTO DE CULTURA DE BARCELONA</x:t>
  </x:si>
  <x:si>
    <x:t>Servicios oficina técnica y montaje y desmontaje de las actividades del MUHBA</x:t>
  </x:si>
  <x:si>
    <x:t>006_25000882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</x:si>
</x:sst>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HYPERLINK("https://www.infonalia.es/adjudicaciones1125/25213214.pdf","www.infonalia.es/adjudicaciones1125/25213214.pdf")</x:f>
        <x:v>www.infonalia.es/adjudicaciones1125/25213214.pdf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s">
        <x:v>19</x:v>
      </x:c>
      <x:c r="K2" s="9" t="n">
        <x:v>92107.92</x:v>
      </x:c>
    </x:row>
    <x:row r="3">
      <x:c r="A3" s="6" t="s">
        <x:v>11</x:v>
      </x:c>
      <x:c r="B3" s="6" t="s">
        <x:v>20</x:v>
      </x:c>
      <x:c r="C3" s="6" t="s">
        <x:v>13</x:v>
      </x:c>
      <x:c r="D3" s="7" t="str">
        <x:f xml:space="preserve">HYPERLINK("https://www.infonalia.es/adjudicaciones1125/25213221.pdf","www.infonalia.es/adjudicaciones1125/25213221.pdf")</x:f>
        <x:v>www.infonalia.es/adjudicaciones1125/25213221.pdf</x:v>
      </x:c>
      <x:c r="E3" s="8" t="s">
        <x:v>21</x:v>
      </x:c>
      <x:c r="F3" s="6" t="s">
        <x:v>15</x:v>
      </x:c>
      <x:c r="G3" s="6" t="s">
        <x:v>22</x:v>
      </x:c>
      <x:c r="H3" s="6" t="s">
        <x:v>23</x:v>
      </x:c>
      <x:c r="I3" s="6" t="s">
        <x:v>18</x:v>
      </x:c>
      <x:c r="J3" s="9" t="s">
        <x:v>19</x:v>
      </x:c>
      <x:c r="K3" s="9" t="n">
        <x:v>64723.52</x:v>
      </x:c>
    </x:row>
    <x:row r="4">
      <x:c r="A4" s="6" t="s">
        <x:v>11</x:v>
      </x:c>
      <x:c r="B4" s="6" t="s">
        <x:v>24</x:v>
      </x:c>
      <x:c r="C4" s="6" t="s">
        <x:v>13</x:v>
      </x:c>
      <x:c r="D4" s="7" t="str">
        <x:f xml:space="preserve">HYPERLINK("https://www.infonalia.es/adjudicaciones1125/25213303.pdf","www.infonalia.es/adjudicaciones1125/25213303.pdf")</x:f>
        <x:v>www.infonalia.es/adjudicaciones1125/25213303.pdf</x:v>
      </x:c>
      <x:c r="E4" s="8" t="s">
        <x:v>25</x:v>
      </x:c>
      <x:c r="F4" s="6" t="s">
        <x:v>26</x:v>
      </x:c>
      <x:c r="G4" s="6" t="s">
        <x:v>27</x:v>
      </x:c>
      <x:c r="H4" s="6" t="s">
        <x:v>28</x:v>
      </x:c>
      <x:c r="I4" s="6" t="s">
        <x:v>18</x:v>
      </x:c>
      <x:c r="J4" s="9" t="s">
        <x:v>19</x:v>
      </x:c>
      <x:c r="K4" s="9" t="n">
        <x:v>41764.55</x:v>
      </x:c>
    </x:row>
    <x:row r="5">
      <x:c r="A5" s="6" t="s">
        <x:v>11</x:v>
      </x:c>
      <x:c r="B5" s="6" t="s">
        <x:v>29</x:v>
      </x:c>
      <x:c r="C5" s="6" t="s">
        <x:v>13</x:v>
      </x:c>
      <x:c r="D5" s="7" t="str">
        <x:f xml:space="preserve">HYPERLINK("https://www.infonalia.es/adjudicaciones1125/25213319.pdf","www.infonalia.es/adjudicaciones1125/25213319.pdf")</x:f>
        <x:v>www.infonalia.es/adjudicaciones1125/25213319.pdf</x:v>
      </x:c>
      <x:c r="E5" s="8" t="s">
        <x:v>30</x:v>
      </x:c>
      <x:c r="F5" s="6" t="s">
        <x:v>31</x:v>
      </x:c>
      <x:c r="G5" s="6" t="s">
        <x:v>32</x:v>
      </x:c>
      <x:c r="H5" s="6" t="s">
        <x:v>33</x:v>
      </x:c>
      <x:c r="I5" s="6" t="s">
        <x:v>34</x:v>
      </x:c>
      <x:c r="J5" s="9" t="n">
        <x:v>130000.00</x:v>
      </x:c>
      <x:c r="K5" s="9" t="n">
        <x:v>148760.33</x:v>
      </x:c>
    </x:row>
    <x:row r="6">
      <x:c r="A6" s="6" t="s">
        <x:v>11</x:v>
      </x:c>
      <x:c r="B6" s="6" t="s">
        <x:v>35</x:v>
      </x:c>
      <x:c r="C6" s="6" t="s">
        <x:v>13</x:v>
      </x:c>
      <x:c r="D6" s="7" t="str">
        <x:f xml:space="preserve">HYPERLINK("https://www.infonalia.es/adjudicaciones1125/25213363.pdf","www.infonalia.es/adjudicaciones1125/25213363.pdf")</x:f>
        <x:v>www.infonalia.es/adjudicaciones1125/25213363.pdf</x:v>
      </x:c>
      <x:c r="E6" s="8" t="s">
        <x:v>36</x:v>
      </x:c>
      <x:c r="F6" s="6" t="s">
        <x:v>37</x:v>
      </x:c>
      <x:c r="G6" s="6" t="s">
        <x:v>38</x:v>
      </x:c>
      <x:c r="H6" s="6" t="s">
        <x:v>39</x:v>
      </x:c>
      <x:c r="I6" s="6" t="s">
        <x:v>34</x:v>
      </x:c>
      <x:c r="J6" s="9" t="n">
        <x:v>28113.00</x:v>
      </x:c>
      <x:c r="K6" s="9" t="n">
        <x:v>37500.00</x:v>
      </x:c>
    </x:row>
    <x:row r="7">
      <x:c r="A7" s="6" t="s">
        <x:v>11</x:v>
      </x:c>
      <x:c r="B7" s="6" t="s">
        <x:v>40</x:v>
      </x:c>
      <x:c r="C7" s="6" t="s">
        <x:v>13</x:v>
      </x:c>
      <x:c r="D7" s="7" t="str">
        <x:f xml:space="preserve">HYPERLINK("https://www.infonalia.es/adjudicaciones1125/25213474.pdf","www.infonalia.es/adjudicaciones1125/25213474.pdf")</x:f>
        <x:v>www.infonalia.es/adjudicaciones1125/25213474.pdf</x:v>
      </x:c>
      <x:c r="E7" s="8" t="s">
        <x:v>41</x:v>
      </x:c>
      <x:c r="F7" s="6" t="s">
        <x:v>42</x:v>
      </x:c>
      <x:c r="G7" s="6" t="s">
        <x:v>43</x:v>
      </x:c>
      <x:c r="H7" s="6" t="s">
        <x:v>44</x:v>
      </x:c>
      <x:c r="I7" s="6" t="s">
        <x:v>34</x:v>
      </x:c>
      <x:c r="J7" s="9" t="n">
        <x:v>28800.00</x:v>
      </x:c>
      <x:c r="K7" s="9" t="n">
        <x:v>28800.00</x:v>
      </x:c>
    </x:row>
    <x:row r="8">
      <x:c r="A8" s="6" t="s">
        <x:v>11</x:v>
      </x:c>
      <x:c r="B8" s="6" t="s">
        <x:v>45</x:v>
      </x:c>
      <x:c r="C8" s="6" t="s">
        <x:v>13</x:v>
      </x:c>
      <x:c r="D8" s="7" t="str">
        <x:f xml:space="preserve">HYPERLINK("https://www.infonalia.es/adjudicaciones1125/25213594.pdf","www.infonalia.es/adjudicaciones1125/25213594.pdf")</x:f>
        <x:v>www.infonalia.es/adjudicaciones1125/25213594.pdf</x:v>
      </x:c>
      <x:c r="E8" s="8" t="s">
        <x:v>46</x:v>
      </x:c>
      <x:c r="F8" s="6" t="s">
        <x:v>47</x:v>
      </x:c>
      <x:c r="G8" s="6" t="s">
        <x:v>48</x:v>
      </x:c>
      <x:c r="H8" s="6" t="s">
        <x:v>49</x:v>
      </x:c>
      <x:c r="I8" s="6" t="s">
        <x:v>34</x:v>
      </x:c>
      <x:c r="J8" s="9" t="n">
        <x:v>75905.00</x:v>
      </x:c>
      <x:c r="K8" s="9" t="n">
        <x:v>95000.00</x:v>
      </x:c>
    </x:row>
    <x:row r="9">
      <x:c r="A9" s="6" t="s">
        <x:v>11</x:v>
      </x:c>
      <x:c r="B9" s="6" t="s">
        <x:v>50</x:v>
      </x:c>
      <x:c r="C9" s="6" t="s">
        <x:v>13</x:v>
      </x:c>
      <x:c r="D9" s="7" t="str">
        <x:f xml:space="preserve">HYPERLINK("https://www.infonalia.es/adjudicaciones1125/25213827.pdf","www.infonalia.es/adjudicaciones1125/25213827.pdf")</x:f>
        <x:v>www.infonalia.es/adjudicaciones1125/25213827.pdf</x:v>
      </x:c>
      <x:c r="E9" s="8" t="s">
        <x:v>51</x:v>
      </x:c>
      <x:c r="F9" s="6" t="s">
        <x:v>52</x:v>
      </x:c>
      <x:c r="G9" s="6" t="s">
        <x:v>53</x:v>
      </x:c>
      <x:c r="H9" s="6" t="s">
        <x:v>54</x:v>
      </x:c>
      <x:c r="I9" s="6" t="s">
        <x:v>34</x:v>
      </x:c>
      <x:c r="J9" s="9" t="s">
        <x:v>19</x:v>
      </x:c>
      <x:c r="K9" s="9" t="n">
        <x:v>15000000.00</x:v>
      </x:c>
    </x:row>
    <x:row r="10">
      <x:c r="A10" s="6" t="s">
        <x:v>11</x:v>
      </x:c>
      <x:c r="B10" s="6" t="s">
        <x:v>55</x:v>
      </x:c>
      <x:c r="C10" s="6" t="s">
        <x:v>13</x:v>
      </x:c>
      <x:c r="D10" s="7" t="str">
        <x:f xml:space="preserve">HYPERLINK("https://www.infonalia.es/adjudicaciones1125/25213959.pdf","www.infonalia.es/adjudicaciones1125/25213959.pdf")</x:f>
        <x:v>www.infonalia.es/adjudicaciones1125/25213959.pdf</x:v>
      </x:c>
      <x:c r="E10" s="8" t="s">
        <x:v>56</x:v>
      </x:c>
      <x:c r="F10" s="6" t="s">
        <x:v>57</x:v>
      </x:c>
      <x:c r="G10" s="6" t="s">
        <x:v>58</x:v>
      </x:c>
      <x:c r="H10" s="6" t="s">
        <x:v>59</x:v>
      </x:c>
      <x:c r="I10" s="6" t="s">
        <x:v>34</x:v>
      </x:c>
      <x:c r="J10" s="9" t="n">
        <x:v>110619.02</x:v>
      </x:c>
      <x:c r="K10" s="9" t="n">
        <x:v>110619.02</x:v>
      </x:c>
    </x:row>
    <x:row r="11">
      <x:c r="A11" s="6" t="s">
        <x:v>11</x:v>
      </x:c>
      <x:c r="B11" s="6" t="s">
        <x:v>60</x:v>
      </x:c>
      <x:c r="C11" s="6" t="s">
        <x:v>13</x:v>
      </x:c>
      <x:c r="D11" s="7" t="str">
        <x:f xml:space="preserve">HYPERLINK("https://www.infonalia.es/adjudicaciones1125/25214041.pdf","www.infonalia.es/adjudicaciones1125/25214041.pdf")</x:f>
        <x:v>www.infonalia.es/adjudicaciones1125/25214041.pdf</x:v>
      </x:c>
      <x:c r="E11" s="8" t="s">
        <x:v>61</x:v>
      </x:c>
      <x:c r="F11" s="6" t="s">
        <x:v>62</x:v>
      </x:c>
      <x:c r="G11" s="6" t="s">
        <x:v>63</x:v>
      </x:c>
      <x:c r="H11" s="6" t="s">
        <x:v>64</x:v>
      </x:c>
      <x:c r="I11" s="6" t="s">
        <x:v>34</x:v>
      </x:c>
      <x:c r="J11" s="9" t="n">
        <x:v>1652892.56</x:v>
      </x:c>
      <x:c r="K11" s="9" t="n">
        <x:v>1652892.56</x:v>
      </x:c>
    </x:row>
    <x:row r="12">
      <x:c r="A12" s="6" t="s">
        <x:v>11</x:v>
      </x:c>
      <x:c r="B12" s="6" t="s">
        <x:v>65</x:v>
      </x:c>
      <x:c r="C12" s="6" t="s">
        <x:v>13</x:v>
      </x:c>
      <x:c r="D12" s="7" t="str">
        <x:f xml:space="preserve">HYPERLINK("https://www.infonalia.es/adjudicaciones1125/25214042.pdf","www.infonalia.es/adjudicaciones1125/25214042.pdf")</x:f>
        <x:v>www.infonalia.es/adjudicaciones1125/25214042.pdf</x:v>
      </x:c>
      <x:c r="E12" s="8" t="s">
        <x:v>66</x:v>
      </x:c>
      <x:c r="F12" s="6" t="s">
        <x:v>62</x:v>
      </x:c>
      <x:c r="G12" s="6" t="s">
        <x:v>67</x:v>
      </x:c>
      <x:c r="H12" s="6" t="s">
        <x:v>68</x:v>
      </x:c>
      <x:c r="I12" s="6" t="s">
        <x:v>34</x:v>
      </x:c>
      <x:c r="J12" s="9" t="n">
        <x:v>363636.00</x:v>
      </x:c>
      <x:c r="K12" s="9" t="n">
        <x:v>363636.00</x:v>
      </x:c>
    </x:row>
    <x:row r="13">
      <x:c r="A13" s="6" t="s">
        <x:v>11</x:v>
      </x:c>
      <x:c r="B13" s="6" t="s">
        <x:v>69</x:v>
      </x:c>
      <x:c r="C13" s="6" t="s">
        <x:v>13</x:v>
      </x:c>
      <x:c r="D13" s="7" t="str">
        <x:f xml:space="preserve">HYPERLINK("https://www.infonalia.es/adjudicaciones1125/25214065.pdf","www.infonalia.es/adjudicaciones1125/25214065.pdf")</x:f>
        <x:v>www.infonalia.es/adjudicaciones1125/25214065.pdf</x:v>
      </x:c>
      <x:c r="E13" s="8" t="s">
        <x:v>70</x:v>
      </x:c>
      <x:c r="F13" s="6" t="s">
        <x:v>62</x:v>
      </x:c>
      <x:c r="G13" s="6" t="s">
        <x:v>71</x:v>
      </x:c>
      <x:c r="H13" s="6" t="s">
        <x:v>72</x:v>
      </x:c>
      <x:c r="I13" s="6" t="s">
        <x:v>34</x:v>
      </x:c>
      <x:c r="J13" s="9" t="n">
        <x:v>808364.66</x:v>
      </x:c>
      <x:c r="K13" s="9" t="n">
        <x:v>860000.00</x:v>
      </x:c>
    </x:row>
    <x:row r="14">
      <x:c r="A14" s="6" t="s">
        <x:v>11</x:v>
      </x:c>
      <x:c r="B14" s="6" t="s">
        <x:v>73</x:v>
      </x:c>
      <x:c r="C14" s="6" t="s">
        <x:v>13</x:v>
      </x:c>
      <x:c r="D14" s="7" t="str">
        <x:f xml:space="preserve">HYPERLINK("https://www.infonalia.es/adjudicaciones1125/25214102.pdf","www.infonalia.es/adjudicaciones1125/25214102.pdf")</x:f>
        <x:v>www.infonalia.es/adjudicaciones1125/25214102.pdf</x:v>
      </x:c>
      <x:c r="E14" s="8" t="s">
        <x:v>74</x:v>
      </x:c>
      <x:c r="F14" s="6" t="s">
        <x:v>75</x:v>
      </x:c>
      <x:c r="G14" s="6" t="s">
        <x:v>76</x:v>
      </x:c>
      <x:c r="H14" s="6" t="s">
        <x:v>77</x:v>
      </x:c>
      <x:c r="I14" s="6" t="s">
        <x:v>34</x:v>
      </x:c>
      <x:c r="J14" s="9" t="n">
        <x:v>7324.00</x:v>
      </x:c>
      <x:c r="K14" s="9" t="n">
        <x:v>8757.50</x:v>
      </x:c>
    </x:row>
    <x:row r="15">
      <x:c r="A15" s="6" t="s">
        <x:v>11</x:v>
      </x:c>
      <x:c r="B15" s="6" t="s">
        <x:v>78</x:v>
      </x:c>
      <x:c r="C15" s="6" t="s">
        <x:v>13</x:v>
      </x:c>
      <x:c r="D15" s="7" t="str">
        <x:f xml:space="preserve">HYPERLINK("https://www.infonalia.es/adjudicaciones1125/25214111.pdf","www.infonalia.es/adjudicaciones1125/25214111.pdf")</x:f>
        <x:v>www.infonalia.es/adjudicaciones1125/25214111.pdf</x:v>
      </x:c>
      <x:c r="E15" s="8" t="s">
        <x:v>79</x:v>
      </x:c>
      <x:c r="F15" s="6" t="s">
        <x:v>80</x:v>
      </x:c>
      <x:c r="G15" s="6" t="s">
        <x:v>81</x:v>
      </x:c>
      <x:c r="H15" s="6" t="s">
        <x:v>82</x:v>
      </x:c>
      <x:c r="I15" s="6" t="s">
        <x:v>34</x:v>
      </x:c>
      <x:c r="J15" s="9" t="n">
        <x:v>37976.40</x:v>
      </x:c>
      <x:c r="K15" s="9" t="n">
        <x:v>37976.40</x:v>
      </x:c>
    </x:row>
    <x:row r="16">
      <x:c r="A16" s="6" t="s">
        <x:v>11</x:v>
      </x:c>
      <x:c r="B16" s="6" t="s">
        <x:v>83</x:v>
      </x:c>
      <x:c r="C16" s="6" t="s">
        <x:v>13</x:v>
      </x:c>
      <x:c r="D16" s="7" t="str">
        <x:f xml:space="preserve">HYPERLINK("https://www.infonalia.es/adjudicaciones1125/25214189.pdf","www.infonalia.es/adjudicaciones1125/25214189.pdf")</x:f>
        <x:v>www.infonalia.es/adjudicaciones1125/25214189.pdf</x:v>
      </x:c>
      <x:c r="E16" s="8" t="s">
        <x:v>84</x:v>
      </x:c>
      <x:c r="F16" s="6" t="s">
        <x:v>80</x:v>
      </x:c>
      <x:c r="G16" s="6" t="s">
        <x:v>85</x:v>
      </x:c>
      <x:c r="H16" s="6" t="s">
        <x:v>86</x:v>
      </x:c>
      <x:c r="I16" s="6" t="s">
        <x:v>34</x:v>
      </x:c>
      <x:c r="J16" s="9" t="n">
        <x:v>66115.70</x:v>
      </x:c>
      <x:c r="K16" s="9" t="n">
        <x:v>66115.70</x:v>
      </x:c>
    </x:row>
    <x:row r="17">
      <x:c r="A17" s="6" t="s">
        <x:v>11</x:v>
      </x:c>
      <x:c r="B17" s="6" t="s">
        <x:v>87</x:v>
      </x:c>
      <x:c r="C17" s="6" t="s">
        <x:v>13</x:v>
      </x:c>
      <x:c r="D17" s="7" t="str">
        <x:f xml:space="preserve">HYPERLINK("https://www.infonalia.es/adjudicaciones1125/25214216.pdf","www.infonalia.es/adjudicaciones1125/25214216.pdf")</x:f>
        <x:v>www.infonalia.es/adjudicaciones1125/25214216.pdf</x:v>
      </x:c>
      <x:c r="E17" s="8" t="s">
        <x:v>88</x:v>
      </x:c>
      <x:c r="F17" s="6" t="s">
        <x:v>89</x:v>
      </x:c>
      <x:c r="G17" s="6" t="s">
        <x:v>90</x:v>
      </x:c>
      <x:c r="H17" s="6" t="s">
        <x:v>91</x:v>
      </x:c>
      <x:c r="I17" s="6" t="s">
        <x:v>92</x:v>
      </x:c>
      <x:c r="J17" s="9" t="n">
        <x:v>921000.00</x:v>
      </x:c>
      <x:c r="K17" s="9" t="n">
        <x:v>921000.00</x:v>
      </x:c>
    </x:row>
    <x:row r="18">
      <x:c r="A18" s="6" t="s">
        <x:v>11</x:v>
      </x:c>
      <x:c r="B18" s="6" t="s">
        <x:v>93</x:v>
      </x:c>
      <x:c r="C18" s="6" t="s">
        <x:v>13</x:v>
      </x:c>
      <x:c r="D18" s="7" t="str">
        <x:f xml:space="preserve">HYPERLINK("https://www.infonalia.es/adjudicaciones1125/25214221.pdf","www.infonalia.es/adjudicaciones1125/25214221.pdf")</x:f>
        <x:v>www.infonalia.es/adjudicaciones1125/25214221.pdf</x:v>
      </x:c>
      <x:c r="E18" s="8" t="s">
        <x:v>94</x:v>
      </x:c>
      <x:c r="F18" s="6" t="s">
        <x:v>80</x:v>
      </x:c>
      <x:c r="G18" s="6" t="s">
        <x:v>95</x:v>
      </x:c>
      <x:c r="H18" s="6" t="s">
        <x:v>96</x:v>
      </x:c>
      <x:c r="I18" s="6" t="s">
        <x:v>34</x:v>
      </x:c>
      <x:c r="J18" s="9" t="n">
        <x:v>984.00</x:v>
      </x:c>
      <x:c r="K18" s="9" t="n">
        <x:v>1476.00</x:v>
      </x:c>
    </x:row>
    <x:row r="19">
      <x:c r="A19" s="6" t="s">
        <x:v>11</x:v>
      </x:c>
      <x:c r="B19" s="6" t="s">
        <x:v>97</x:v>
      </x:c>
      <x:c r="C19" s="6" t="s">
        <x:v>13</x:v>
      </x:c>
      <x:c r="D19" s="7" t="str">
        <x:f xml:space="preserve">HYPERLINK("https://www.infonalia.es/adjudicaciones1125/25214293.pdf","www.infonalia.es/adjudicaciones1125/25214293.pdf")</x:f>
        <x:v>www.infonalia.es/adjudicaciones1125/25214293.pdf</x:v>
      </x:c>
      <x:c r="E19" s="8" t="s">
        <x:v>98</x:v>
      </x:c>
      <x:c r="F19" s="6" t="s">
        <x:v>99</x:v>
      </x:c>
      <x:c r="G19" s="6" t="s">
        <x:v>100</x:v>
      </x:c>
      <x:c r="H19" s="6" t="s">
        <x:v>101</x:v>
      </x:c>
      <x:c r="I19" s="6" t="s">
        <x:v>18</x:v>
      </x:c>
      <x:c r="J19" s="9" t="s">
        <x:v>19</x:v>
      </x:c>
      <x:c r="K19" s="9" t="n">
        <x:v>50000.00</x:v>
      </x:c>
    </x:row>
    <x:row r="20">
      <x:c r="A20" s="6" t="s">
        <x:v>102</x:v>
      </x:c>
      <x:c r="B20" s="6" t="s">
        <x:v>103</x:v>
      </x:c>
      <x:c r="C20" s="6" t="s">
        <x:v>13</x:v>
      </x:c>
      <x:c r="D20" s="7" t="str">
        <x:f xml:space="preserve">HYPERLINK("https://www.infonalia.es/adjudicaciones1125/25214353.pdf","www.infonalia.es/adjudicaciones1125/25214353.pdf")</x:f>
        <x:v>www.infonalia.es/adjudicaciones1125/25214353.pdf</x:v>
      </x:c>
      <x:c r="E20" s="8" t="s">
        <x:v>104</x:v>
      </x:c>
      <x:c r="F20" s="6" t="s">
        <x:v>105</x:v>
      </x:c>
      <x:c r="G20" s="6" t="s">
        <x:v>106</x:v>
      </x:c>
      <x:c r="H20" s="6" t="s">
        <x:v>107</x:v>
      </x:c>
      <x:c r="I20" s="6" t="s">
        <x:v>108</x:v>
      </x:c>
      <x:c r="J20" s="9" t="s">
        <x:v>19</x:v>
      </x:c>
      <x:c r="K20" s="9" t="n">
        <x:v>850.00</x:v>
      </x:c>
    </x:row>
    <x:row r="21">
      <x:c r="A21" s="6" t="s">
        <x:v>11</x:v>
      </x:c>
      <x:c r="B21" s="6" t="s">
        <x:v>109</x:v>
      </x:c>
      <x:c r="C21" s="6" t="s">
        <x:v>13</x:v>
      </x:c>
      <x:c r="D21" s="7" t="str">
        <x:f xml:space="preserve">HYPERLINK("https://www.infonalia.es/adjudicaciones1125/25214437.pdf","www.infonalia.es/adjudicaciones1125/25214437.pdf")</x:f>
        <x:v>www.infonalia.es/adjudicaciones1125/25214437.pdf</x:v>
      </x:c>
      <x:c r="E21" s="8" t="s">
        <x:v>110</x:v>
      </x:c>
      <x:c r="F21" s="6" t="s">
        <x:v>111</x:v>
      </x:c>
      <x:c r="G21" s="6" t="s">
        <x:v>112</x:v>
      </x:c>
      <x:c r="H21" s="6" t="s">
        <x:v>113</x:v>
      </x:c>
      <x:c r="I21" s="6" t="s">
        <x:v>34</x:v>
      </x:c>
      <x:c r="J21" s="9" t="n">
        <x:v>125496.62</x:v>
      </x:c>
      <x:c r="K21" s="9" t="n">
        <x:v>162140.33</x:v>
      </x:c>
    </x:row>
    <x:row r="22">
      <x:c r="A22" s="6" t="s">
        <x:v>114</x:v>
      </x:c>
      <x:c r="B22" s="6" t="s">
        <x:v>115</x:v>
      </x:c>
      <x:c r="C22" s="6" t="s">
        <x:v>13</x:v>
      </x:c>
      <x:c r="D22" s="7" t="str">
        <x:f xml:space="preserve">HYPERLINK("https://www.infonalia.es/adjudicaciones1125/25214447.pdf","www.infonalia.es/adjudicaciones1125/25214447.pdf")</x:f>
        <x:v>www.infonalia.es/adjudicaciones1125/25214447.pdf</x:v>
      </x:c>
      <x:c r="E22" s="8" t="s">
        <x:v>116</x:v>
      </x:c>
      <x:c r="F22" s="6" t="s">
        <x:v>117</x:v>
      </x:c>
      <x:c r="G22" s="6" t="s">
        <x:v>118</x:v>
      </x:c>
      <x:c r="H22" s="6" t="s">
        <x:v>119</x:v>
      </x:c>
      <x:c r="I22" s="6" t="s">
        <x:v>34</x:v>
      </x:c>
      <x:c r="J22" s="9" t="n">
        <x:v>123856.39</x:v>
      </x:c>
      <x:c r="K22" s="9" t="n">
        <x:v>127687.00</x:v>
      </x:c>
    </x:row>
    <x:row r="23">
      <x:c r="A23" s="6" t="s">
        <x:v>11</x:v>
      </x:c>
      <x:c r="B23" s="6" t="s">
        <x:v>120</x:v>
      </x:c>
      <x:c r="C23" s="6" t="s">
        <x:v>13</x:v>
      </x:c>
      <x:c r="D23" s="7" t="str">
        <x:f xml:space="preserve">HYPERLINK("https://www.infonalia.es/adjudicaciones1125/25214556.pdf","www.infonalia.es/adjudicaciones1125/25214556.pdf")</x:f>
        <x:v>www.infonalia.es/adjudicaciones1125/25214556.pdf</x:v>
      </x:c>
      <x:c r="E23" s="8" t="s">
        <x:v>121</x:v>
      </x:c>
      <x:c r="F23" s="6" t="s">
        <x:v>122</x:v>
      </x:c>
      <x:c r="G23" s="6" t="s">
        <x:v>123</x:v>
      </x:c>
      <x:c r="H23" s="6" t="s">
        <x:v>124</x:v>
      </x:c>
      <x:c r="I23" s="6" t="s">
        <x:v>18</x:v>
      </x:c>
      <x:c r="J23" s="9" t="n">
        <x:v>199440.00</x:v>
      </x:c>
      <x:c r="K23" s="9" t="n">
        <x:v>997200.00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