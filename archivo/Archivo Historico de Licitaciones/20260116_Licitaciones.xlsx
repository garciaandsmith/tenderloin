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<x:sst xmlns:x="http://schemas.openxmlformats.org/spreadsheetml/2006/main" count="17" uniqueCount="17">
  <x:si>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</x:si>
  <x:si>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</x:si>
  <x:si>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</x:si>
  <x:si>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</x:si>
  <x:si>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</x:si>
  <x:si>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</x:si>
  <x:si>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</x:si>
  <x:si>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</x:si>
  <x:si>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</x:si>
  <x:si>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</x:si>
  <x:si>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</x:si>
  <x:si>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</x:si>
  <x:si>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</x:si>
  <x:si>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</x:si>
  <x:si>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</x:si>
  <x:si>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</x:si>
  <x:si>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</x:si>
  <x:si>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</x:si>
  <x:si>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</x:si>
  <x:si>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29/01/2026</x:t>
  </x:si>
  <x:si>
    <x:t>2026003983</x:t>
  </x:si>
  <x:si>
    <x:t>16/01/2026</x:t>
  </x:si>
  <x:si>
    <x:t>DIRECCIÓN GENERAL DE RENFE VIAJEROS SOCIEDAD MERCANTIL ESTATAL, S.A</x:t>
  </x:si>
  <x:si>
    <x:t>Servicios de impresión y producción gráfica para campañas comerciales e informativas</x:t>
  </x:si>
  <x:si>
    <x:t>2025-04415</x:t>
  </x:si>
  <x:si>
    <x:t>Importe sin impuestos</x:t>
  </x:si>
  <x:si>
    <x:t/>
  </x:si>
  <x:si>
    <x:t>-----</x:t>
  </x:si>
  <x:si>
    <x:t>15/01/2026</x:t>
  </x:si>
  <x:si>
    <x:t/>
  </x:si>
  <x:si>
    <x:t>Madrid</x:t>
  </x:si>
  <x:si>
    <x:t>2026003991</x:t>
  </x:si>
  <x:si>
    <x:t>CONSORCI INSTITUT CATALÀ D'AVALUACIÓ DE POLÍTIQUES PÚBLIQUES (IVÀLUA)</x:t>
  </x:si>
  <x:si>
    <x:t>Servicio de diseño gráfico de los elementos comunicativos y de difusión de las actividades de Ivalua</x:t>
  </x:si>
  <x:si>
    <x:t>IVÀLUA-2026-6</x:t>
  </x:si>
  <x:si>
    <x:t/>
  </x:si>
  <x:si>
    <x:t>Catalunya</x:t>
  </x:si>
  <x:si>
    <x:t>30/01/2026</x:t>
  </x:si>
  <x:si>
    <x:t>2026004020</x:t>
  </x:si>
  <x:si>
    <x:t>MADRID DESTINO CULTURA TURISMO Y NEGOCIO, S.A</x:t>
  </x:si>
  <x:si>
    <x:t>Servicio de refuerzo de gestor de operaciones y personal de apoyo operativo con motivo de la actividad cultural Semana Santa 2026, a desarrollar por Madrid Destino</x:t>
  </x:si>
  <x:si>
    <x:t>SP25-00600</x:t>
  </x:si>
  <x:si>
    <x:t/>
  </x:si>
  <x:si>
    <x:t>03/02/2026</x:t>
  </x:si>
  <x:si>
    <x:t>2026004145</x:t>
  </x:si>
  <x:si>
    <x:t>DIRECCIÓN GENERAL DE LA FUNDACIÓN GENERAL DE LA UNIVERSIDAD COMPLUTENSE DE MADRID, M.P</x:t>
  </x:si>
  <x:si>
    <x:t>Servicio de impresión, diseño, maquetación, edición y entrega de material de papelería y de imagen corporativa para la Fundación General de la UCM</x:t>
  </x:si>
  <x:si>
    <x:t>2026/FGUCM01</x:t>
  </x:si>
  <x:si>
    <x:t/>
  </x:si>
  <x:si>
    <x:t>Catalunya - Plataforma de Contratación</x:t>
  </x:si>
  <x:si>
    <x:t>22/01/2026</x:t>
  </x:si>
  <x:si>
    <x:t>2026004221</x:t>
  </x:si>
  <x:si>
    <x:t>CONSEJO COMARCAL DE LA RIBERA DE EBRO (TARRAGONA)</x:t>
  </x:si>
  <x:si>
    <x:t>Contrato de servicios 22-01 Plan de comunicación digital Ribera d'Ebre VIVA (TC-03/25)</x:t>
  </x:si>
  <x:si>
    <x:t>1.653/2025</x:t>
  </x:si>
  <x:si>
    <x:t>IVA excluido</x:t>
  </x:si>
  <x:si>
    <x:t/>
  </x:si>
  <x:si>
    <x:t/>
  </x:si>
  <x:si>
    <x:t>Tarragona</x:t>
  </x:si>
  <x:si>
    <x:t>25/01/2026</x:t>
  </x:si>
  <x:si>
    <x:t>2026004222</x:t>
  </x:si>
  <x:si>
    <x:t>Contrato de servicios para la gestión de las redes sociales de Turismo Ribera d'Ebre y agenda turística web 2026</x:t>
  </x:si>
  <x:si>
    <x:t>1.662/2025</x:t>
  </x:si>
  <x:si>
    <x:t/>
  </x:si>
  <x:si>
    <x:t/>
  </x:si>
  <x:si>
    <x:t>20/01/2026</x:t>
  </x:si>
  <x:si>
    <x:t>2026004224</x:t>
  </x:si>
  <x:si>
    <x:t>AYUNTAMIENTO DE SALOU (TARRAGONA)</x:t>
  </x:si>
  <x:si>
    <x:t>Contratación menor del servicio auxiliar para el lanzamiento de confeti, mediante 55 personas, desde las torres de confeti con motivo de la celebración del Cós Blanc de Salou 2026</x:t>
  </x:si>
  <x:si>
    <x:t>299/2026</x:t>
  </x:si>
  <x:si>
    <x:t/>
  </x:si>
  <x:si>
    <x:t/>
  </x:si>
  <x:si>
    <x:t>Barcelona. Perfil del Contratante del Ayuntamiento</x:t>
  </x:si>
  <x:si>
    <x:t>2026004240</x:t>
  </x:si>
  <x:si>
    <x:t>INFORMACIO I COMUNICACIO DE BARCELONA, SA, SPM</x:t>
  </x:si>
  <x:si>
    <x:t>Servicio de Realización remota para la producción especial de Media Maratón de Barcelona.</x:t>
  </x:si>
  <x:si>
    <x:t>016/260046</x:t>
  </x:si>
  <x:si>
    <x:t/>
  </x:si>
  <x:si>
    <x:t/>
  </x:si>
  <x:si>
    <x:t>Barcelona</x:t>
  </x:si>
  <x:si>
    <x:t>NSPA-Agencia de Apoyo y Adquisiciones de la OTAN</x:t>
  </x:si>
  <x:si>
    <x:t>26/05/2026</x:t>
  </x:si>
  <x:si>
    <x:t>2026004282</x:t>
  </x:si>
  <x:si>
    <x:t>NSPA-AGENCIA DE APOYO Y ADQUISICIONES DE LA OTAN</x:t>
  </x:si>
  <x:si>
    <x:t>11.ª Conferencia sobre equipos de vigilancia con visión nocturna (NVSE) / Jornada de la industria</x:t>
  </x:si>
  <x:si>
    <x:t>26LMM001</x:t>
  </x:si>
  <x:si>
    <x:t>No consta</x:t>
  </x:si>
  <x:si>
    <x:t/>
  </x:si>
  <x:si>
    <x:t>14/01/2026</x:t>
  </x:si>
  <x:si>
    <x:t/>
  </x:si>
  <x:si>
    <x:t>Ver pliegos</x:t>
  </x:si>
  <x:si>
    <x:t>DOUE - Diario Oficial de la Unión Europea (S)</x:t>
  </x:si>
  <x:si>
    <x:t>2026004324</x:t>
  </x:si>
  <x:si>
    <x:t>DIPUTACIÓN DE BARCELONA</x:t>
  </x:si>
  <x:si>
    <x:t>Servicios de publicidad</x:t>
  </x:si>
  <x:si>
    <x:t>Anuncio de información previa</x:t>
  </x:si>
  <x:si>
    <x:t>IVA Excluido.</x:t>
  </x:si>
  <x:si>
    <x:t>Fecha prevista de publicación de un anuncio de licitación en el marco del presente procedimiento: 01/04/2026</x:t>
  </x:si>
  <x:si>
    <x:t>10</x:t>
  </x:si>
  <x:si>
    <x:t/>
  </x:si>
  <x:si>
    <x:t>2026004348</x:t>
  </x:si>
  <x:si>
    <x:t>Producción exposición cartografía.</x:t>
  </x:si>
  <x:si>
    <x:t>Fecha prevista de publicación de un anuncio de licitación en el marco del presente procedimiento: 01/03/2026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</x:si>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</x:sst>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430991.00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HYPERLINK("https://contrataciondelestado.es/wps/poc?uri=deeplink:detalle_licitacion&amp;idEvl=XM%2B7C1tChyGFlFRHfEzEaw%3D%3D","contrataciondelestado.es/wps/poc?uri=deeplink:detalle_licitacion&amp;idEvl=XM%2B7C1tChyGFlFRHfEzEaw%3D%3D")</x:f>
        <x:v>contrataciondelestado.es/wps/poc?uri=deeplink:detalle_licitacion&amp;idEvl=XM%2B7C1tChyGFlFRHfEzEaw%3D%3D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HYPERLINK("https://www.infonalia.es/licitaciones0126/2026003983.pdf","www.infonalia.es/licitaciones0126/2026003983.pdf")</x:f>
        <x:v>www.infonalia.es/licitaciones0126/2026003983.pdf</x:v>
      </x:c>
    </x:row>
    <x:row r="3">
      <x:c r="A3" s="6" t="s">
        <x:v>17</x:v>
      </x:c>
      <x:c r="B3" s="6" t="s">
        <x:v>18</x:v>
      </x:c>
      <x:c r="C3" s="7" t="s">
        <x:v>19</x:v>
      </x:c>
      <x:c r="D3" s="8" t="s">
        <x:v>31</x:v>
      </x:c>
      <x:c r="E3" s="9" t="s">
        <x:v>21</x:v>
      </x:c>
      <x:c r="F3" s="6" t="s">
        <x:v>32</x:v>
      </x:c>
      <x:c r="G3" s="6" t="s">
        <x:v>33</x:v>
      </x:c>
      <x:c r="H3" s="6" t="s">
        <x:v>34</x:v>
      </x:c>
      <x:c r="I3" s="10" t="n">
        <x:v>18007.00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HYPERLINK("https://contractaciopublica.cat/ca/detall-publicacio/a16b5549-a11f-43d0-b34c-e5d6e64d2515/300667502","contractaciopublica.cat/ca/detall-publicacio/a16b5549-a11f-43d0-b34c-e5d6e64d2515/300667502")</x:f>
        <x:v>contractaciopublica.cat/ca/detall-publicacio/a16b5549-a11f-43d0-b34c-e5d6e64d2515/300667502</x:v>
      </x:c>
      <x:c r="M3" s="11" t="s">
        <x:v>27</x:v>
      </x:c>
      <x:c r="N3" s="13" t="s">
        <x:v>28</x:v>
      </x:c>
      <x:c r="O3" s="11" t="s">
        <x:v>35</x:v>
      </x:c>
      <x:c r="P3" s="11" t="s">
        <x:v>36</x:v>
      </x:c>
      <x:c r="Q3" s="14" t="str">
        <x:f xml:space="preserve">HYPERLINK("https://www.infonalia.es/licitaciones0126/2026003991.pdf","www.infonalia.es/licitaciones0126/2026003991.pdf")</x:f>
        <x:v>www.infonalia.es/licitaciones0126/2026003991.pdf</x:v>
      </x:c>
    </x:row>
    <x:row r="4">
      <x:c r="A4" s="6" t="s">
        <x:v>17</x:v>
      </x:c>
      <x:c r="B4" s="6" t="s">
        <x:v>18</x:v>
      </x:c>
      <x:c r="C4" s="7" t="s">
        <x:v>37</x:v>
      </x:c>
      <x:c r="D4" s="8" t="s">
        <x:v>38</x:v>
      </x:c>
      <x:c r="E4" s="9" t="s">
        <x:v>21</x:v>
      </x:c>
      <x:c r="F4" s="6" t="s">
        <x:v>39</x:v>
      </x:c>
      <x:c r="G4" s="6" t="s">
        <x:v>40</x:v>
      </x:c>
      <x:c r="H4" s="6" t="s">
        <x:v>41</x:v>
      </x:c>
      <x:c r="I4" s="10" t="n">
        <x:v>59994.00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HYPERLINK("https://contrataciondelestado.es/wps/poc?uri=deeplink:detalle_licitacion&amp;idEvl=r9GM%2F7TAiBx9PLkba5eRog%3D%3D","contrataciondelestado.es/wps/poc?uri=deeplink:detalle_licitacion&amp;idEvl=r9GM%2F7TAiBx9PLkba5eRog%3D%3D")</x:f>
        <x:v>contrataciondelestado.es/wps/poc?uri=deeplink:detalle_licitacion&amp;idEvl=r9GM%2F7TAiBx9PLkba5eRog%3D%3D</x:v>
      </x:c>
      <x:c r="M4" s="11" t="s">
        <x:v>27</x:v>
      </x:c>
      <x:c r="N4" s="13" t="s">
        <x:v>28</x:v>
      </x:c>
      <x:c r="O4" s="11" t="s">
        <x:v>42</x:v>
      </x:c>
      <x:c r="P4" s="11" t="s">
        <x:v>30</x:v>
      </x:c>
      <x:c r="Q4" s="14" t="str">
        <x:f xml:space="preserve">HYPERLINK("https://www.infonalia.es/licitaciones0126/2026004020.pdf","www.infonalia.es/licitaciones0126/2026004020.pdf")</x:f>
        <x:v>www.infonalia.es/licitaciones0126/2026004020.pdf</x:v>
      </x:c>
    </x:row>
    <x:row r="5">
      <x:c r="A5" s="6" t="s">
        <x:v>17</x:v>
      </x:c>
      <x:c r="B5" s="6" t="s">
        <x:v>18</x:v>
      </x:c>
      <x:c r="C5" s="7" t="s">
        <x:v>43</x:v>
      </x:c>
      <x:c r="D5" s="8" t="s">
        <x:v>44</x:v>
      </x:c>
      <x:c r="E5" s="9" t="s">
        <x:v>21</x:v>
      </x:c>
      <x:c r="F5" s="6" t="s">
        <x:v>45</x:v>
      </x:c>
      <x:c r="G5" s="6" t="s">
        <x:v>46</x:v>
      </x:c>
      <x:c r="H5" s="6" t="s">
        <x:v>47</x:v>
      </x:c>
      <x:c r="I5" s="10" t="n">
        <x:v>70000.00</x:v>
      </x:c>
      <x:c r="J5" s="11" t="s">
        <x:v>25</x:v>
      </x:c>
      <x:c r="K5" s="11" t="s">
        <x:v>26</x:v>
      </x:c>
      <x:c r="L5" s="12" t="str">
        <x:f xml:space="preserve">HYPERLINK("https://contrataciondelestado.es/wps/poc?uri=deeplink:detalle_licitacion&amp;idEvl=AstqKh6ECwGsNfRW6APEDw%3D%3D","contrataciondelestado.es/wps/poc?uri=deeplink:detalle_licitacion&amp;idEvl=AstqKh6ECwGsNfRW6APEDw%3D%3D")</x:f>
        <x:v>contrataciondelestado.es/wps/poc?uri=deeplink:detalle_licitacion&amp;idEvl=AstqKh6ECwGsNfRW6APEDw%3D%3D</x:v>
      </x:c>
      <x:c r="M5" s="11" t="s">
        <x:v>27</x:v>
      </x:c>
      <x:c r="N5" s="13" t="s">
        <x:v>28</x:v>
      </x:c>
      <x:c r="O5" s="11" t="s">
        <x:v>48</x:v>
      </x:c>
      <x:c r="P5" s="11" t="s">
        <x:v>30</x:v>
      </x:c>
      <x:c r="Q5" s="14" t="str">
        <x:f xml:space="preserve">HYPERLINK("https://www.infonalia.es/licitaciones0126/2026004145.pdf","www.infonalia.es/licitaciones0126/2026004145.pdf")</x:f>
        <x:v>www.infonalia.es/licitaciones0126/2026004145.pdf</x:v>
      </x:c>
    </x:row>
    <x:row r="6">
      <x:c r="A6" s="6" t="s">
        <x:v>17</x:v>
      </x:c>
      <x:c r="B6" s="6" t="s">
        <x:v>49</x:v>
      </x:c>
      <x:c r="C6" s="7" t="s">
        <x:v>50</x:v>
      </x:c>
      <x:c r="D6" s="8" t="s">
        <x:v>51</x:v>
      </x:c>
      <x:c r="E6" s="9" t="s">
        <x:v>21</x:v>
      </x:c>
      <x:c r="F6" s="6" t="s">
        <x:v>52</x:v>
      </x:c>
      <x:c r="G6" s="6" t="s">
        <x:v>53</x:v>
      </x:c>
      <x:c r="H6" s="6" t="s">
        <x:v>54</x:v>
      </x:c>
      <x:c r="I6" s="10" t="n">
        <x:v>11157.02</x:v>
      </x:c>
      <x:c r="J6" s="11" t="s">
        <x:v>55</x:v>
      </x:c>
      <x:c r="K6" s="11" t="s">
        <x:v>56</x:v>
      </x:c>
      <x:c r="L6" s="12" t="str">
        <x:f xml:space="preserve">HYPERLINK("https://contractaciopublica.cat/es/detall-publicacio/300667030","contractaciopublica.cat/es/detall-publicacio/300667030")</x:f>
        <x:v>contractaciopublica.cat/es/detall-publicacio/300667030</x:v>
      </x:c>
      <x:c r="M6" s="11" t="s">
        <x:v>27</x:v>
      </x:c>
      <x:c r="N6" s="13" t="s">
        <x:v>28</x:v>
      </x:c>
      <x:c r="O6" s="11" t="s">
        <x:v>57</x:v>
      </x:c>
      <x:c r="P6" s="11" t="s">
        <x:v>58</x:v>
      </x:c>
      <x:c r="Q6" s="14" t="str">
        <x:f xml:space="preserve">HYPERLINK("https://www.infonalia.es/licitaciones0126/2026004221.pdf","www.infonalia.es/licitaciones0126/2026004221.pdf")</x:f>
        <x:v>www.infonalia.es/licitaciones0126/2026004221.pdf</x:v>
      </x:c>
    </x:row>
    <x:row r="7">
      <x:c r="A7" s="6" t="s">
        <x:v>17</x:v>
      </x:c>
      <x:c r="B7" s="6" t="s">
        <x:v>49</x:v>
      </x:c>
      <x:c r="C7" s="7" t="s">
        <x:v>59</x:v>
      </x:c>
      <x:c r="D7" s="8" t="s">
        <x:v>60</x:v>
      </x:c>
      <x:c r="E7" s="9" t="s">
        <x:v>21</x:v>
      </x:c>
      <x:c r="F7" s="6" t="s">
        <x:v>52</x:v>
      </x:c>
      <x:c r="G7" s="6" t="s">
        <x:v>61</x:v>
      </x:c>
      <x:c r="H7" s="6" t="s">
        <x:v>62</x:v>
      </x:c>
      <x:c r="I7" s="10" t="n">
        <x:v>5785.12</x:v>
      </x:c>
      <x:c r="J7" s="11" t="s">
        <x:v>55</x:v>
      </x:c>
      <x:c r="K7" s="11" t="s">
        <x:v>63</x:v>
      </x:c>
      <x:c r="L7" s="12" t="str">
        <x:f xml:space="preserve">HYPERLINK("https://contractaciopublica.cat/es/detall-publicacio/300667055","contractaciopublica.cat/es/detall-publicacio/300667055")</x:f>
        <x:v>contractaciopublica.cat/es/detall-publicacio/300667055</x:v>
      </x:c>
      <x:c r="M7" s="11" t="s">
        <x:v>27</x:v>
      </x:c>
      <x:c r="N7" s="13" t="s">
        <x:v>28</x:v>
      </x:c>
      <x:c r="O7" s="11" t="s">
        <x:v>64</x:v>
      </x:c>
      <x:c r="P7" s="11" t="s">
        <x:v>58</x:v>
      </x:c>
      <x:c r="Q7" s="14" t="str">
        <x:f xml:space="preserve">HYPERLINK("https://www.infonalia.es/licitaciones0126/2026004222.pdf","www.infonalia.es/licitaciones0126/2026004222.pdf")</x:f>
        <x:v>www.infonalia.es/licitaciones0126/2026004222.pdf</x:v>
      </x:c>
    </x:row>
    <x:row r="8">
      <x:c r="A8" s="6" t="s">
        <x:v>17</x:v>
      </x:c>
      <x:c r="B8" s="6" t="s">
        <x:v>49</x:v>
      </x:c>
      <x:c r="C8" s="7" t="s">
        <x:v>65</x:v>
      </x:c>
      <x:c r="D8" s="8" t="s">
        <x:v>66</x:v>
      </x:c>
      <x:c r="E8" s="9" t="s">
        <x:v>21</x:v>
      </x:c>
      <x:c r="F8" s="6" t="s">
        <x:v>67</x:v>
      </x:c>
      <x:c r="G8" s="6" t="s">
        <x:v>68</x:v>
      </x:c>
      <x:c r="H8" s="6" t="s">
        <x:v>69</x:v>
      </x:c>
      <x:c r="I8" s="10" t="n">
        <x:v>6720.00</x:v>
      </x:c>
      <x:c r="J8" s="11" t="s">
        <x:v>55</x:v>
      </x:c>
      <x:c r="K8" s="11" t="s">
        <x:v>70</x:v>
      </x:c>
      <x:c r="L8" s="12" t="str">
        <x:f xml:space="preserve">HYPERLINK("https://contractaciopublica.cat/es/detall-publicacio/300667246","contractaciopublica.cat/es/detall-publicacio/300667246")</x:f>
        <x:v>contractaciopublica.cat/es/detall-publicacio/300667246</x:v>
      </x:c>
      <x:c r="M8" s="11" t="s">
        <x:v>27</x:v>
      </x:c>
      <x:c r="N8" s="13" t="s">
        <x:v>28</x:v>
      </x:c>
      <x:c r="O8" s="11" t="s">
        <x:v>71</x:v>
      </x:c>
      <x:c r="P8" s="11" t="s">
        <x:v>58</x:v>
      </x:c>
      <x:c r="Q8" s="14" t="str">
        <x:f xml:space="preserve">HYPERLINK("https://www.infonalia.es/licitaciones0126/2026004224.pdf","www.infonalia.es/licitaciones0126/2026004224.pdf")</x:f>
        <x:v>www.infonalia.es/licitaciones0126/2026004224.pdf</x:v>
      </x:c>
    </x:row>
    <x:row r="9">
      <x:c r="A9" s="6" t="s">
        <x:v>17</x:v>
      </x:c>
      <x:c r="B9" s="6" t="s">
        <x:v>72</x:v>
      </x:c>
      <x:c r="C9" s="7" t="s">
        <x:v>65</x:v>
      </x:c>
      <x:c r="D9" s="8" t="s">
        <x:v>73</x:v>
      </x:c>
      <x:c r="E9" s="9" t="s">
        <x:v>21</x:v>
      </x:c>
      <x:c r="F9" s="6" t="s">
        <x:v>74</x:v>
      </x:c>
      <x:c r="G9" s="6" t="s">
        <x:v>75</x:v>
      </x:c>
      <x:c r="H9" s="6" t="s">
        <x:v>76</x:v>
      </x:c>
      <x:c r="I9" s="10" t="n">
        <x:v>14825.00</x:v>
      </x:c>
      <x:c r="J9" s="11" t="s">
        <x:v>25</x:v>
      </x:c>
      <x:c r="K9" s="11" t="s">
        <x:v>77</x:v>
      </x:c>
      <x:c r="L9" s="12" t="str">
        <x:f xml:space="preserve">HYPERLINK("https://licitacions.bcn.cat/licitacion/licitaciones/detalle?id=14403268","licitacions.bcn.cat/licitacion/licitaciones/detalle?id=14403268")</x:f>
        <x:v>licitacions.bcn.cat/licitacion/licitaciones/detalle?id=14403268</x:v>
      </x:c>
      <x:c r="M9" s="11" t="s">
        <x:v>27</x:v>
      </x:c>
      <x:c r="N9" s="13" t="s">
        <x:v>28</x:v>
      </x:c>
      <x:c r="O9" s="11" t="s">
        <x:v>78</x:v>
      </x:c>
      <x:c r="P9" s="11" t="s">
        <x:v>79</x:v>
      </x:c>
      <x:c r="Q9" s="14" t="str">
        <x:f xml:space="preserve">HYPERLINK("https://www.infonalia.es/licitaciones0126/2026004240.pdf","www.infonalia.es/licitaciones0126/2026004240.pdf")</x:f>
        <x:v>www.infonalia.es/licitaciones0126/2026004240.pdf</x:v>
      </x:c>
    </x:row>
    <x:row r="10">
      <x:c r="A10" s="6" t="s">
        <x:v>17</x:v>
      </x:c>
      <x:c r="B10" s="6" t="s">
        <x:v>80</x:v>
      </x:c>
      <x:c r="C10" s="7" t="s">
        <x:v>81</x:v>
      </x:c>
      <x:c r="D10" s="8" t="s">
        <x:v>82</x:v>
      </x:c>
      <x:c r="E10" s="9" t="s">
        <x:v>21</x:v>
      </x:c>
      <x:c r="F10" s="6" t="s">
        <x:v>83</x:v>
      </x:c>
      <x:c r="G10" s="6" t="s">
        <x:v>84</x:v>
      </x:c>
      <x:c r="H10" s="6" t="s">
        <x:v>85</x:v>
      </x:c>
      <x:c r="I10" s="10"/>
      <x:c r="J10" s="11" t="s">
        <x:v>86</x:v>
      </x:c>
      <x:c r="K10" s="11" t="s">
        <x:v>87</x:v>
      </x:c>
      <x:c r="L10" s="12" t="str">
        <x:f xml:space="preserve">HYPERLINK("https://eportal.nspa.nato.int/eProcurement5G/Opportunities/Opportunities/FutureBusinessOpportunityDetails/WmZ1eiHUSs0K_RrUT1BWjg","eportal.nspa.nato.int/eProcurement5G/Opportunities/Opportunities/FutureBusinessOpportunityDetails/WmZ1eiHUSs0K_RrUT1BWjg")</x:f>
        <x:v>eportal.nspa.nato.int/eProcurement5G/Opportunities/Opportunities/FutureBusinessOpportunityDetails/WmZ1eiHUSs0K_RrUT1BWjg</x:v>
      </x:c>
      <x:c r="M10" s="11" t="s">
        <x:v>27</x:v>
      </x:c>
      <x:c r="N10" s="13" t="s">
        <x:v>88</x:v>
      </x:c>
      <x:c r="O10" s="11" t="s">
        <x:v>89</x:v>
      </x:c>
      <x:c r="P10" s="11" t="s">
        <x:v>90</x:v>
      </x:c>
      <x:c r="Q10" s="14" t="str">
        <x:f xml:space="preserve">HYPERLINK("https://www.infonalia.es/licitaciones0126/2026004282.pdf","www.infonalia.es/licitaciones0126/2026004282.pdf")</x:f>
        <x:v>www.infonalia.es/licitaciones0126/2026004282.pdf</x:v>
      </x:c>
    </x:row>
    <x:row r="11">
      <x:c r="A11" s="6" t="s">
        <x:v>17</x:v>
      </x:c>
      <x:c r="B11" s="6" t="s">
        <x:v>91</x:v>
      </x:c>
      <x:c r="C11" s="7" t="s">
        <x:v>26</x:v>
      </x:c>
      <x:c r="D11" s="8" t="s">
        <x:v>92</x:v>
      </x:c>
      <x:c r="E11" s="9" t="s">
        <x:v>21</x:v>
      </x:c>
      <x:c r="F11" s="6" t="s">
        <x:v>93</x:v>
      </x:c>
      <x:c r="G11" s="6" t="s">
        <x:v>94</x:v>
      </x:c>
      <x:c r="H11" s="6" t="s">
        <x:v>95</x:v>
      </x:c>
      <x:c r="I11" s="10" t="n">
        <x:v>224000.00</x:v>
      </x:c>
      <x:c r="J11" s="11" t="s">
        <x:v>96</x:v>
      </x:c>
      <x:c r="K11" s="11" t="s">
        <x:v>97</x:v>
      </x:c>
      <x:c r="L11" s="12" t="str">
        <x:f xml:space="preserve">HYPERLINK("https://","")</x:f>
        <x:v/>
      </x:c>
      <x:c r="M11" s="11" t="s">
        <x:v>98</x:v>
      </x:c>
      <x:c r="N11" s="13" t="s">
        <x:v>28</x:v>
      </x:c>
      <x:c r="O11" s="11" t="s">
        <x:v>99</x:v>
      </x:c>
      <x:c r="P11" s="11" t="s">
        <x:v>79</x:v>
      </x:c>
      <x:c r="Q11" s="14" t="str">
        <x:f xml:space="preserve">HYPERLINK("https://www.infonalia.es/licitaciones0126/2026004324.pdf","www.infonalia.es/licitaciones0126/2026004324.pdf")</x:f>
        <x:v>www.infonalia.es/licitaciones0126/2026004324.pdf</x:v>
      </x:c>
    </x:row>
    <x:row r="12">
      <x:c r="A12" s="6" t="s">
        <x:v>17</x:v>
      </x:c>
      <x:c r="B12" s="6" t="s">
        <x:v>91</x:v>
      </x:c>
      <x:c r="C12" s="7" t="s">
        <x:v>26</x:v>
      </x:c>
      <x:c r="D12" s="8" t="s">
        <x:v>100</x:v>
      </x:c>
      <x:c r="E12" s="9" t="s">
        <x:v>21</x:v>
      </x:c>
      <x:c r="F12" s="6" t="s">
        <x:v>93</x:v>
      </x:c>
      <x:c r="G12" s="6" t="s">
        <x:v>101</x:v>
      </x:c>
      <x:c r="H12" s="6" t="s">
        <x:v>95</x:v>
      </x:c>
      <x:c r="I12" s="10" t="n">
        <x:v>222000.00</x:v>
      </x:c>
      <x:c r="J12" s="11" t="s">
        <x:v>96</x:v>
      </x:c>
      <x:c r="K12" s="11" t="s">
        <x:v>102</x:v>
      </x:c>
      <x:c r="L12" s="12" t="str">
        <x:f xml:space="preserve">HYPERLINK("https://seuelectronica.diba.cat","seuelectronica.diba.cat")</x:f>
        <x:v>seuelectronica.diba.cat</x:v>
      </x:c>
      <x:c r="M12" s="11" t="s">
        <x:v>98</x:v>
      </x:c>
      <x:c r="N12" s="13" t="s">
        <x:v>28</x:v>
      </x:c>
      <x:c r="O12" s="11" t="s">
        <x:v>103</x:v>
      </x:c>
      <x:c r="P12" s="11" t="s">
        <x:v>79</x:v>
      </x:c>
      <x:c r="Q12" s="14" t="str">
        <x:f xml:space="preserve">HYPERLINK("https://www.infonalia.es/licitaciones0126/2026004348.pdf","www.infonalia.es/licitaciones0126/2026004348.pdf")</x:f>
        <x:v>www.infonalia.es/licitaciones0126/2026004348.pdf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