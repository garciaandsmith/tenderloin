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<x:sst xmlns:x="http://schemas.openxmlformats.org/spreadsheetml/2006/main" count="6" uniqueCount="6">
  <x:si>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</x:si>
  <x:si>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</x:si>
  <x:si>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</x:si>
  <x:si>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</x:si>
  <x:si>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</x:si>
  <x:si>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</x:si>
  <x:si>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2025062773</x:t>
  </x:si>
  <x:si>
    <x:t>Aclaración / Ampliación de pliegos</x:t>
  </x:si>
  <x:si>
    <x:t>CONSORCI SANITARI INTEGRAL</x:t>
  </x:si>
  <x:si>
    <x:t>Servicio de consultoría y soporte de comunicación corporativa especializado en comunicación interna y en desarrollo de la marca empleadora para el Consorcio Sanitario Integral (CSI2025062).</x:t>
  </x:si>
  <x:si>
    <x:t>2025171937</x:t>
  </x:si>
  <x:si>
    <x:t>AYUNTAMIENTO DE BERGA (BARCELONA)</x:t>
  </x:si>
  <x:si>
    <x:t>Contrato administrativo de servicio que tiene por objeto una solución digital para la promoción turística de Berga y la fiesta de la patum, para poder determinar la mejor solución existente en el mercado</x:t>
  </x:si>
  <x:si>
    <x:t>2025175846</x:t>
  </x:si>
  <x:si>
    <x:t>COMUNIDAD DE MADRID. CONSEJERÍA DE MEDIO AMBIENTE, AGRICULTURA E INTERIOR CONSEJERÍA DE MEDIO AMBIENTE, AGRICULTURA E INTERIOR</x:t>
  </x:si>
  <x:si>
    <x:t>Coordinación, transporte, montaje, decoración, mantenimiento y desmontaje del Mercado Itinerante de Alimentos de Madrid durante el año 2026 4-G/26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</x:si>
</x:sst>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HYPERLINK("https://www.infonalia.es/modificaciones1225/2025062773.pdf","www.infonalia.es/modificaciones1225/2025062773.pdf")</x:f>
        <x:v>www.infonalia.es/modificaciones1225/2025062773.pdf</x:v>
      </x:c>
      <x:c r="F2" s="5" t="str">
        <x:f xml:space="preserve">HYPERLINK("https://www.infonalia.es/licitaciones0525/2025062773.pdf","www.infonalia.es/licitaciones0525/2025062773.pdf")</x:f>
        <x:v>www.infonalia.es/licitaciones0525/2025062773.pdf</x:v>
      </x:c>
    </x:row>
    <x:row r="3">
      <x:c r="A3" s="3" t="s">
        <x:v>10</x:v>
      </x:c>
      <x:c r="B3" s="4" t="s">
        <x:v>7</x:v>
      </x:c>
      <x:c r="C3" s="4" t="s">
        <x:v>11</x:v>
      </x:c>
      <x:c r="D3" s="4" t="s">
        <x:v>12</x:v>
      </x:c>
      <x:c r="E3" s="5" t="str">
        <x:f xml:space="preserve">HYPERLINK("https://www.infonalia.es/modificaciones1225/2025171937.pdf","www.infonalia.es/modificaciones1225/2025171937.pdf")</x:f>
        <x:v>www.infonalia.es/modificaciones1225/2025171937.pdf</x:v>
      </x:c>
      <x:c r="F3" s="5" t="str">
        <x:f xml:space="preserve">HYPERLINK("https://www.infonalia.es/licitaciones1225/2025171937.pdf","www.infonalia.es/licitaciones1225/2025171937.pdf")</x:f>
        <x:v>www.infonalia.es/licitaciones1225/2025171937.pdf</x:v>
      </x:c>
    </x:row>
    <x:row r="4">
      <x:c r="A4" s="3" t="s">
        <x:v>13</x:v>
      </x:c>
      <x:c r="B4" s="4" t="s">
        <x:v>7</x:v>
      </x:c>
      <x:c r="C4" s="4" t="s">
        <x:v>14</x:v>
      </x:c>
      <x:c r="D4" s="4" t="s">
        <x:v>15</x:v>
      </x:c>
      <x:c r="E4" s="5" t="str">
        <x:f xml:space="preserve">HYPERLINK("https://www.infonalia.es/modificaciones1225/2025175846.pdf","www.infonalia.es/modificaciones1225/2025175846.pdf")</x:f>
        <x:v>www.infonalia.es/modificaciones1225/2025175846.pdf</x:v>
      </x:c>
      <x:c r="F4" s="5" t="str">
        <x:f xml:space="preserve">HYPERLINK("https://www.infonalia.es/licitaciones1225/2025175846.pdf","www.infonalia.es/licitaciones1225/2025175846.pdf")</x:f>
        <x:v>www.infonalia.es/licitaciones1225/2025175846.pdf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