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<x:sst xmlns:x="http://schemas.openxmlformats.org/spreadsheetml/2006/main" count="11" uniqueCount="11">
  <x:si>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</x:si>
  <x:si>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</x:si>
  <x:si>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</x:si>
  <x:si>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</x:si>
  <x:si>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</x:si>
  <x:si>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</x:si>
  <x:si>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</x:si>
  <x:si>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</x:si>
  <x:si>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</x:si>
  <x:si>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</x:si>
  <x:si>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</x:si>
  <x:si>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</x:si>
  <x:si>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WE ARE MARKETING, S.L</x:t>
  </x:si>
  <x:si>
    <x:t>02/12/2025 0:00:00</x:t>
  </x:si>
  <x:si>
    <x:t>25239978</x:t>
  </x:si>
  <x:si>
    <x:t>JEFATURA DE UNIDAD DE MEDIOS INTERNOS -ÁREA DE COMPRAS DE LA COMPAÑÍA ESPAÑOLA DE SEGUROS DE CRÉDITO A LA EXPORTACIÓN S.A., S.M.E. (CESCE)</x:t>
  </x:si>
  <x:si>
    <x:t>Servicio de Marketing tecnológico sobre el ecosistema de soluciones Salesforce para Cesce, S.A</x:t>
  </x:si>
  <x:si>
    <x:t>A44-1025</x:t>
  </x:si>
  <x:si>
    <x:t>Madrid</x:t>
  </x:si>
  <x:si>
    <x:t>METAPRO SOLUCIONES 2000 SL</x:t>
  </x:si>
  <x:si>
    <x:t>25239980</x:t>
  </x:si>
  <x:si>
    <x:t>JUNTA DE GOBIERNO DEL AYUNTAMIENTO DE OVIEDO (ASTURIAS)</x:t>
  </x:si>
  <x:si>
    <x:t>Servicios de asesoría técnica para la implementación de una estrategia del turismo "MICE" para la ciudad de Oviedo, cofinanciado por la Unión Europea-NextGeneratios EU- dentro del plan de transformación, recuperación y resiliencia de la Unión Europea.</x:t>
  </x:si>
  <x:si>
    <x:t>CC2025/152</x:t>
  </x:si>
  <x:si>
    <x:t>Asturias</x:t>
  </x:si>
  <x:si>
    <x:t>GRUPO OTO MEDIA SL</x:t>
  </x:si>
  <x:si>
    <x:t>25240029</x:t>
  </x:si>
  <x:si>
    <x:t>AYUNTAMIENTO DE CASTELLDEFELS (BARCELONA)</x:t>
  </x:si>
  <x:si>
    <x:t>Servicio de gestión de la publicidad en los medios de comunicación municipal del Ayuntamiento de Castelldefels: - Gestión del servicio de publicidad en la revista municipal el Castell. - Gestión del servicio de publicidad en la emisora Ràdio Castelldefels. - Gestión del servicio de publicidad de la pantalla exterior de la plaza de la Iglesia</x:t>
  </x:si>
  <x:si>
    <x:t>CONTRACTACIO-SERV/2024000076</x:t>
  </x:si>
  <x:si>
    <x:t>Barcelona</x:t>
  </x:si>
  <x:si>
    <x:t>GSG METRICS S.L</x:t>
  </x:si>
  <x:si>
    <x:t>25240126</x:t>
  </x:si>
  <x:si>
    <x:t>MINISTERIO DE DEFENSA. SUBDIRECCIÓN GENERAL DE SERVICIOS ECONÓMICOS Y PAGADURÍAS</x:t>
  </x:si>
  <x:si>
    <x:t>Servicios complementarios para apoyar la selección de personal laboral fijo en los grupos profesionales M3, M2, M1, E2 Y E1 sujetos al IV Convenio Colectivo Único para el personal laboral de la Administración General del Estado, celebrado en el ámbito del Ministerio de Defensa</x:t>
  </x:si>
  <x:si>
    <x:t>2025/SP01010020/00000948E</x:t>
  </x:si>
  <x:si>
    <x:t>JOLSSEN EVENTS SL</x:t>
  </x:si>
  <x:si>
    <x:t>25240270</x:t>
  </x:si>
  <x:si>
    <x:t>AENA. DIRECCIÓN DE CONTRATACIÓN</x:t>
  </x:si>
  <x:si>
    <x:t>Organización Y Gestión Del Evento Corporativo En Diciembre De 2025</x:t>
  </x:si>
  <x:si>
    <x:t>DRH-435/2025</x:t>
  </x:si>
  <x:si>
    <x:t>LOTE 1 DEP INSTITUT, S.L.; LOTE 2 TANDEM SOCIAL, S.C.C.L.</x:t>
  </x:si>
  <x:si>
    <x:t>25240494</x:t>
  </x:si>
  <x:si>
    <x:t>AYUNTAMIENTO DE BARCELONA</x:t>
  </x:si>
  <x:si>
    <x:t>Servicio de dinamización y promoción del Acuerdo Ciudadano (lote 1) y del Foro Social Metropolitano (lote 2)</x:t>
  </x:si>
  <x:si>
    <x:t>001_25000862</x:t>
  </x:si>
  <x:si>
    <x:t>Ver detalle de la adjudicación</x:t>
  </x:si>
  <x:si>
    <x:t>SERVICIOS AUDIOVISUALES OVERON, S.L</x:t>
  </x:si>
  <x:si>
    <x:t>25240649</x:t>
  </x:si>
  <x:si>
    <x:t>DIRECCIÓN GENERAL DE RADIOTELEVISIÓN DEL PRINCIPADO DE ASTURIAS, S.A. UNIPERSONAL</x:t>
  </x:si>
  <x:si>
    <x:t>Servicio de actualización de los contenidos en medios digitales de RTPA.</x:t>
  </x:si>
  <x:si>
    <x:t>06/25 RTPA</x:t>
  </x:si>
  <x:si>
    <x:t>INDRA SOLUCIONES TECNOLOGIAS DE LA INFORMACION S.L.U. </x:t>
  </x:si>
  <x:si>
    <x:t>25240768</x:t>
  </x:si>
  <x:si>
    <x:t>MINISTERIO DE HACIENDA. D.G. DE RACIONALIZACIÓN Y CENTRALIZACIÓN DE LA CONTRATACIÓN</x:t>
  </x:si>
  <x:si>
    <x:t>Migración De Los Dos Asistentes Virtuales Del Mintur A Un Nuevo Tenant De Google Cloud Platform Bajo Titularidad Del Ministerio (Subdireccion General Tecnologias De La Informacion Y Las Comunicaciones. Mincotu)</x:t>
  </x:si>
  <x:si>
    <x:t>CEA5687/2025</x:t>
  </x:si>
  <x:si>
    <x:t>CRISTINA PÉREZ-SALA FAILDE</x:t>
  </x:si>
  <x:si>
    <x:t>25240783</x:t>
  </x:si>
  <x:si>
    <x:t>PRESIDENCIA DE LA DIPUTACIÓN PROVINCIAL DE CÁCERES</x:t>
  </x:si>
  <x:si>
    <x:t>Servicio de cocina en vivo o showcookings en Madrid FUSIÓN 26</x:t>
  </x:si>
  <x:si>
    <x:t>1125.30A</x:t>
  </x:si>
  <x:si>
    <x:t>EDITORIAL PRENSA ASTURIANA, S.A.U</x:t>
  </x:si>
  <x:si>
    <x:t>25240818</x:t>
  </x:si>
  <x:si>
    <x:t>Contrato de Patrocinio evento Asturias Exterior</x:t>
  </x:si>
  <x:si>
    <x:t>CC2025/300</x:t>
  </x:si>
  <x:si>
    <x:t>UNITED EXPERTS PARTNERS</x:t>
  </x:si>
  <x:si>
    <x:t>25240824</x:t>
  </x:si>
  <x:si>
    <x:t>MINISTERIO DE TRANSPORTES Y MOVILIDAD SOSTENIBLE. PRESIDENCIA DEL CONSEJO DE ADMINISTRACIÓN DE LA AUTORIDAD PORTUARIA DE BARCELONA (PORT DE BARCELONA)</x:t>
  </x:si>
  <x:si>
    <x:t>Segunda prórroga de la Prestación de servicios para la promoción de servicios logísticos de Puerto de Barcelona en la zona del norte de África (Marruecos, Argelia, Túnez, Libia y Egipto). Clave de expediente: 2025C260167</x:t>
  </x:si>
  <x:si>
    <x:t>2025-00467</x:t>
  </x:si>
  <x:si>
    <x:t>ABSOLUTE EXPERIENCIAS DE COMUNICACION, S.L</x:t>
  </x:si>
  <x:si>
    <x:t>25240876</x:t>
  </x:si>
  <x:si>
    <x:t>MINISTERIO DE TRANSPORTES Y MOVILIDAD SOSTENIBLE. CENTRO NACIONAL DE INFORMACIÓN GEOGRÁFICA</x:t>
  </x:si>
  <x:si>
    <x:t>Servicio para la contratación del diseño, construcción, montaje, desmontaje, mantenimiento y asistencia técnica integral del stand en la Feria Internacional de Turismo FITUR 2026 por el O.A. Centro Nacional de Información Geográfica</x:t>
  </x:si>
  <x:si>
    <x:t>2025 00000061</x:t>
  </x:si>
  <x:si>
    <x:t>LOTE 1 ANOVA IT CONSULTING, S.L.; LOTE 3 ANOVA IT CONSULTING, S.L.</x:t>
  </x:si>
  <x:si>
    <x:t>25241148</x:t>
  </x:si>
  <x:si>
    <x:t>ÁREA DE GOBIERNO DE ECONOMÍA, INNOVACIÓN Y HACIENDA DEL AYUNTAMIENTO DE MADRID</x:t>
  </x:si>
  <x:si>
    <x:t>Adaptaciones y gestión de la Plataforma WEB, gestión de las Redes Sociales y Dinamización de la Comunidad Virtual de Madrid Emprende, a adjudicar por Lotes (3 LOTES). Lote Nº 1 Adaptaciones, servicios gestionados, mantenimiento y soporte para plataforma web. Lote Nº 2 Promoción y divulgación de actividades, diseño y gestión de contenidos y redes sociales. Lote Nº 3 Dinamización, gestión y captación de usuarios de la comunidad virtual.</x:t>
  </x:si>
  <x:si>
    <x:t>300/2025/00292</x:t>
  </x:si>
  <x:si>
    <x:t>Formalizado</x:t>
  </x:si>
  <x:si>
    <x:t>LOTE 2 EMICED DISEÑO INTEGRAL SL</x:t>
  </x:si>
  <x:si>
    <x:t>25241235</x:t>
  </x:si>
  <x:si>
    <x:t>JUNTA DE GOBIERNO DEL AYUNTAMIENTO DE BOADILLA DEL MONTE (MADRID)</x:t>
  </x:si>
  <x:si>
    <x:t>Servicios de organización y producción de las fiestas de Navidad 2025-2026 en Boadilla del Monte. Lote 1: Espacio de ocio familiar. Lote 2: Pista de hielo y Mercado Navideño. Lote 3: Belén viviente.</x:t>
  </x:si>
  <x:si>
    <x:t>EC/50/2025</x:t>
  </x:si>
  <x:si>
    <x:t>Desierto</x:t>
  </x:si>
  <x:si>
    <x:t>LOTE 2 DESIERTO</x:t>
  </x:si>
  <x:si>
    <x:t>25241320</x:t>
  </x:si>
  <x:si>
    <x:t>MINISTERIO PARA LA TRANSFORMACIÓN DIGITAL Y DE LA FUNCIÓN PÚBLICA. SECRETARÍA DE ESTADO DE DIGITALIZACIÓN E INTELIGENCIA ARTIFICIAL</x:t>
  </x:si>
  <x:si>
    <x:t>Contrato, por lotes, de los servicios de apoyo para la celebración de la Conferencia Ministerial de Economía Digital de la OCDE en España. Lote 1: Servicios de apoyo a la comunicación y difusión de la Conferencia Ministerial de Economía Digital de la OCDE en España. Lote 2: Servicios de apoyo a la secretaría técnica de la Conferencia Ministerial de Economía Digital de la OCDE en España.</x:t>
  </x:si>
  <x:si>
    <x:t>202200000028</x:t>
  </x:si>
  <x:si>
    <x:t>------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</x:si>
</x:sst>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HYPERLINK("https://www.infonalia.es/adjudicaciones1225/25239978.pdf","www.infonalia.es/adjudicaciones1225/25239978.pdf")</x:f>
        <x:v>www.infonalia.es/adjudicaciones1225/25239978.pdf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409440.00</x:v>
      </x:c>
      <x:c r="K2" s="9" t="n">
        <x:v>495000.00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HYPERLINK("https://www.infonalia.es/adjudicaciones1225/25239980.pdf","www.infonalia.es/adjudicaciones1225/25239980.pdf")</x:f>
        <x:v>www.infonalia.es/adjudicaciones1225/25239980.pdf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61900.00</x:v>
      </x:c>
      <x:c r="K3" s="9" t="n">
        <x:v>62025.00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HYPERLINK("https://www.infonalia.es/adjudicaciones1225/25240029.pdf","www.infonalia.es/adjudicaciones1225/25240029.pdf")</x:f>
        <x:v>www.infonalia.es/adjudicaciones1225/25240029.pdf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24436.25</x:v>
      </x:c>
      <x:c r="K4" s="9" t="n">
        <x:v>29323.50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HYPERLINK("https://www.infonalia.es/adjudicaciones1225/25240126.pdf","www.infonalia.es/adjudicaciones1225/25240126.pdf")</x:f>
        <x:v>www.infonalia.es/adjudicaciones1225/25240126.pdf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18</x:v>
      </x:c>
      <x:c r="J5" s="9" t="n">
        <x:v>28500.00</x:v>
      </x:c>
      <x:c r="K5" s="9" t="n">
        <x:v>43470.74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HYPERLINK("https://www.infonalia.es/adjudicaciones1225/25240270.pdf","www.infonalia.es/adjudicaciones1225/25240270.pdf")</x:f>
        <x:v>www.infonalia.es/adjudicaciones1225/25240270.pdf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18</x:v>
      </x:c>
      <x:c r="J6" s="9" t="n">
        <x:v>77890.00</x:v>
      </x:c>
      <x:c r="K6" s="9" t="n">
        <x:v>82000.00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HYPERLINK("https://www.infonalia.es/adjudicaciones1225/25240494.pdf","www.infonalia.es/adjudicaciones1225/25240494.pdf")</x:f>
        <x:v>www.infonalia.es/adjudicaciones1225/25240494.pdf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30</x:v>
      </x:c>
      <x:c r="J7" s="9" t="s">
        <x:v>46</x:v>
      </x:c>
      <x:c r="K7" s="9" t="n">
        <x:v>450768.56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HYPERLINK("https://www.infonalia.es/adjudicaciones1225/25240649.pdf","www.infonalia.es/adjudicaciones1225/25240649.pdf")</x:f>
        <x:v>www.infonalia.es/adjudicaciones1225/25240649.pdf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24</x:v>
      </x:c>
      <x:c r="J8" s="9" t="n">
        <x:v>132112.18</x:v>
      </x:c>
      <x:c r="K8" s="9" t="n">
        <x:v>132178.27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HYPERLINK("https://www.infonalia.es/adjudicaciones1225/25240768.pdf","www.infonalia.es/adjudicaciones1225/25240768.pdf")</x:f>
        <x:v>www.infonalia.es/adjudicaciones1225/25240768.pdf</x:v>
      </x:c>
      <x:c r="E9" s="8" t="s">
        <x:v>53</x:v>
      </x:c>
      <x:c r="F9" s="6" t="s">
        <x:v>54</x:v>
      </x:c>
      <x:c r="G9" s="6" t="s">
        <x:v>55</x:v>
      </x:c>
      <x:c r="H9" s="6" t="s">
        <x:v>56</x:v>
      </x:c>
      <x:c r="I9" s="6" t="s">
        <x:v>18</x:v>
      </x:c>
      <x:c r="J9" s="9" t="s">
        <x:v>46</x:v>
      </x:c>
      <x:c r="K9" s="9" t="n">
        <x:v>28453.30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HYPERLINK("https://www.infonalia.es/adjudicaciones1225/25240783.pdf","www.infonalia.es/adjudicaciones1225/25240783.pdf")</x:f>
        <x:v>www.infonalia.es/adjudicaciones1225/25240783.pdf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18</x:v>
      </x:c>
      <x:c r="J10" s="9" t="n">
        <x:v>5070.00</x:v>
      </x:c>
      <x:c r="K10" s="9" t="n">
        <x:v>7800.00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HYPERLINK("https://www.infonalia.es/adjudicaciones1225/25240818.pdf","www.infonalia.es/adjudicaciones1225/25240818.pdf")</x:f>
        <x:v>www.infonalia.es/adjudicaciones1225/25240818.pdf</x:v>
      </x:c>
      <x:c r="E11" s="8" t="s">
        <x:v>63</x:v>
      </x:c>
      <x:c r="F11" s="6" t="s">
        <x:v>21</x:v>
      </x:c>
      <x:c r="G11" s="6" t="s">
        <x:v>64</x:v>
      </x:c>
      <x:c r="H11" s="6" t="s">
        <x:v>65</x:v>
      </x:c>
      <x:c r="I11" s="6" t="s">
        <x:v>24</x:v>
      </x:c>
      <x:c r="J11" s="9" t="n">
        <x:v>35000.00</x:v>
      </x:c>
      <x:c r="K11" s="9" t="n">
        <x:v>35000.00</x:v>
      </x:c>
    </x:row>
    <x:row r="12">
      <x:c r="A12" s="6" t="s">
        <x:v>11</x:v>
      </x:c>
      <x:c r="B12" s="6" t="s">
        <x:v>66</x:v>
      </x:c>
      <x:c r="C12" s="6" t="s">
        <x:v>13</x:v>
      </x:c>
      <x:c r="D12" s="7" t="str">
        <x:f xml:space="preserve">HYPERLINK("https://www.infonalia.es/adjudicaciones1225/25240824.pdf","www.infonalia.es/adjudicaciones1225/25240824.pdf")</x:f>
        <x:v>www.infonalia.es/adjudicaciones1225/25240824.pdf</x:v>
      </x:c>
      <x:c r="E12" s="8" t="s">
        <x:v>67</x:v>
      </x:c>
      <x:c r="F12" s="6" t="s">
        <x:v>68</x:v>
      </x:c>
      <x:c r="G12" s="6" t="s">
        <x:v>69</x:v>
      </x:c>
      <x:c r="H12" s="6" t="s">
        <x:v>70</x:v>
      </x:c>
      <x:c r="I12" s="6" t="s">
        <x:v>30</x:v>
      </x:c>
      <x:c r="J12" s="9" t="n">
        <x:v>87500.00</x:v>
      </x:c>
      <x:c r="K12" s="9" t="n">
        <x:v>175000.00</x:v>
      </x:c>
    </x:row>
    <x:row r="13">
      <x:c r="A13" s="6" t="s">
        <x:v>11</x:v>
      </x:c>
      <x:c r="B13" s="6" t="s">
        <x:v>71</x:v>
      </x:c>
      <x:c r="C13" s="6" t="s">
        <x:v>13</x:v>
      </x:c>
      <x:c r="D13" s="7" t="str">
        <x:f xml:space="preserve">HYPERLINK("https://www.infonalia.es/adjudicaciones1225/25240876.pdf","www.infonalia.es/adjudicaciones1225/25240876.pdf")</x:f>
        <x:v>www.infonalia.es/adjudicaciones1225/25240876.pdf</x:v>
      </x:c>
      <x:c r="E13" s="8" t="s">
        <x:v>72</x:v>
      </x:c>
      <x:c r="F13" s="6" t="s">
        <x:v>73</x:v>
      </x:c>
      <x:c r="G13" s="6" t="s">
        <x:v>74</x:v>
      </x:c>
      <x:c r="H13" s="6" t="s">
        <x:v>75</x:v>
      </x:c>
      <x:c r="I13" s="6" t="s">
        <x:v>18</x:v>
      </x:c>
      <x:c r="J13" s="9" t="n">
        <x:v>437965.00</x:v>
      </x:c>
      <x:c r="K13" s="9" t="n">
        <x:v>437966.14</x:v>
      </x:c>
    </x:row>
    <x:row r="14">
      <x:c r="A14" s="6" t="s">
        <x:v>11</x:v>
      </x:c>
      <x:c r="B14" s="6" t="s">
        <x:v>76</x:v>
      </x:c>
      <x:c r="C14" s="6" t="s">
        <x:v>13</x:v>
      </x:c>
      <x:c r="D14" s="7" t="str">
        <x:f xml:space="preserve">HYPERLINK("https://www.infonalia.es/adjudicaciones1225/25241148.pdf","www.infonalia.es/adjudicaciones1225/25241148.pdf")</x:f>
        <x:v>www.infonalia.es/adjudicaciones1225/25241148.pdf</x:v>
      </x:c>
      <x:c r="E14" s="8" t="s">
        <x:v>77</x:v>
      </x:c>
      <x:c r="F14" s="6" t="s">
        <x:v>78</x:v>
      </x:c>
      <x:c r="G14" s="6" t="s">
        <x:v>79</x:v>
      </x:c>
      <x:c r="H14" s="6" t="s">
        <x:v>80</x:v>
      </x:c>
      <x:c r="I14" s="6" t="s">
        <x:v>18</x:v>
      </x:c>
      <x:c r="J14" s="9" t="s">
        <x:v>46</x:v>
      </x:c>
      <x:c r="K14" s="9" t="n">
        <x:v>283276.80</x:v>
      </x:c>
    </x:row>
    <x:row r="15">
      <x:c r="A15" s="6" t="s">
        <x:v>81</x:v>
      </x:c>
      <x:c r="B15" s="6" t="s">
        <x:v>82</x:v>
      </x:c>
      <x:c r="C15" s="6" t="s">
        <x:v>13</x:v>
      </x:c>
      <x:c r="D15" s="7" t="str">
        <x:f xml:space="preserve">HYPERLINK("https://www.infonalia.es/adjudicaciones1225/25241235.pdf","www.infonalia.es/adjudicaciones1225/25241235.pdf")</x:f>
        <x:v>www.infonalia.es/adjudicaciones1225/25241235.pdf</x:v>
      </x:c>
      <x:c r="E15" s="8" t="s">
        <x:v>83</x:v>
      </x:c>
      <x:c r="F15" s="6" t="s">
        <x:v>84</x:v>
      </x:c>
      <x:c r="G15" s="6" t="s">
        <x:v>85</x:v>
      </x:c>
      <x:c r="H15" s="6" t="s">
        <x:v>86</x:v>
      </x:c>
      <x:c r="I15" s="6" t="s">
        <x:v>18</x:v>
      </x:c>
      <x:c r="J15" s="9" t="n">
        <x:v>57000.00</x:v>
      </x:c>
      <x:c r="K15" s="9" t="n">
        <x:v>31720.68</x:v>
      </x:c>
    </x:row>
    <x:row r="16">
      <x:c r="A16" s="6" t="s">
        <x:v>87</x:v>
      </x:c>
      <x:c r="B16" s="6" t="s">
        <x:v>88</x:v>
      </x:c>
      <x:c r="C16" s="6" t="s">
        <x:v>13</x:v>
      </x:c>
      <x:c r="D16" s="7" t="str">
        <x:f xml:space="preserve">HYPERLINK("https://www.infonalia.es/adjudicaciones1225/25241320.pdf","www.infonalia.es/adjudicaciones1225/25241320.pdf")</x:f>
        <x:v>www.infonalia.es/adjudicaciones1225/25241320.pdf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93</x:v>
      </x:c>
      <x:c r="J16" s="9" t="s">
        <x:v>46</x:v>
      </x:c>
      <x:c r="K16" s="9" t="n">
        <x:v>52640.05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