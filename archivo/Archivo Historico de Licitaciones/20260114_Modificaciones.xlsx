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<x:sst xmlns:x="http://schemas.openxmlformats.org/spreadsheetml/2006/main" count="6" uniqueCount="6">
  <x:si>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</x:si>
  <x:si>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</x:si>
  <x:si>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</x:si>
  <x:si>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</x:si>
  <x:si>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</x:si>
  <x:si>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</x:si>
  <x:si>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2025174829</x:t>
  </x:si>
  <x:si>
    <x:t>Aclaración / Ampliación de pliegos</x:t>
  </x:si>
  <x:si>
    <x:t>CORPORACIÓ CATALANA DE MITJANS AUDIOVISUALS, SA (CCMA, SA)</x:t>
  </x:si>
  <x:si>
    <x:t>Servicio de implantación, mantenimiento y explotación de un nuevo sistema de medida interna de audiencias Cross Media de todos los contenidos de 3Cat. El objeto de esta concurrencia es la contratación por parte de la Corporació Catalana de Mitjans Audiovisuals, S. A. (en adelante CCMA, S. A.) del servicio de implantación, mantenimiento y explotación de un nuevo sistema de medida interna de audiencias Cross Media de todos los contenidos de la CCMA, S. A. Este servicio debe cubrir todas las ventanas de emisión de los contenidos de 3Cat: televisión, radio, plataforma 3CAT, webs, redes sociales, videojuegos, y debe estar abierta a nuevas incorporaciones fruto de los avances tecnológicos</x:t>
  </x:si>
  <x:si>
    <x:t>2025177230</x:t>
  </x:si>
  <x:si>
    <x:t>GENERALITAT DE CATALUNYA. CENTRE D'INICIATIVES PER A LA REINSERCIÓ (CIRE)</x:t>
  </x:si>
  <x:si>
    <x:t>El objeto de este contrato es el servicio de despliegue de un proyecto integral de asesoramiento y ejecución en materia de comunicación y comercial, con las siguientes fases: Fase 1: planificación estratégica del plan de comunicación y promoción externa, Fase 2: desarrollo del referido plan, diseño y ejecución de las acciones del plan de acción y Fase 3: seguimiento y evaluación; todo ello, de acuerdo con los objetivos específicos recogidos en el Pliego Técnico de esta licitación</x:t>
  </x:si>
  <x:si>
    <x:t>2025181234</x:t>
  </x:si>
  <x:si>
    <x:t>FERROCARRIL METROPOLITÀ DE BARCELONA, SA</x:t>
  </x:si>
  <x:si>
    <x:t>Concesión de servicios para la comercialización de productos y servicios de fotografía</x:t>
  </x:si>
  <x:si>
    <x:t>2025181445</x:t>
  </x:si>
  <x:si>
    <x:t>Corrección de errores</x:t>
  </x:si>
  <x:si>
    <x:t>MINISTERIO DE ECONOMÍA, COMERCIO Y EMPRESA. COMITÉ DE CONTRATACIÓN DEL INSTITUTO DE CRÉDITO OFICIAL (ICO)</x:t>
  </x:si>
  <x:si>
    <x:t>Central de Medios para la difusión de acciones publicitarias en medios nacionales del ICO</x:t>
  </x:si>
  <x:si>
    <x:t>2025181886</x:t>
  </x:si>
  <x:si>
    <x:t>AGÈNCIA CATALANA DE TURISME</x:t>
  </x:si>
  <x:si>
    <x:t>Servicio de promoción del enoturismo a través de las Rutas del Vino de Cataluña, en el marco del Plan de Recuperación, Transformación y Resiliencia, financiado por la Unión Europea con los fondos Next Generation EU. Lote 1 Estructuración de producto Rutas del Vino a nivel de Cataluña, lote 2 Elaboración de contenidos sobre las Rutas del Vino de Cataluña para poder promocionarlas, lote 3 Puesta en valor de las Rutas del Vino de Cataluña para sensibilizar a residentes y turistas.</x:t>
  </x:si>
  <x:si>
    <x:t>2026000778</x:t>
  </x:si>
  <x:si>
    <x:t>Contratación de los servicios de producción</x:t>
  </x:si>
  <x:si>
    <x:t>2026002746</x:t>
  </x:si>
  <x:si>
    <x:t>AYUNTAMIENTO DE TARRAGONA. DEPARTAMENTO DE CULTURA</x:t>
  </x:si>
  <x:si>
    <x:t>Servicio de comunicación y gestión de las redes sociales del Centro de Arte Contemporáneo de Tarragona</x:t>
  </x:si>
  <x:si>
    <x:t>2026002871</x:t>
  </x:si>
  <x:si>
    <x:t>CONSEJERO DELEGADO DE INGENIERÍA DE SISTEMAS PARA LA DEFENSA DE ESPAÑA S.A., S.M.E. Y M.P</x:t>
  </x:si>
  <x:si>
    <x:t>Contratación de un servicio de apoyo en el área de esquema nacional de seguridad a la sección de sistemas de información y telecomunicaciones (cis) j6 del cuartel general de la UME</x:t>
  </x:si>
  <x:si>
    <x:t>2026002926</x:t>
  </x:si>
  <x:si>
    <x:t>DEPARTAMENTO DE AGRICULTURA, GANADERÍA, PESCA Y ALIMENTACIÓN DE LA GENERALIDAD DE CATALUÑA</x:t>
  </x:si>
  <x:si>
    <x:t>Organización, realización y comunicación de la campaña de sensibilización para prevenir y reducir pérdidas y el desperdicio alimentario. Lote 1 Coordinación y ejecución de la comunicación de la campaña. Lote 2 Organización Gastrorecup. Lote 3 Organización Gran Comida de Aprovechamiento</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</x:si>
</x:sst>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HYPERLINK("https://www.infonalia.es/modificaciones0126/2025174829.pdf","www.infonalia.es/modificaciones0126/2025174829.pdf")</x:f>
        <x:v>www.infonalia.es/modificaciones0126/2025174829.pdf</x:v>
      </x:c>
      <x:c r="F2" s="5" t="str">
        <x:f xml:space="preserve">HYPERLINK("https://www.infonalia.es/licitaciones1225/2025174829.pdf","www.infonalia.es/licitaciones1225/2025174829.pdf")</x:f>
        <x:v>www.infonalia.es/licitaciones1225/2025174829.pdf</x:v>
      </x:c>
    </x:row>
    <x:row r="3">
      <x:c r="A3" s="3" t="s">
        <x:v>10</x:v>
      </x:c>
      <x:c r="B3" s="4" t="s">
        <x:v>7</x:v>
      </x:c>
      <x:c r="C3" s="4" t="s">
        <x:v>11</x:v>
      </x:c>
      <x:c r="D3" s="4" t="s">
        <x:v>12</x:v>
      </x:c>
      <x:c r="E3" s="5" t="str">
        <x:f xml:space="preserve">HYPERLINK("https://www.infonalia.es/modificaciones0126/2025177230.pdf","www.infonalia.es/modificaciones0126/2025177230.pdf")</x:f>
        <x:v>www.infonalia.es/modificaciones0126/2025177230.pdf</x:v>
      </x:c>
      <x:c r="F3" s="5" t="str">
        <x:f xml:space="preserve">HYPERLINK("https://www.infonalia.es/licitaciones1225/2025177230.pdf","www.infonalia.es/licitaciones1225/2025177230.pdf")</x:f>
        <x:v>www.infonalia.es/licitaciones1225/2025177230.pdf</x:v>
      </x:c>
    </x:row>
    <x:row r="4">
      <x:c r="A4" s="3" t="s">
        <x:v>13</x:v>
      </x:c>
      <x:c r="B4" s="4" t="s">
        <x:v>7</x:v>
      </x:c>
      <x:c r="C4" s="4" t="s">
        <x:v>14</x:v>
      </x:c>
      <x:c r="D4" s="4" t="s">
        <x:v>15</x:v>
      </x:c>
      <x:c r="E4" s="5" t="str">
        <x:f xml:space="preserve">HYPERLINK("https://www.infonalia.es/modificaciones0126/2025181234.pdf","www.infonalia.es/modificaciones0126/2025181234.pdf")</x:f>
        <x:v>www.infonalia.es/modificaciones0126/2025181234.pdf</x:v>
      </x:c>
      <x:c r="F4" s="5" t="str">
        <x:f xml:space="preserve">HYPERLINK("https://www.infonalia.es/licitaciones1225/2025181234.pdf","www.infonalia.es/licitaciones1225/2025181234.pdf")</x:f>
        <x:v>www.infonalia.es/licitaciones1225/2025181234.pdf</x:v>
      </x:c>
    </x:row>
    <x:row r="5">
      <x:c r="A5" s="3" t="s">
        <x:v>16</x:v>
      </x:c>
      <x:c r="B5" s="4" t="s">
        <x:v>17</x:v>
      </x:c>
      <x:c r="C5" s="4" t="s">
        <x:v>18</x:v>
      </x:c>
      <x:c r="D5" s="4" t="s">
        <x:v>19</x:v>
      </x:c>
      <x:c r="E5" s="5" t="str">
        <x:f xml:space="preserve">HYPERLINK("https://www.infonalia.es/modificaciones0126/2025181445.pdf","www.infonalia.es/modificaciones0126/2025181445.pdf")</x:f>
        <x:v>www.infonalia.es/modificaciones0126/2025181445.pdf</x:v>
      </x:c>
      <x:c r="F5" s="5" t="str">
        <x:f xml:space="preserve">HYPERLINK("https://www.infonalia.es/licitaciones1225/2025181445.pdf","www.infonalia.es/licitaciones1225/2025181445.pdf")</x:f>
        <x:v>www.infonalia.es/licitaciones1225/2025181445.pdf</x:v>
      </x:c>
    </x:row>
    <x:row r="6">
      <x:c r="A6" s="3" t="s">
        <x:v>20</x:v>
      </x:c>
      <x:c r="B6" s="4" t="s">
        <x:v>7</x:v>
      </x:c>
      <x:c r="C6" s="4" t="s">
        <x:v>21</x:v>
      </x:c>
      <x:c r="D6" s="4" t="s">
        <x:v>22</x:v>
      </x:c>
      <x:c r="E6" s="5" t="str">
        <x:f xml:space="preserve">HYPERLINK("https://www.infonalia.es/modificaciones0126/2025181886.pdf","www.infonalia.es/modificaciones0126/2025181886.pdf")</x:f>
        <x:v>www.infonalia.es/modificaciones0126/2025181886.pdf</x:v>
      </x:c>
      <x:c r="F6" s="5" t="str">
        <x:f xml:space="preserve">HYPERLINK("https://www.infonalia.es/licitaciones1225/2025181886.pdf","www.infonalia.es/licitaciones1225/2025181886.pdf")</x:f>
        <x:v>www.infonalia.es/licitaciones1225/2025181886.pdf</x:v>
      </x:c>
    </x:row>
    <x:row r="7">
      <x:c r="A7" s="3" t="s">
        <x:v>23</x:v>
      </x:c>
      <x:c r="B7" s="4" t="s">
        <x:v>7</x:v>
      </x:c>
      <x:c r="C7" s="4" t="s">
        <x:v>8</x:v>
      </x:c>
      <x:c r="D7" s="4" t="s">
        <x:v>24</x:v>
      </x:c>
      <x:c r="E7" s="5" t="str">
        <x:f xml:space="preserve">HYPERLINK("https://www.infonalia.es/modificaciones0126/2026000778.pdf","www.infonalia.es/modificaciones0126/2026000778.pdf")</x:f>
        <x:v>www.infonalia.es/modificaciones0126/2026000778.pdf</x:v>
      </x:c>
      <x:c r="F7" s="5" t="str">
        <x:f xml:space="preserve">HYPERLINK("https://www.infonalia.es/licitaciones0126/2026000778.pdf","www.infonalia.es/licitaciones0126/2026000778.pdf")</x:f>
        <x:v>www.infonalia.es/licitaciones0126/2026000778.pdf</x:v>
      </x:c>
    </x:row>
    <x:row r="8">
      <x:c r="A8" s="3" t="s">
        <x:v>25</x:v>
      </x:c>
      <x:c r="B8" s="4" t="s">
        <x:v>17</x:v>
      </x:c>
      <x:c r="C8" s="4" t="s">
        <x:v>26</x:v>
      </x:c>
      <x:c r="D8" s="4" t="s">
        <x:v>27</x:v>
      </x:c>
      <x:c r="E8" s="5" t="str">
        <x:f xml:space="preserve">HYPERLINK("https://www.infonalia.es/modificaciones0126/2026002746.pdf","www.infonalia.es/modificaciones0126/2026002746.pdf")</x:f>
        <x:v>www.infonalia.es/modificaciones0126/2026002746.pdf</x:v>
      </x:c>
      <x:c r="F8" s="5" t="str">
        <x:f xml:space="preserve">HYPERLINK("https://www.infonalia.es/licitaciones0126/2026002746.pdf","www.infonalia.es/licitaciones0126/2026002746.pdf")</x:f>
        <x:v>www.infonalia.es/licitaciones0126/2026002746.pdf</x:v>
      </x:c>
    </x:row>
    <x:row r="9">
      <x:c r="A9" s="3" t="s">
        <x:v>28</x:v>
      </x:c>
      <x:c r="B9" s="4" t="s">
        <x:v>7</x:v>
      </x:c>
      <x:c r="C9" s="4" t="s">
        <x:v>29</x:v>
      </x:c>
      <x:c r="D9" s="4" t="s">
        <x:v>30</x:v>
      </x:c>
      <x:c r="E9" s="5" t="str">
        <x:f xml:space="preserve">HYPERLINK("https://www.infonalia.es/modificaciones0126/2026002871.pdf","www.infonalia.es/modificaciones0126/2026002871.pdf")</x:f>
        <x:v>www.infonalia.es/modificaciones0126/2026002871.pdf</x:v>
      </x:c>
      <x:c r="F9" s="5" t="str">
        <x:f xml:space="preserve">HYPERLINK("https://www.infonalia.es/licitaciones0126/2026002871.pdf","www.infonalia.es/licitaciones0126/2026002871.pdf")</x:f>
        <x:v>www.infonalia.es/licitaciones0126/2026002871.pdf</x:v>
      </x:c>
    </x:row>
    <x:row r="10">
      <x:c r="A10" s="3" t="s">
        <x:v>31</x:v>
      </x:c>
      <x:c r="B10" s="4" t="s">
        <x:v>7</x:v>
      </x:c>
      <x:c r="C10" s="4" t="s">
        <x:v>32</x:v>
      </x:c>
      <x:c r="D10" s="4" t="s">
        <x:v>33</x:v>
      </x:c>
      <x:c r="E10" s="5" t="str">
        <x:f xml:space="preserve">HYPERLINK("https://www.infonalia.es/modificaciones0126/2026002926.pdf","www.infonalia.es/modificaciones0126/2026002926.pdf")</x:f>
        <x:v>www.infonalia.es/modificaciones0126/2026002926.pdf</x:v>
      </x:c>
      <x:c r="F10" s="5" t="str">
        <x:f xml:space="preserve">HYPERLINK("https://www.infonalia.es/licitaciones0126/2026002926.pdf","www.infonalia.es/licitaciones0126/2026002926.pdf")</x:f>
        <x:v>www.infonalia.es/licitaciones0126/2026002926.pdf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