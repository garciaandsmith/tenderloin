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<x:sst xmlns:x="http://schemas.openxmlformats.org/spreadsheetml/2006/main" count="17" uniqueCount="17">
  <x:si>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</x:si>
  <x:si>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</x:si>
  <x:si>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</x:si>
  <x:si>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</x:si>
  <x:si>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</x:si>
  <x:si>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</x:si>
  <x:si>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</x:si>
  <x:si>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</x:si>
  <x:si>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</x:si>
  <x:si>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</x:si>
  <x:si>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</x:si>
  <x:si>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</x:si>
  <x:si>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</x:si>
  <x:si>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</x:si>
  <x:si>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</x:si>
  <x:si>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</x:si>
  <x:si>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</x:si>
  <x:si>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</x:si>
  <x:si>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</x:si>
  <x:si>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21/11/2025</x:t>
  </x:si>
  <x:si>
    <x:t>2025156974</x:t>
  </x:si>
  <x:si>
    <x:t>06/11/2025</x:t>
  </x:si>
  <x:si>
    <x:t>FOMENT DE CIUTAT SA</x:t>
  </x:si>
  <x:si>
    <x:t>Servicio de información en la Rambla sobre la reurbanización.</x:t>
  </x:si>
  <x:si>
    <x:t>F250000580</x:t>
  </x:si>
  <x:si>
    <x:t>Importe sin impuestos</x:t>
  </x:si>
  <x:si>
    <x:t/>
  </x:si>
  <x:si>
    <x:t>-----</x:t>
  </x:si>
  <x:si>
    <x:t>05/11/2025</x:t>
  </x:si>
  <x:si>
    <x:t/>
  </x:si>
  <x:si>
    <x:t>Barcelona</x:t>
  </x:si>
  <x:si>
    <x:t>2025157031</x:t>
  </x:si>
  <x:si>
    <x:t>CONSORCI MUSEU NACIONAL DE ART DE CATALUNYA</x:t>
  </x:si>
  <x:si>
    <x:t>Producción, suministro, montaje y desmontaje de museografía e instalación y desintalación de obra de arte de la exposición temporal “Los depósitos franquistas del SDPAN en el Museo Nacional” en las salas 63, 64, con medidas de contratación pública responsable social y ambiental.</x:t>
  </x:si>
  <x:si>
    <x:t>D154-2025/251</x:t>
  </x:si>
  <x:si>
    <x:t/>
  </x:si>
  <x:si>
    <x:t>Catalunya</x:t>
  </x:si>
  <x:si>
    <x:t>20/11/2025</x:t>
  </x:si>
  <x:si>
    <x:t>2025157052</x:t>
  </x:si>
  <x:si>
    <x:t>PROMOCIÓ ECONÒMICA DE SABADELL, SL</x:t>
  </x:si>
  <x:si>
    <x:t>Descripción: El contrato tiene por objeto la contratación de servicios de consultoría para la elaboración del Plan director de los polígonos de actividad económica (PAE's) de Sabadell, que deberá contener al menos la siguiente información: • Análisis del posicionamiento de los PAE's de Sabadell versus los del Vallès Occidental. • Análisis del peso económico de los PAE's de Sabadell sobre el total de la actividad económica de la ciudad. • Análisis de elementos de mejora de competitividad de los PAE's de Sabadell en relación a los PAE's del Vallès Occidental. • Estrategia y líneas de acción a implantar a través del Plan Director. El plan debe diagnosticar la situación actual de los polígonos industriales existentes, identificar necesidades y oportunidades de mejora, y proponer una estrategia de desarrollo y plan de acción priorizado con estimaciones de costes a medio y largo plazo, todo ello desde una perspectiva del conjunto de Sabadell y al mismo tiempo una visión concreta y específica por polígono</x:t>
  </x:si>
  <x:si>
    <x:t>JIA/2025/258</x:t>
  </x:si>
  <x:si>
    <x:t/>
  </x:si>
  <x:si>
    <x:t>Barcelona. Perfil del Contratante del Ayuntamiento</x:t>
  </x:si>
  <x:si>
    <x:t>12/11/2025</x:t>
  </x:si>
  <x:si>
    <x:t>2025157441</x:t>
  </x:si>
  <x:si>
    <x:t>FUNDACIÓ BARCELONA CAPITAL NÀUTICA, AC 24</x:t>
  </x:si>
  <x:si>
    <x:t>Traducción, maquetación y edición impresión de una guía con contenido educativo.</x:t>
  </x:si>
  <x:si>
    <x:t>087/16/2025-MAC-S</x:t>
  </x:si>
  <x:si>
    <x:t>IVA excluido</x:t>
  </x:si>
  <x:si>
    <x:t/>
  </x:si>
  <x:si>
    <x:t/>
  </x:si>
  <x:si>
    <x:t>2025157445</x:t>
  </x:si>
  <x:si>
    <x:t>INSTITUTO DE CULTURA DE BARCELONA</x:t>
  </x:si>
  <x:si>
    <x:t>Servicios de coordinación, recogida, redacción, subida online, mantenimiento y archivo de los 
contenidos textuales y audiovisuales del festival Llum BCN 2026.</x:t>
  </x:si>
  <x:si>
    <x:t>006_P2501525</x:t>
  </x:si>
  <x:si>
    <x:t/>
  </x:si>
  <x:si>
    <x:t/>
  </x:si>
  <x:si>
    <x:t>Community.Vortal</x:t>
  </x:si>
  <x:si>
    <x:t>07/11/2025</x:t>
  </x:si>
  <x:si>
    <x:t>2025157458</x:t>
  </x:si>
  <x:si>
    <x:t>AYUNTAMIENTO DE CERDANYOLA DEL VALLÈS (BARCELONA)</x:t>
  </x:si>
  <x:si>
    <x:t>Comercio y mercados contrato menor servicio campaña consignas mercados.</x:t>
  </x:si>
  <x:si>
    <x:t>COMERÇ I MERCATS 597/2025/0224</x:t>
  </x:si>
  <x:si>
    <x:t>No consta</x:t>
  </x:si>
  <x:si>
    <x:t/>
  </x:si>
  <x:si>
    <x:t/>
  </x:si>
  <x:si>
    <x:t>Catalunya - Plataforma de Contratación</x:t>
  </x:si>
  <x:si>
    <x:t>2025157463</x:t>
  </x:si>
  <x:si>
    <x:t>DIPUTACIÓN DE BARCELONA DIPUTACIÓN DE BARCELONA. SECCIÓN DE LICITACIÓN</x:t>
  </x:si>
  <x:si>
    <x:t>Servicio de organización, implementación y coordinación de jornadas de iniciación a la vela para escolares de cuarto de primaria de centros de enseñanza de la provincia de Barcelona, Dividido en dos lotes</x:t>
  </x:si>
  <x:si>
    <x:t>2025/0022124 Anuncio previo</x:t>
  </x:si>
  <x:si>
    <x:t>Fecha prevista del proceso de licitación: 05/12/2025 00:00</x:t>
  </x:si>
  <x:si>
    <x:t/>
  </x:si>
  <x:si>
    <x:t>2025157552</x:t>
  </x:si>
  <x:si>
    <x:t>MINISTERIO DE IGUALDAD. SUBSECRETARÍA DE IGUALDAD</x:t>
  </x:si>
  <x:si>
    <x:t>Servicio de Asistencia Audiovisual y Videostreaming en los actos celebrados en el Ministerio de Igualdad.</x:t>
  </x:si>
  <x:si>
    <x:t>2025FjX00081</x:t>
  </x:si>
  <x:si>
    <x:t/>
  </x:si>
  <x:si>
    <x:t>Madrid</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</x:si>
</x:sst>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66877.82</x:v>
      </x:c>
      <x:c r="J2" s="11" t="s">
        <x:v>25</x:v>
      </x:c>
      <x:c r="K2" s="11" t="s">
        <x:v>26</x:v>
      </x:c>
      <x:c r="L2" s="12" t="str">
        <x:f xml:space="preserve">HYPERLINK("https://contractaciopublica.cat/ca/detall-publicacio/1cee7bd5-435b-4a9c-955d-b4ff7def7d03/300609550","contractaciopublica.cat/ca/detall-publicacio/1cee7bd5-435b-4a9c-955d-b4ff7def7d03/300609550")</x:f>
        <x:v>contractaciopublica.cat/ca/detall-publicacio/1cee7bd5-435b-4a9c-955d-b4ff7def7d03/300609550</x:v>
      </x:c>
      <x:c r="M2" s="11" t="s">
        <x:v>27</x:v>
      </x:c>
      <x:c r="N2" s="13" t="s">
        <x:v>28</x:v>
      </x:c>
      <x:c r="O2" s="11" t="s">
        <x:v>29</x:v>
      </x:c>
      <x:c r="P2" s="11" t="s">
        <x:v>30</x:v>
      </x:c>
      <x:c r="Q2" s="14" t="str">
        <x:f xml:space="preserve">HYPERLINK("https://www.infonalia.es/licitaciones1125/2025156974.pdf","www.infonalia.es/licitaciones1125/2025156974.pdf")</x:f>
        <x:v>www.infonalia.es/licitaciones1125/2025156974.pdf</x:v>
      </x:c>
    </x:row>
    <x:row r="3">
      <x:c r="A3" s="6" t="s">
        <x:v>17</x:v>
      </x:c>
      <x:c r="B3" s="6" t="s">
        <x:v>18</x:v>
      </x:c>
      <x:c r="C3" s="7" t="s">
        <x:v>19</x:v>
      </x:c>
      <x:c r="D3" s="8" t="s">
        <x:v>31</x:v>
      </x:c>
      <x:c r="E3" s="9" t="s">
        <x:v>21</x:v>
      </x:c>
      <x:c r="F3" s="6" t="s">
        <x:v>32</x:v>
      </x:c>
      <x:c r="G3" s="6" t="s">
        <x:v>33</x:v>
      </x:c>
      <x:c r="H3" s="6" t="s">
        <x:v>34</x:v>
      </x:c>
      <x:c r="I3" s="10" t="n">
        <x:v>58917.11</x:v>
      </x:c>
      <x:c r="J3" s="11" t="s">
        <x:v>25</x:v>
      </x:c>
      <x:c r="K3" s="11" t="s">
        <x:v>26</x:v>
      </x:c>
      <x:c r="L3" s="12" t="str">
        <x:f xml:space="preserve">HYPERLINK("https://contractaciopublica.cat/ca/detall-publicacio/bf563f4b-28b7-4f9e-ac17-f058d3c177f1/300609424","contractaciopublica.cat/ca/detall-publicacio/bf563f4b-28b7-4f9e-ac17-f058d3c177f1/300609424")</x:f>
        <x:v>contractaciopublica.cat/ca/detall-publicacio/bf563f4b-28b7-4f9e-ac17-f058d3c177f1/300609424</x:v>
      </x:c>
      <x:c r="M3" s="11" t="s">
        <x:v>27</x:v>
      </x:c>
      <x:c r="N3" s="13" t="s">
        <x:v>28</x:v>
      </x:c>
      <x:c r="O3" s="11" t="s">
        <x:v>35</x:v>
      </x:c>
      <x:c r="P3" s="11" t="s">
        <x:v>36</x:v>
      </x:c>
      <x:c r="Q3" s="14" t="str">
        <x:f xml:space="preserve">HYPERLINK("https://www.infonalia.es/licitaciones1125/2025157031.pdf","www.infonalia.es/licitaciones1125/2025157031.pdf")</x:f>
        <x:v>www.infonalia.es/licitaciones1125/2025157031.pdf</x:v>
      </x:c>
    </x:row>
    <x:row r="4">
      <x:c r="A4" s="6" t="s">
        <x:v>17</x:v>
      </x:c>
      <x:c r="B4" s="6" t="s">
        <x:v>18</x:v>
      </x:c>
      <x:c r="C4" s="7" t="s">
        <x:v>37</x:v>
      </x:c>
      <x:c r="D4" s="8" t="s">
        <x:v>38</x:v>
      </x:c>
      <x:c r="E4" s="9" t="s">
        <x:v>21</x:v>
      </x:c>
      <x:c r="F4" s="6" t="s">
        <x:v>39</x:v>
      </x:c>
      <x:c r="G4" s="6" t="s">
        <x:v>40</x:v>
      </x:c>
      <x:c r="H4" s="6" t="s">
        <x:v>41</x:v>
      </x:c>
      <x:c r="I4" s="10" t="n">
        <x:v>31000.00</x:v>
      </x:c>
      <x:c r="J4" s="11" t="s">
        <x:v>25</x:v>
      </x:c>
      <x:c r="K4" s="11" t="s">
        <x:v>26</x:v>
      </x:c>
      <x:c r="L4" s="12" t="str">
        <x:f xml:space="preserve">HYPERLINK("https://contractaciopublica.cat/ca/detall-publicacio/28cc1a23-c277-46dd-8399-0e0bbdd00b24/300607957","contractaciopublica.cat/ca/detall-publicacio/28cc1a23-c277-46dd-8399-0e0bbdd00b24/300607957")</x:f>
        <x:v>contractaciopublica.cat/ca/detall-publicacio/28cc1a23-c277-46dd-8399-0e0bbdd00b24/300607957</x:v>
      </x:c>
      <x:c r="M4" s="11" t="s">
        <x:v>27</x:v>
      </x:c>
      <x:c r="N4" s="13" t="s">
        <x:v>28</x:v>
      </x:c>
      <x:c r="O4" s="11" t="s">
        <x:v>42</x:v>
      </x:c>
      <x:c r="P4" s="11" t="s">
        <x:v>30</x:v>
      </x:c>
      <x:c r="Q4" s="14" t="str">
        <x:f xml:space="preserve">HYPERLINK("https://www.infonalia.es/licitaciones1125/2025157052.pdf","www.infonalia.es/licitaciones1125/2025157052.pdf")</x:f>
        <x:v>www.infonalia.es/licitaciones1125/2025157052.pdf</x:v>
      </x:c>
    </x:row>
    <x:row r="5">
      <x:c r="A5" s="6" t="s">
        <x:v>17</x:v>
      </x:c>
      <x:c r="B5" s="6" t="s">
        <x:v>43</x:v>
      </x:c>
      <x:c r="C5" s="7" t="s">
        <x:v>44</x:v>
      </x:c>
      <x:c r="D5" s="8" t="s">
        <x:v>45</x:v>
      </x:c>
      <x:c r="E5" s="9" t="s">
        <x:v>21</x:v>
      </x:c>
      <x:c r="F5" s="6" t="s">
        <x:v>46</x:v>
      </x:c>
      <x:c r="G5" s="6" t="s">
        <x:v>47</x:v>
      </x:c>
      <x:c r="H5" s="6" t="s">
        <x:v>48</x:v>
      </x:c>
      <x:c r="I5" s="10" t="n">
        <x:v>14000.00</x:v>
      </x:c>
      <x:c r="J5" s="11" t="s">
        <x:v>49</x:v>
      </x:c>
      <x:c r="K5" s="11" t="s">
        <x:v>50</x:v>
      </x:c>
      <x:c r="L5" s="12" t="str">
        <x:f xml:space="preserve">HYPERLINK("https://licitacions.bcn.cat/licitacion/licitaciones/detalle?id=13344596","licitacions.bcn.cat/licitacion/licitaciones/detalle?id=13344596")</x:f>
        <x:v>licitacions.bcn.cat/licitacion/licitaciones/detalle?id=13344596</x:v>
      </x:c>
      <x:c r="M5" s="11" t="s">
        <x:v>27</x:v>
      </x:c>
      <x:c r="N5" s="13" t="s">
        <x:v>28</x:v>
      </x:c>
      <x:c r="O5" s="11" t="s">
        <x:v>51</x:v>
      </x:c>
      <x:c r="P5" s="11" t="s">
        <x:v>30</x:v>
      </x:c>
      <x:c r="Q5" s="14" t="str">
        <x:f xml:space="preserve">HYPERLINK("https://www.infonalia.es/licitaciones1125/2025157441.pdf","www.infonalia.es/licitaciones1125/2025157441.pdf")</x:f>
        <x:v>www.infonalia.es/licitaciones1125/2025157441.pdf</x:v>
      </x:c>
    </x:row>
    <x:row r="6">
      <x:c r="A6" s="6" t="s">
        <x:v>17</x:v>
      </x:c>
      <x:c r="B6" s="6" t="s">
        <x:v>43</x:v>
      </x:c>
      <x:c r="C6" s="7" t="s">
        <x:v>44</x:v>
      </x:c>
      <x:c r="D6" s="8" t="s">
        <x:v>52</x:v>
      </x:c>
      <x:c r="E6" s="9" t="s">
        <x:v>21</x:v>
      </x:c>
      <x:c r="F6" s="6" t="s">
        <x:v>53</x:v>
      </x:c>
      <x:c r="G6" s="6" t="s">
        <x:v>54</x:v>
      </x:c>
      <x:c r="H6" s="6" t="s">
        <x:v>55</x:v>
      </x:c>
      <x:c r="I6" s="10" t="n">
        <x:v>7438.02</x:v>
      </x:c>
      <x:c r="J6" s="11" t="s">
        <x:v>49</x:v>
      </x:c>
      <x:c r="K6" s="11" t="s">
        <x:v>56</x:v>
      </x:c>
      <x:c r="L6" s="12" t="str">
        <x:f xml:space="preserve">HYPERLINK("https://licitacions.bcn.cat/licitacion/licitaciones/detalle?id=13440124","licitacions.bcn.cat/licitacion/licitaciones/detalle?id=13440124")</x:f>
        <x:v>licitacions.bcn.cat/licitacion/licitaciones/detalle?id=13440124</x:v>
      </x:c>
      <x:c r="M6" s="11" t="s">
        <x:v>27</x:v>
      </x:c>
      <x:c r="N6" s="13" t="s">
        <x:v>28</x:v>
      </x:c>
      <x:c r="O6" s="11" t="s">
        <x:v>57</x:v>
      </x:c>
      <x:c r="P6" s="11" t="s">
        <x:v>30</x:v>
      </x:c>
      <x:c r="Q6" s="14" t="str">
        <x:f xml:space="preserve">HYPERLINK("https://www.infonalia.es/licitaciones1125/2025157445.pdf","www.infonalia.es/licitaciones1125/2025157445.pdf")</x:f>
        <x:v>www.infonalia.es/licitaciones1125/2025157445.pdf</x:v>
      </x:c>
    </x:row>
    <x:row r="7">
      <x:c r="A7" s="6" t="s">
        <x:v>17</x:v>
      </x:c>
      <x:c r="B7" s="6" t="s">
        <x:v>58</x:v>
      </x:c>
      <x:c r="C7" s="7" t="s">
        <x:v>59</x:v>
      </x:c>
      <x:c r="D7" s="8" t="s">
        <x:v>60</x:v>
      </x:c>
      <x:c r="E7" s="9" t="s">
        <x:v>21</x:v>
      </x:c>
      <x:c r="F7" s="6" t="s">
        <x:v>61</x:v>
      </x:c>
      <x:c r="G7" s="6" t="s">
        <x:v>62</x:v>
      </x:c>
      <x:c r="H7" s="6" t="s">
        <x:v>63</x:v>
      </x:c>
      <x:c r="I7" s="10"/>
      <x:c r="J7" s="11" t="s">
        <x:v>64</x:v>
      </x:c>
      <x:c r="K7" s="11" t="s">
        <x:v>65</x:v>
      </x:c>
      <x:c r="L7" s="12" t="str">
        <x:f xml:space="preserve">HYPERLINK("https://community.vortal.biz/public/?currentLanguage=es","community.vortal.biz/public/?currentLanguage=es")</x:f>
        <x:v>community.vortal.biz/public/?currentLanguage=es</x:v>
      </x:c>
      <x:c r="M7" s="11" t="s">
        <x:v>27</x:v>
      </x:c>
      <x:c r="N7" s="13" t="s">
        <x:v>28</x:v>
      </x:c>
      <x:c r="O7" s="11" t="s">
        <x:v>66</x:v>
      </x:c>
      <x:c r="P7" s="11" t="s">
        <x:v>30</x:v>
      </x:c>
      <x:c r="Q7" s="14" t="str">
        <x:f xml:space="preserve">HYPERLINK("https://www.infonalia.es/licitaciones1125/2025157458.pdf","www.infonalia.es/licitaciones1125/2025157458.pdf")</x:f>
        <x:v>www.infonalia.es/licitaciones1125/2025157458.pdf</x:v>
      </x:c>
    </x:row>
    <x:row r="8">
      <x:c r="A8" s="6" t="s">
        <x:v>17</x:v>
      </x:c>
      <x:c r="B8" s="6" t="s">
        <x:v>67</x:v>
      </x:c>
      <x:c r="C8" s="7" t="s">
        <x:v>26</x:v>
      </x:c>
      <x:c r="D8" s="8" t="s">
        <x:v>68</x:v>
      </x:c>
      <x:c r="E8" s="9" t="s">
        <x:v>21</x:v>
      </x:c>
      <x:c r="F8" s="6" t="s">
        <x:v>69</x:v>
      </x:c>
      <x:c r="G8" s="6" t="s">
        <x:v>70</x:v>
      </x:c>
      <x:c r="H8" s="6" t="s">
        <x:v>71</x:v>
      </x:c>
      <x:c r="I8" s="10" t="n">
        <x:v>660836.40</x:v>
      </x:c>
      <x:c r="J8" s="11" t="s">
        <x:v>49</x:v>
      </x:c>
      <x:c r="K8" s="11" t="s">
        <x:v>72</x:v>
      </x:c>
      <x:c r="L8" s="12" t="str">
        <x:f xml:space="preserve">HYPERLINK("https://contractaciopublica.cat/es/detall-publicacio/300609112","contractaciopublica.cat/es/detall-publicacio/300609112")</x:f>
        <x:v>contractaciopublica.cat/es/detall-publicacio/300609112</x:v>
      </x:c>
      <x:c r="M8" s="11" t="s">
        <x:v>27</x:v>
      </x:c>
      <x:c r="N8" s="13" t="s">
        <x:v>28</x:v>
      </x:c>
      <x:c r="O8" s="11" t="s">
        <x:v>73</x:v>
      </x:c>
      <x:c r="P8" s="11" t="s">
        <x:v>30</x:v>
      </x:c>
      <x:c r="Q8" s="14" t="str">
        <x:f xml:space="preserve">HYPERLINK("https://www.infonalia.es/licitaciones1125/2025157463.pdf","www.infonalia.es/licitaciones1125/2025157463.pdf")</x:f>
        <x:v>www.infonalia.es/licitaciones1125/2025157463.pdf</x:v>
      </x:c>
    </x:row>
    <x:row r="9">
      <x:c r="A9" s="6" t="s">
        <x:v>17</x:v>
      </x:c>
      <x:c r="B9" s="6" t="s">
        <x:v>18</x:v>
      </x:c>
      <x:c r="C9" s="7" t="s">
        <x:v>19</x:v>
      </x:c>
      <x:c r="D9" s="8" t="s">
        <x:v>74</x:v>
      </x:c>
      <x:c r="E9" s="9" t="s">
        <x:v>21</x:v>
      </x:c>
      <x:c r="F9" s="6" t="s">
        <x:v>75</x:v>
      </x:c>
      <x:c r="G9" s="6" t="s">
        <x:v>76</x:v>
      </x:c>
      <x:c r="H9" s="6" t="s">
        <x:v>77</x:v>
      </x:c>
      <x:c r="I9" s="10" t="n">
        <x:v>29525.44</x:v>
      </x:c>
      <x:c r="J9" s="11" t="s">
        <x:v>25</x:v>
      </x:c>
      <x:c r="K9" s="11" t="s">
        <x:v>26</x:v>
      </x:c>
      <x:c r="L9" s="12" t="str">
        <x:f xml:space="preserve">HYPERLINK("https://contrataciondelestado.es/wps/poc?uri=deeplink:detalle_licitacion&amp;idEvl=s2KyGhE4WbM4NavIWzMcHA%3D%3D","contrataciondelestado.es/wps/poc?uri=deeplink:detalle_licitacion&amp;idEvl=s2KyGhE4WbM4NavIWzMcHA%3D%3D")</x:f>
        <x:v>contrataciondelestado.es/wps/poc?uri=deeplink:detalle_licitacion&amp;idEvl=s2KyGhE4WbM4NavIWzMcHA%3D%3D</x:v>
      </x:c>
      <x:c r="M9" s="11" t="s">
        <x:v>27</x:v>
      </x:c>
      <x:c r="N9" s="13" t="s">
        <x:v>21</x:v>
      </x:c>
      <x:c r="O9" s="11" t="s">
        <x:v>78</x:v>
      </x:c>
      <x:c r="P9" s="11" t="s">
        <x:v>79</x:v>
      </x:c>
      <x:c r="Q9" s="14" t="str">
        <x:f xml:space="preserve">HYPERLINK("https://www.infonalia.es/licitaciones1125/2025157552.pdf","www.infonalia.es/licitaciones1125/2025157552.pdf")</x:f>
        <x:v>www.infonalia.es/licitaciones1125/2025157552.pdf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