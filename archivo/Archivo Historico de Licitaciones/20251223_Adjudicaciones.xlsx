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<x:sst xmlns:x="http://schemas.openxmlformats.org/spreadsheetml/2006/main" count="11" uniqueCount="11">
  <x:si>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</x:si>
  <x:si>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</x:si>
  <x:si>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</x:si>
  <x:si>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</x:si>
  <x:si>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</x:si>
  <x:si>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</x:si>
  <x:si>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</x:si>
  <x:si>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</x:si>
  <x:si>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</x:si>
  <x:si>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</x:si>
  <x:si>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</x:si>
  <x:si>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</x:si>
  <x:si>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LABAD &amp; ARTEAGA, S.L</x:t>
  </x:si>
  <x:si>
    <x:t>23/12/2025 0:00:00</x:t>
  </x:si>
  <x:si>
    <x:t>25258441</x:t>
  </x:si>
  <x:si>
    <x:t>COMUNIDAD DE MADRID. CONSEJERÍA DE CULTURA, TURISMO Y DEPORTE CONSEJERÍA DE CULTURA, TURISMO Y DEPORTE</x:t>
  </x:si>
  <x:si>
    <x:t>Servicios de montaje y desmontaje de la exposición Dorothy Iannone: Una y Otra Vez que se celebrará del 14 de febrero al 30 de agosto de 2026 en el Museo Centro de Arte Dos de Mayo (MCA2M).</x:t>
  </x:si>
  <x:si>
    <x:t>C-333A/033-25 (A/SER-042905/2025)</x:t>
  </x:si>
  <x:si>
    <x:t>Madrid</x:t>
  </x:si>
  <x:si>
    <x:t>INMOVING EXPERIENES SL</x:t>
  </x:si>
  <x:si>
    <x:t>25258788</x:t>
  </x:si>
  <x:si>
    <x:t>AENA. DIRECCIÓN DE CONTRATACIÓN</x:t>
  </x:si>
  <x:si>
    <x:t>Producción de material para acciones comerciales de Aena</x:t>
  </x:si>
  <x:si>
    <x:t>DMC-318/2025</x:t>
  </x:si>
  <x:si>
    <x:t>LOTE 1 PRODUCCIONES MIC SL; LOTE 2 VICTION STRATEGY SL; LOTE 3 INNOVACION Y CUALIFICACION SL; LOTE 4 ALKALI NORD S.L. </x:t>
  </x:si>
  <x:si>
    <x:t>25259000</x:t>
  </x:si>
  <x:si>
    <x:t>MADRID DESTINO CULTURA TURISMO Y NEGOCIO, S.A</x:t>
  </x:si>
  <x:si>
    <x:t>Servicios de edición de textos, corrección ortotipográfica en castellano e inglés; maquetación y generación de artes finales; impresión y encuadernación de catálogos de exposiciones; producción de vinilos de corte y otros materiales de producción gráfica, relacionados con la programación de CentroCentro. Lote 1. Servicios de edición de textos, corrección ortotipográfica en castellano e inglés y revisión de maquetas y artes finales. Lote 2. Servicios de maquetación y generación de artes finales. Lote 3. Servicio de impresión y encuadernación de los catálogos de las exposiciones programadas en CentroCentro. Lote 4. Servicio de producción e instalación de vinilos de corte y otros materiales de producción gráfica relacionados con la programación de CentroCentro</x:t>
  </x:si>
  <x:si>
    <x:t>SP25-00442 / SP25-00444 / SP25-00445 / SP25-00446</x:t>
  </x:si>
  <x:si>
    <x:t>Ver detalle de la adjudicación</x:t>
  </x:si>
  <x:si>
    <x:t>FUNDACIÓN COLECCIÓN THYSSEN-BORNEMISZA F.S.P</x:t>
  </x:si>
  <x:si>
    <x:t>25259135</x:t>
  </x:si>
  <x:si>
    <x:t>Patrocinio de la campaña de comunicación Noches Thyssen 2026</x:t>
  </x:si>
  <x:si>
    <x:t>SP25-00516</x:t>
  </x:si>
  <x:si>
    <x:t>FIRA INTERNACIONAL DE BARCELONA</x:t>
  </x:si>
  <x:si>
    <x:t>25259175</x:t>
  </x:si>
  <x:si>
    <x:t>INSTITUTO TECNOLÓGICO AGRARIO DE CASTILLA Y LEÓN</x:t>
  </x:si>
  <x:si>
    <x:t>Reserva de superficie del espacio para la participación del ITACyL en la próxima edición de la Barcelona Wine Week 2026 para la promoción de la marca de garantía «Tierra de Sabor»</x:t>
  </x:si>
  <x:si>
    <x:t>A2025/018020</x:t>
  </x:si>
  <x:si>
    <x:t>Castilla y León</x:t>
  </x:si>
  <x:si>
    <x:t>MATERILE BARCELONA PROYECTOS S.L</x:t>
  </x:si>
  <x:si>
    <x:t>25259184</x:t>
  </x:si>
  <x:si>
    <x:t>MADRID CULTURA Y TURISMO, S.A.U</x:t>
  </x:si>
  <x:si>
    <x:t>Patrocinio publicitario de la Gala Macarfi el 23/02/2026</x:t>
  </x:si>
  <x:si>
    <x:t>NSP094/2025</x:t>
  </x:si>
  <x:si>
    <x:t>BOREALIS EXPERIENCE SL</x:t>
  </x:si>
  <x:si>
    <x:t>25259221</x:t>
  </x:si>
  <x:si>
    <x:t>EMPRESA MUNICIPAL DE TRANSPORTES DE MADRID, S.A</x:t>
  </x:si>
  <x:si>
    <x:t>Servicio de asistencia técnica y consultoría en el proceso de fabricación de un nuevo concepto de autobús del futuro para Madrid y diseño y fabricación de un prototipo funcional concept bus</x:t>
  </x:si>
  <x:si>
    <x:t>25/100/3N</x:t>
  </x:si>
  <x:si>
    <x:t>INTERNATIONAL CORRESPONDENTS IN EDUCATION (ICE) SL, ABILWAYS S.A</x:t>
  </x:si>
  <x:si>
    <x:t>25259257</x:t>
  </x:si>
  <x:si>
    <x:t>EUROPEAN AGENCY FOR SAFETY AND HEALTH AT WORK (EU-OSHA)</x:t>
  </x:si>
  <x:si>
    <x:t>Servicios de edición, corrección y formato en inglés
. Esta licitación tiene como objetivo seleccionar una empresa que preste servicios profesionales de edición, corrección y formato para entregar material escrito en inglés en un plazo determinado.</x:t>
  </x:si>
  <x:si>
    <x:t>OSHA/2025/OP/0021</x:t>
  </x:si>
  <x:si>
    <x:t>--------</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</x:si>
</x:sst>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HYPERLINK("https://www.infonalia.es/adjudicaciones1225/25258441.pdf","www.infonalia.es/adjudicaciones1225/25258441.pdf")</x:f>
        <x:v>www.infonalia.es/adjudicaciones1225/25258441.pdf</x:v>
      </x:c>
      <x:c r="E2" s="8" t="s">
        <x:v>14</x:v>
      </x:c>
      <x:c r="F2" s="6" t="s">
        <x:v>15</x:v>
      </x:c>
      <x:c r="G2" s="6" t="s">
        <x:v>16</x:v>
      </x:c>
      <x:c r="H2" s="6" t="s">
        <x:v>17</x:v>
      </x:c>
      <x:c r="I2" s="6" t="s">
        <x:v>18</x:v>
      </x:c>
      <x:c r="J2" s="9" t="n">
        <x:v>62569.69</x:v>
      </x:c>
      <x:c r="K2" s="9" t="n">
        <x:v>72489.07</x:v>
      </x:c>
    </x:row>
    <x:row r="3">
      <x:c r="A3" s="6" t="s">
        <x:v>11</x:v>
      </x:c>
      <x:c r="B3" s="6" t="s">
        <x:v>19</x:v>
      </x:c>
      <x:c r="C3" s="6" t="s">
        <x:v>13</x:v>
      </x:c>
      <x:c r="D3" s="7" t="str">
        <x:f xml:space="preserve">HYPERLINK("https://www.infonalia.es/adjudicaciones1225/25258788.pdf","www.infonalia.es/adjudicaciones1225/25258788.pdf")</x:f>
        <x:v>www.infonalia.es/adjudicaciones1225/25258788.pdf</x:v>
      </x:c>
      <x:c r="E3" s="8" t="s">
        <x:v>20</x:v>
      </x:c>
      <x:c r="F3" s="6" t="s">
        <x:v>21</x:v>
      </x:c>
      <x:c r="G3" s="6" t="s">
        <x:v>22</x:v>
      </x:c>
      <x:c r="H3" s="6" t="s">
        <x:v>23</x:v>
      </x:c>
      <x:c r="I3" s="6" t="s">
        <x:v>18</x:v>
      </x:c>
      <x:c r="J3" s="9" t="n">
        <x:v>200000.00</x:v>
      </x:c>
      <x:c r="K3" s="9" t="n">
        <x:v>200000.00</x:v>
      </x:c>
    </x:row>
    <x:row r="4">
      <x:c r="A4" s="6" t="s">
        <x:v>11</x:v>
      </x:c>
      <x:c r="B4" s="6" t="s">
        <x:v>24</x:v>
      </x:c>
      <x:c r="C4" s="6" t="s">
        <x:v>13</x:v>
      </x:c>
      <x:c r="D4" s="7" t="str">
        <x:f xml:space="preserve">HYPERLINK("https://www.infonalia.es/adjudicaciones1225/25259000.pdf","www.infonalia.es/adjudicaciones1225/25259000.pdf")</x:f>
        <x:v>www.infonalia.es/adjudicaciones1225/25259000.pdf</x:v>
      </x:c>
      <x:c r="E4" s="8" t="s">
        <x:v>25</x:v>
      </x:c>
      <x:c r="F4" s="6" t="s">
        <x:v>26</x:v>
      </x:c>
      <x:c r="G4" s="6" t="s">
        <x:v>27</x:v>
      </x:c>
      <x:c r="H4" s="6" t="s">
        <x:v>28</x:v>
      </x:c>
      <x:c r="I4" s="6" t="s">
        <x:v>18</x:v>
      </x:c>
      <x:c r="J4" s="9" t="s">
        <x:v>29</x:v>
      </x:c>
      <x:c r="K4" s="9" t="n">
        <x:v>140266.81</x:v>
      </x:c>
    </x:row>
    <x:row r="5">
      <x:c r="A5" s="6" t="s">
        <x:v>11</x:v>
      </x:c>
      <x:c r="B5" s="6" t="s">
        <x:v>30</x:v>
      </x:c>
      <x:c r="C5" s="6" t="s">
        <x:v>13</x:v>
      </x:c>
      <x:c r="D5" s="7" t="str">
        <x:f xml:space="preserve">HYPERLINK("https://www.infonalia.es/adjudicaciones1225/25259135.pdf","www.infonalia.es/adjudicaciones1225/25259135.pdf")</x:f>
        <x:v>www.infonalia.es/adjudicaciones1225/25259135.pdf</x:v>
      </x:c>
      <x:c r="E5" s="8" t="s">
        <x:v>31</x:v>
      </x:c>
      <x:c r="F5" s="6" t="s">
        <x:v>26</x:v>
      </x:c>
      <x:c r="G5" s="6" t="s">
        <x:v>32</x:v>
      </x:c>
      <x:c r="H5" s="6" t="s">
        <x:v>33</x:v>
      </x:c>
      <x:c r="I5" s="6" t="s">
        <x:v>18</x:v>
      </x:c>
      <x:c r="J5" s="9" t="n">
        <x:v>50000.00</x:v>
      </x:c>
      <x:c r="K5" s="9" t="n">
        <x:v>50000.00</x:v>
      </x:c>
    </x:row>
    <x:row r="6">
      <x:c r="A6" s="6" t="s">
        <x:v>11</x:v>
      </x:c>
      <x:c r="B6" s="6" t="s">
        <x:v>34</x:v>
      </x:c>
      <x:c r="C6" s="6" t="s">
        <x:v>13</x:v>
      </x:c>
      <x:c r="D6" s="7" t="str">
        <x:f xml:space="preserve">HYPERLINK("https://www.infonalia.es/adjudicaciones1225/25259175.pdf","www.infonalia.es/adjudicaciones1225/25259175.pdf")</x:f>
        <x:v>www.infonalia.es/adjudicaciones1225/25259175.pdf</x:v>
      </x:c>
      <x:c r="E6" s="8" t="s">
        <x:v>35</x:v>
      </x:c>
      <x:c r="F6" s="6" t="s">
        <x:v>36</x:v>
      </x:c>
      <x:c r="G6" s="6" t="s">
        <x:v>37</x:v>
      </x:c>
      <x:c r="H6" s="6" t="s">
        <x:v>38</x:v>
      </x:c>
      <x:c r="I6" s="6" t="s">
        <x:v>39</x:v>
      </x:c>
      <x:c r="J6" s="9" t="n">
        <x:v>260402.85</x:v>
      </x:c>
      <x:c r="K6" s="9" t="n">
        <x:v>260402.85</x:v>
      </x:c>
    </x:row>
    <x:row r="7">
      <x:c r="A7" s="6" t="s">
        <x:v>11</x:v>
      </x:c>
      <x:c r="B7" s="6" t="s">
        <x:v>40</x:v>
      </x:c>
      <x:c r="C7" s="6" t="s">
        <x:v>13</x:v>
      </x:c>
      <x:c r="D7" s="7" t="str">
        <x:f xml:space="preserve">HYPERLINK("https://www.infonalia.es/adjudicaciones1225/25259184.pdf","www.infonalia.es/adjudicaciones1225/25259184.pdf")</x:f>
        <x:v>www.infonalia.es/adjudicaciones1225/25259184.pdf</x:v>
      </x:c>
      <x:c r="E7" s="8" t="s">
        <x:v>41</x:v>
      </x:c>
      <x:c r="F7" s="6" t="s">
        <x:v>42</x:v>
      </x:c>
      <x:c r="G7" s="6" t="s">
        <x:v>43</x:v>
      </x:c>
      <x:c r="H7" s="6" t="s">
        <x:v>44</x:v>
      </x:c>
      <x:c r="I7" s="6" t="s">
        <x:v>18</x:v>
      </x:c>
      <x:c r="J7" s="9" t="n">
        <x:v>20000.00</x:v>
      </x:c>
      <x:c r="K7" s="9" t="n">
        <x:v>20000.00</x:v>
      </x:c>
    </x:row>
    <x:row r="8">
      <x:c r="A8" s="6" t="s">
        <x:v>11</x:v>
      </x:c>
      <x:c r="B8" s="6" t="s">
        <x:v>45</x:v>
      </x:c>
      <x:c r="C8" s="6" t="s">
        <x:v>13</x:v>
      </x:c>
      <x:c r="D8" s="7" t="str">
        <x:f xml:space="preserve">HYPERLINK("https://www.infonalia.es/adjudicaciones1225/25259221.pdf","www.infonalia.es/adjudicaciones1225/25259221.pdf")</x:f>
        <x:v>www.infonalia.es/adjudicaciones1225/25259221.pdf</x:v>
      </x:c>
      <x:c r="E8" s="8" t="s">
        <x:v>46</x:v>
      </x:c>
      <x:c r="F8" s="6" t="s">
        <x:v>47</x:v>
      </x:c>
      <x:c r="G8" s="6" t="s">
        <x:v>48</x:v>
      </x:c>
      <x:c r="H8" s="6" t="s">
        <x:v>49</x:v>
      </x:c>
      <x:c r="I8" s="6" t="s">
        <x:v>18</x:v>
      </x:c>
      <x:c r="J8" s="9" t="n">
        <x:v>300000.00</x:v>
      </x:c>
      <x:c r="K8" s="9" t="n">
        <x:v>300000.00</x:v>
      </x:c>
    </x:row>
    <x:row r="9">
      <x:c r="A9" s="6" t="s">
        <x:v>11</x:v>
      </x:c>
      <x:c r="B9" s="6" t="s">
        <x:v>50</x:v>
      </x:c>
      <x:c r="C9" s="6" t="s">
        <x:v>13</x:v>
      </x:c>
      <x:c r="D9" s="7" t="str">
        <x:f xml:space="preserve">HYPERLINK("https://www.infonalia.es/adjudicaciones1225/25259257.pdf","www.infonalia.es/adjudicaciones1225/25259257.pdf")</x:f>
        <x:v>www.infonalia.es/adjudicaciones1225/25259257.pdf</x:v>
      </x:c>
      <x:c r="E9" s="8" t="s">
        <x:v>51</x:v>
      </x:c>
      <x:c r="F9" s="6" t="s">
        <x:v>52</x:v>
      </x:c>
      <x:c r="G9" s="6" t="s">
        <x:v>53</x:v>
      </x:c>
      <x:c r="H9" s="6" t="s">
        <x:v>54</x:v>
      </x:c>
      <x:c r="I9" s="6" t="s">
        <x:v>55</x:v>
      </x:c>
      <x:c r="J9" s="9" t="s">
        <x:v>29</x:v>
      </x:c>
      <x:c r="K9" s="9" t="n">
        <x:v>250000.00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