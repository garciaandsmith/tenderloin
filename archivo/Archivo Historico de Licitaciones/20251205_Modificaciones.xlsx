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Modificaciones" sheetId="1" r:id="rId1"/>
  </x:sheets>
  <x:definedNames>
    <x:definedName name="_xlnm._FilterDatabase" localSheetId="0" hidden="1">Modificaciones!$A$1:$F$1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<x:sst xmlns:x="http://schemas.openxmlformats.org/spreadsheetml/2006/main" count="6" uniqueCount="6">
  <x:si>
    <x:t>Referencia</x:t>
  </x:si>
  <x:si>
    <x:t>Tipo</x:t>
  </x:si>
  <x:si>
    <x:t>OrganismoConvocante</x:t>
  </x:si>
  <x:si>
    <x:t>Objeto</x:t>
  </x:si>
  <x:si>
    <x:t>Modificación</x:t>
  </x:si>
  <x:si>
    <x:t>Anuncio</x:t>
  </x:si>
  <x:si>
    <x:t>2025046497</x:t>
  </x:si>
  <x:si>
    <x:t>Desistimiento / Anulación</x:t>
  </x:si>
  <x:si>
    <x:t>DIPUTACIÓN DE BARCELONA</x:t>
  </x:si>
  <x:si>
    <x:t>Contratación de los aspectos tecnológicos y de consultoría del proyecto Despliegue y mejora de la plataforma digital de inteligencia turística de la Diputación de Barcelona DIGITTUR DIBA.</x:t>
  </x:si>
  <x:si>
    <x:t>2025147353</x:t>
  </x:si>
  <x:si>
    <x:t>Aclaración / Ampliación de pliegos</x:t>
  </x:si>
  <x:si>
    <x:t>INSTITUTO DE ESTADÍSTICA DE CATALUNYA (IDESCAT)</x:t>
  </x:si>
  <x:si>
    <x:t>Asistencia técnica para las XXII Jornadas de Estadística CCAA.</x:t>
  </x:si>
  <x:si>
    <x:t>2025165121</x:t>
  </x:si>
  <x:si>
    <x:t>COMUNIDAD DE MADRID. CONSEJERÍA DE EDUCACIÓN, CIENCIA Y UNIVERSIDADES</x:t>
  </x:si>
  <x:si>
    <x:t>El objeto de este contrato es la prestación integrada de todos los servicios necesarios para la participación de la Dirección General de Educación Secundaria, Formación Profesional y Régimen Especial, la Dirección General de Universidades y la Dirección General de Enseñanzas Artísticas en la Semana de la Educación, en la Feria AULA 2026, que tendrá lugar en el municipio de Madrid del 11 al 15 de marzo de 2026, conforme a las prescripciones establecidas en el Pliego de Prescripciones Técnicas Particulares.</x:t>
  </x:si>
  <x:si>
    <x:t>2025167121</x:t>
  </x:si>
  <x:si>
    <x:t>Corrección de errores</x:t>
  </x:si>
  <x:si>
    <x:t>MINISTERIO DEL INTERIOR. JEFATURA DE ASUNTOS ECONÓMICOS DE LA GUARDIA CIVIL</x:t>
  </x:si>
  <x:si>
    <x:t>El suministro de un mínimo de 80.000 cuadernos divulgativos sobre competencias digitales para la seguridad de la información aportando una copia electrónica del contenido de los mismos</x:t>
  </x:si>
  <x:si>
    <x:t>2025169903</x:t>
  </x:si>
  <x:si>
    <x:t>MADRID CULTURA Y TURISMO, S.A.U</x:t>
  </x:si>
  <x:si>
    <x:t>Servicios Agencia de Comunicación 2025</x:t>
  </x:si>
</x:sst>
</file>

<file path=xl/styles.xml><?xml version="1.0" encoding="utf-8"?>
<styleSheet xmlns="http://schemas.openxmlformats.org/spreadsheetml/2006/main">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6">
    <xf numFmtId="0" fontId="0" fillId="0" borderId="0" xfId="0"/>
    <xf numFmtId="0" fontId="1" fillId="0" borderId="0" xfId="0" applyFont="1" applyAlignment="1">
      <alignment vertical="center" wrapText="1"/>
    </xf>
    <xf numFmtId="0" fontId="2" fillId="2" borderId="0" xfId="0" applyFont="1" applyFill="1" applyAlignment="1">
      <alignment vertical="center" wrapText="1"/>
    </xf>
    <xf numFmtId="0" fontId="1" fillId="0" borderId="1" xfId="0" applyFont="1" applyBorder="1" applyAlignment="1">
      <alignment vertical="center" wrapText="1"/>
    </xf>
    <xf numFmtId="0" fontId="1" fillId="0" borderId="1" xfId="0" applyFont="1" applyBorder="1" applyAlignment="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F2"/>
  <x:sheetViews>
    <x:sheetView showGridLines="0" tabSelected="1" zoomScaleNormal="100" workbookViewId="0">
      <x:selection sqref="A1:XFD1"/>
    </x:sheetView>
  </x:sheetViews>
  <x:sheetFormatPr baseColWidth="10" defaultColWidth="11.5703125" defaultRowHeight="12.75"/>
  <x:cols>
    <x:col min="1" max="1" width="11" style="1" customWidth="1"/>
    <x:col min="2" max="2" width="26.140625" style="1" customWidth="1"/>
    <x:col min="3" max="3" width="25" style="1" customWidth="1"/>
    <x:col min="4" max="4" width="48.85546875" style="1" customWidth="1"/>
    <x:col min="5" max="5" width="41.42578125" style="1" customWidth="1"/>
    <x:col min="6" max="6" width="38.7109375" style="1" customWidth="1"/>
    <x:col min="7" max="16384" width="11.5703125" style="1"/>
  </x:cols>
  <x:sheetData>
    <x:row r="1" spans="1:6">
      <x:c r="A1" s="2" t="s">
        <x:v>0</x:v>
      </x:c>
      <x:c r="B1" s="2" t="s">
        <x:v>1</x:v>
      </x:c>
      <x:c r="C1" s="2" t="s">
        <x:v>2</x:v>
      </x:c>
      <x:c r="D1" s="2" t="s">
        <x:v>3</x:v>
      </x:c>
      <x:c r="E1" s="2" t="s">
        <x:v>4</x:v>
      </x:c>
      <x:c r="F1" s="2" t="s">
        <x:v>5</x:v>
      </x:c>
    </x:row>
    <x:row r="2" spans="1:6">
      <x:c r="A2" s="3" t="s">
        <x:v>6</x:v>
      </x:c>
      <x:c r="B2" s="4" t="s">
        <x:v>7</x:v>
      </x:c>
      <x:c r="C2" s="4" t="s">
        <x:v>8</x:v>
      </x:c>
      <x:c r="D2" s="4" t="s">
        <x:v>9</x:v>
      </x:c>
      <x:c r="E2" s="5" t="str">
        <x:f xml:space="preserve">HYPERLINK("https://www.infonalia.es/modificaciones1225/2025046497.pdf","www.infonalia.es/modificaciones1225/2025046497.pdf")</x:f>
        <x:v>www.infonalia.es/modificaciones1225/2025046497.pdf</x:v>
      </x:c>
      <x:c r="F2" s="5" t="str">
        <x:f xml:space="preserve">HYPERLINK("https://www.infonalia.es/licitaciones0425/2025046497.pdf","www.infonalia.es/licitaciones0425/2025046497.pdf")</x:f>
        <x:v>www.infonalia.es/licitaciones0425/2025046497.pdf</x:v>
      </x:c>
    </x:row>
    <x:row r="3">
      <x:c r="A3" s="3" t="s">
        <x:v>10</x:v>
      </x:c>
      <x:c r="B3" s="4" t="s">
        <x:v>11</x:v>
      </x:c>
      <x:c r="C3" s="4" t="s">
        <x:v>12</x:v>
      </x:c>
      <x:c r="D3" s="4" t="s">
        <x:v>13</x:v>
      </x:c>
      <x:c r="E3" s="5" t="str">
        <x:f xml:space="preserve">HYPERLINK("https://www.infonalia.es/modificaciones1225/2025147353.pdf","www.infonalia.es/modificaciones1225/2025147353.pdf")</x:f>
        <x:v>www.infonalia.es/modificaciones1225/2025147353.pdf</x:v>
      </x:c>
      <x:c r="F3" s="5" t="str">
        <x:f xml:space="preserve">HYPERLINK("https://www.infonalia.es/licitaciones1025/2025147353.pdf","www.infonalia.es/licitaciones1025/2025147353.pdf")</x:f>
        <x:v>www.infonalia.es/licitaciones1025/2025147353.pdf</x:v>
      </x:c>
    </x:row>
    <x:row r="4">
      <x:c r="A4" s="3" t="s">
        <x:v>14</x:v>
      </x:c>
      <x:c r="B4" s="4" t="s">
        <x:v>11</x:v>
      </x:c>
      <x:c r="C4" s="4" t="s">
        <x:v>15</x:v>
      </x:c>
      <x:c r="D4" s="4" t="s">
        <x:v>16</x:v>
      </x:c>
      <x:c r="E4" s="5" t="str">
        <x:f xml:space="preserve">HYPERLINK("https://www.infonalia.es/modificaciones1225/2025165121.pdf","www.infonalia.es/modificaciones1225/2025165121.pdf")</x:f>
        <x:v>www.infonalia.es/modificaciones1225/2025165121.pdf</x:v>
      </x:c>
      <x:c r="F4" s="5" t="str">
        <x:f xml:space="preserve">HYPERLINK("https://www.infonalia.es/licitaciones1125/2025165121.pdf","www.infonalia.es/licitaciones1125/2025165121.pdf")</x:f>
        <x:v>www.infonalia.es/licitaciones1125/2025165121.pdf</x:v>
      </x:c>
    </x:row>
    <x:row r="5">
      <x:c r="A5" s="3" t="s">
        <x:v>17</x:v>
      </x:c>
      <x:c r="B5" s="4" t="s">
        <x:v>18</x:v>
      </x:c>
      <x:c r="C5" s="4" t="s">
        <x:v>19</x:v>
      </x:c>
      <x:c r="D5" s="4" t="s">
        <x:v>20</x:v>
      </x:c>
      <x:c r="E5" s="5" t="str">
        <x:f xml:space="preserve">HYPERLINK("https://www.infonalia.es/modificaciones1225/2025167121.pdf","www.infonalia.es/modificaciones1225/2025167121.pdf")</x:f>
        <x:v>www.infonalia.es/modificaciones1225/2025167121.pdf</x:v>
      </x:c>
      <x:c r="F5" s="5" t="str">
        <x:f xml:space="preserve">HYPERLINK("https://www.infonalia.es/licitaciones1125/2025167121.pdf","www.infonalia.es/licitaciones1125/2025167121.pdf")</x:f>
        <x:v>www.infonalia.es/licitaciones1125/2025167121.pdf</x:v>
      </x:c>
    </x:row>
    <x:row r="6">
      <x:c r="A6" s="3" t="s">
        <x:v>21</x:v>
      </x:c>
      <x:c r="B6" s="4" t="s">
        <x:v>11</x:v>
      </x:c>
      <x:c r="C6" s="4" t="s">
        <x:v>22</x:v>
      </x:c>
      <x:c r="D6" s="4" t="s">
        <x:v>23</x:v>
      </x:c>
      <x:c r="E6" s="5" t="str">
        <x:f xml:space="preserve">HYPERLINK("https://www.infonalia.es/modificaciones1225/2025169903.pdf","www.infonalia.es/modificaciones1225/2025169903.pdf")</x:f>
        <x:v>www.infonalia.es/modificaciones1225/2025169903.pdf</x:v>
      </x:c>
      <x:c r="F6" s="5" t="str">
        <x:f xml:space="preserve">HYPERLINK("https://www.infonalia.es/licitaciones1125/2025169903.pdf","www.infonalia.es/licitaciones1125/2025169903.pdf")</x:f>
        <x:v>www.infonalia.es/licitaciones1125/2025169903.pdf</x:v>
      </x:c>
    </x:row>
  </x:sheetData>
  <x:autoFilter ref="A1:F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Modificaciones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2024-12-04T08:51:00Z</dcterms:created>
  <dcterms:modified xsi:type="dcterms:W3CDTF">2025-01-20T07:55:35Z</dcterms:modified>
  <dc:language>es-ES</dc:language>
</cp:coreProperties>
</file>