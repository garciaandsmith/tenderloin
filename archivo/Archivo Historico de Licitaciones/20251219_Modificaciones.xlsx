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<x:sst xmlns:x="http://schemas.openxmlformats.org/spreadsheetml/2006/main" count="6" uniqueCount="6">
  <x:si>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</x:si>
  <x:si>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</x:si>
  <x:si>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</x:si>
  <x:si>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</x:si>
  <x:si>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</x:si>
  <x:si>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</x:si>
  <x:si>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2025164624</x:t>
  </x:si>
  <x:si>
    <x:t>Aclaración / Ampliación de pliegos</x:t>
  </x:si>
  <x:si>
    <x:t>PRESTACIÓ DE SERVEIS A LA CIUTADANIA, SA (PRESECSA)</x:t>
  </x:si>
  <x:si>
    <x:t>Es el servicio de elaboración de material audiovisual y de comunicación por la empresa municipal Prestación de Servicios a la Ciudadanía S.A</x:t>
  </x:si>
  <x:si>
    <x:t>2025169102</x:t>
  </x:si>
  <x:si>
    <x:t>Cambio de fechas</x:t>
  </x:si>
  <x:si>
    <x:t>DIRECCIÓN DE BARCELONA SUPERCOMPUTING CENTER - CENTRO NACIONAL DE SUPERCOMPUTACIÓN (BSC-CNS)</x:t>
  </x:si>
  <x:si>
    <x:t>Servicio de apoyo para la dinamización de los Nodos Sectoriales de la BSC AI Factory para el Barcelona Supercomputing Center – Centro Nacional de Supercomputación (BSC-CNS) en el marco del Plan de Recuperación, Transformación y Resiliencia - Financiado por la Unión Europea – NextGenerationEU». Lote 1 Dinamización de los nodos sectoriales de Salud, Pharma y Biotech, el nodo de Agricultura, Clima y Economía Azul, y el nodo de Energía. Lote 2 Dinamización de los nodos sectoriales de Finanzas y Legal y el nodo de Comunicación y Medios.</x:t>
  </x:si>
  <x:si>
    <x:t>2025176481</x:t>
  </x:si>
  <x:si>
    <x:t>PROMOTORA D'EXPORTACIONS CATALANES, SA (PRODECA)</x:t>
  </x:si>
  <x:si>
    <x:t>Servicios de diseño, montaje, desmontaje, mantenimiento y supervisión de los stands que conforman los Pabellones de Cataluña en las ferias Expo West (Lote 1) y Summer Fancy Food Show 2026 (Lote 2)</x:t>
  </x:si>
  <x:si>
    <x:t>2025178990</x:t>
  </x:si>
  <x:si>
    <x:t>Corrección de errores</x:t>
  </x:si>
  <x:si>
    <x:t>CONSEJO DE ADMINISTRACIÓN DE ICEX ESPAÑA EXPORTACIÓN E INVERSIONES, E.P.E</x:t>
  </x:si>
  <x:si>
    <x:t>Contratación del servicio de redacción de contenidos periodísticos, incluyendo noticias, reportajes y entrevistas con el fin de generar informaciones para el portal web de ICEX- Invest in Spain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</x:si>
</x:sst>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HYPERLINK("https://www.infonalia.es/modificaciones1225/2025164624.pdf","www.infonalia.es/modificaciones1225/2025164624.pdf")</x:f>
        <x:v>www.infonalia.es/modificaciones1225/2025164624.pdf</x:v>
      </x:c>
      <x:c r="F2" s="5" t="str">
        <x:f xml:space="preserve">HYPERLINK("https://www.infonalia.es/licitaciones1125/2025164624.pdf","www.infonalia.es/licitaciones1125/2025164624.pdf")</x:f>
        <x:v>www.infonalia.es/licitaciones1125/2025164624.pdf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HYPERLINK("https://www.infonalia.es/modificaciones1225/2025169102.pdf","www.infonalia.es/modificaciones1225/2025169102.pdf")</x:f>
        <x:v>www.infonalia.es/modificaciones1225/2025169102.pdf</x:v>
      </x:c>
      <x:c r="F3" s="5" t="str">
        <x:f xml:space="preserve">HYPERLINK("https://www.infonalia.es/licitaciones1125/2025169102.pdf","www.infonalia.es/licitaciones1125/2025169102.pdf")</x:f>
        <x:v>www.infonalia.es/licitaciones1125/2025169102.pdf</x:v>
      </x:c>
    </x:row>
    <x:row r="4">
      <x:c r="A4" s="3" t="s">
        <x:v>14</x:v>
      </x:c>
      <x:c r="B4" s="4" t="s">
        <x:v>7</x:v>
      </x:c>
      <x:c r="C4" s="4" t="s">
        <x:v>15</x:v>
      </x:c>
      <x:c r="D4" s="4" t="s">
        <x:v>16</x:v>
      </x:c>
      <x:c r="E4" s="5" t="str">
        <x:f xml:space="preserve">HYPERLINK("https://www.infonalia.es/modificaciones1225/2025176481.pdf","www.infonalia.es/modificaciones1225/2025176481.pdf")</x:f>
        <x:v>www.infonalia.es/modificaciones1225/2025176481.pdf</x:v>
      </x:c>
      <x:c r="F4" s="5" t="str">
        <x:f xml:space="preserve">HYPERLINK("https://www.infonalia.es/licitaciones1225/2025176481.pdf","www.infonalia.es/licitaciones1225/2025176481.pdf")</x:f>
        <x:v>www.infonalia.es/licitaciones1225/2025176481.pdf</x:v>
      </x:c>
    </x:row>
    <x:row r="5">
      <x:c r="A5" s="3" t="s">
        <x:v>17</x:v>
      </x:c>
      <x:c r="B5" s="4" t="s">
        <x:v>18</x:v>
      </x:c>
      <x:c r="C5" s="4" t="s">
        <x:v>19</x:v>
      </x:c>
      <x:c r="D5" s="4" t="s">
        <x:v>20</x:v>
      </x:c>
      <x:c r="E5" s="5" t="str">
        <x:f xml:space="preserve">HYPERLINK("https://www.infonalia.es/modificaciones1225/2025178990.pdf","www.infonalia.es/modificaciones1225/2025178990.pdf")</x:f>
        <x:v>www.infonalia.es/modificaciones1225/2025178990.pdf</x:v>
      </x:c>
      <x:c r="F5" s="5" t="str">
        <x:f xml:space="preserve">HYPERLINK("https://www.infonalia.es/licitaciones1225/2025178990.pdf","www.infonalia.es/licitaciones1225/2025178990.pdf")</x:f>
        <x:v>www.infonalia.es/licitaciones1225/2025178990.pdf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