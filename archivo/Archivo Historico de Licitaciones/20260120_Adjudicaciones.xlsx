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<x:sst xmlns:x="http://schemas.openxmlformats.org/spreadsheetml/2006/main" count="11" uniqueCount="11">
  <x:si>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</x:si>
  <x:si>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</x:si>
  <x:si>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</x:si>
  <x:si>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</x:si>
  <x:si>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</x:si>
  <x:si>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</x:si>
  <x:si>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</x:si>
  <x:si>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</x:si>
  <x:si>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</x:si>
  <x:si>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</x:si>
  <x:si>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</x:si>
  <x:si>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</x:si>
  <x:si>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TANDEM PROJECTS, SL</x:t>
  </x:si>
  <x:si>
    <x:t>20/01/2026 0:00:00</x:t>
  </x:si>
  <x:si>
    <x:t>26007606</x:t>
  </x:si>
  <x:si>
    <x:t>GENERALITAT DE CATALUNYA. DEPARTAMENTO DE TERRITORIO, VIVIENDA Y TRANSICIÓN ECOLÓGICA</x:t>
  </x:si>
  <x:si>
    <x:t>Asistencia técnica a los actos institucionales y alquiler, sustitución y reparación de equipos audiovisuales del Departamento de Territorio, Vivienda y Transición Ecológica de la Administración de la Generalitat de Catalunya</x:t>
  </x:si>
  <x:si>
    <x:t>PTOP-2026-18</x:t>
  </x:si>
  <x:si>
    <x:t>Catalunya</x:t>
  </x:si>
  <x:si>
    <x:t>LOTE 1 NETCHECK, S.A. ; LOTE 2 EAGLE TECHCO, SL ; LOTE 3 IZERTIS, S.A </x:t>
  </x:si>
  <x:si>
    <x:t>26007755</x:t>
  </x:si>
  <x:si>
    <x:t>CONSEJERO DELEGADO DE INGENIERÍA DE SISTEMAS PARA LA DEFENSA DE ESPAÑA S.A., S.M.E. Y M.P</x:t>
  </x:si>
  <x:si>
    <x:t>Servicios de apoyo técnico gestión de la comunicación en el ámbito del CESEDEN [Lote 1: Gestion de la comunicacion - Lote 2: Apoyo técnico y asesoramiento para diseño gráfico, multimedia y material fotográfico. - Lote 3: Administración del sistema de producción de vídeo en vivo – Tricaster]
</x:t>
  </x:si>
  <x:si>
    <x:t>2025-01824</x:t>
  </x:si>
  <x:si>
    <x:t>Madrid</x:t>
  </x:si>
  <x:si>
    <x:t>Ver detalle de la adjudicación</x:t>
  </x:si>
  <x:si>
    <x:t>SII CONCATEL, S.L</x:t>
  </x:si>
  <x:si>
    <x:t>26007796</x:t>
  </x:si>
  <x:si>
    <x:t>Servicio de consultoría tecnológica de inteligencia de negocio en el ámbito del planeamiento de recursos</x:t>
  </x:si>
  <x:si>
    <x:t>2025-01801</x:t>
  </x:si>
  <x:si>
    <x:t>EAGLE TECHCO, SL</x:t>
  </x:si>
  <x:si>
    <x:t>26007801</x:t>
  </x:si>
  <x:si>
    <x:t>Contratación de apoyo a la seguridad operacional y aseguramiento del software de los sistemas de comunicaciones para la navegación aérea.</x:t>
  </x:si>
  <x:si>
    <x:t>2025-01744</x:t>
  </x:si>
  <x:si>
    <x:t>VER DETALLE DE LA ADJUDICACIÓN</x:t>
  </x:si>
  <x:si>
    <x:t>26007829</x:t>
  </x:si>
  <x:si>
    <x:t>AYUNTAMIENTO DE VILAFRANCA DEL PENEDÈS (BARCELONA)</x:t>
  </x:si>
  <x:si>
    <x:t>Suministro en régimen de alquiler de stands interiores, stands exteriores, mobiliario y complementos, carpas, casetas de madera y jaima y los servicios de montaje y desmontaje necesarios para la celebración de la Fiesta del Xató, las Ferias de Mayo, la Feria de Santa Llúcia y la Feria del Gallo</x:t>
  </x:si>
  <x:si>
    <x:t>16/2022/1428</x:t>
  </x:si>
  <x:si>
    <x:t>Barcelona</x:t>
  </x:si>
  <x:si>
    <x:t>GCTPLUS ETT, SL</x:t>
  </x:si>
  <x:si>
    <x:t>26007858</x:t>
  </x:si>
  <x:si>
    <x:t>XARXA AUDIOVISUAL LOCAL, SL</x:t>
  </x:si>
  <x:si>
    <x:t>El patrocinio de los Foros GCT Plus por parte de La Xarxa y sus televisiones adheridas se presenta como una oportunidad única para obtener, como contraprestación, las bases de datos y contactos de los asistentes, la exclusividad de la retransmisión del acto, si así se cree conveniente, el posicionamiento de la marca entre el mundo empresarial de proximidad - público / target directivos de empresas y líderes de opinión con capacidad de decisión e influencia sobre las partidas de publicidad que sus organizaciones invierten en los medios</x:t>
  </x:si>
  <x:si>
    <x:t>1/2026XAL/2026/0001523</x:t>
  </x:si>
  <x:si>
    <x:t>FORO DE DEBATE, S.L</x:t>
  </x:si>
  <x:si>
    <x:t>26007900</x:t>
  </x:si>
  <x:si>
    <x:t>CONSEJERA DELEGADA DE LA EMPRESA PÚBLICA DE PROMOCIÓN DEL TURISMO Y LA ARTESANÍA DE CASTILLA-LA MANCHA (ETURIA), S.A.</x:t>
  </x:si>
  <x:si>
    <x:t>Patrocinio de Concurso de Escabeches en el Auditorio Polivalente de Madrid Fusión 2026</x:t>
  </x:si>
  <x:si>
    <x:t>2025/017483</x:t>
  </x:si>
  <x:si>
    <x:t>Toledo</x:t>
  </x:si>
  <x:si>
    <x:t>INSTITUCION FERIAL DE MADRID</x:t>
  </x:si>
  <x:si>
    <x:t>26007908</x:t>
  </x:si>
  <x:si>
    <x:t>EMPRESA PÚBLICA PARA LA GESTIÓN DEL TURISMO Y EL DEPORTE DE ANDALUCÍA, S.A.</x:t>
  </x:si>
  <x:si>
    <x:t>Contratación de espacios publicitarios en ifema durante fitur 2026</x:t>
  </x:si>
  <x:si>
    <x:t>C2N01-06CR-1125-0187</x:t>
  </x:si>
  <x:si>
    <x:t>REAL OVIEDO SAD</x:t>
  </x:si>
  <x:si>
    <x:t>26007917</x:t>
  </x:si>
  <x:si>
    <x:t>ALCALDÍA DEL AYUNTAMIENTO DE SIERO (ASTURIAS)</x:t>
  </x:si>
  <x:si>
    <x:t>Contratación de patrocinio con el Real Oviedo S.A.D</x:t>
  </x:si>
  <x:si>
    <x:t>1810/2025</x:t>
  </x:si>
  <x:si>
    <x:t>Asturias</x:t>
  </x:si>
  <x:si>
    <x:t>EL PUCHERO DE PLATA SL</x:t>
  </x:si>
  <x:si>
    <x:t>26007945</x:t>
  </x:si>
  <x:si>
    <x:t>GERENCIA DE PRODETUR S.A.U.</x:t>
  </x:si>
  <x:si>
    <x:t>Contratación de los siguientes servicios:- Instalación de 3 carpas, con tarima y sin moqueta, con transporte, entrega y recogida.- Mobiliario.- Otros Servicios.- Servicio de Catering.- Alquiler de días de uso del espacio para montaje y desmontaje del evento.</x:t>
  </x:si>
  <x:si>
    <x:t>A41555749-2026/000056-PeN</x:t>
  </x:si>
  <x:si>
    <x:t>LOTE 2 DOS ESPACIOS INTERNET CONSULTING, S.L. </x:t>
  </x:si>
  <x:si>
    <x:t>26008022</x:t>
  </x:si>
  <x:si>
    <x:t>JUNTA DE GOBIERNO DEL AYUNTAMIENTO LAS ROZAS (MADRID)</x:t>
  </x:si>
  <x:si>
    <x:t>Desarrollo e implementación de la Plataforma Inteligente de Destinos de las Rozas de Madrid para la Gestión turística y promoción del destino, financiado por el Fondo de Recuperación Next Generation-EU. LOTE 1: Trabajos de implementación del proyecto "Descubre Las Rozas de Madrid". LOTE 2: Gestión de la oficina de proyecto.</x:t>
  </x:si>
  <x:si>
    <x:t>25313/2025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</x:si>
</x:sst>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HYPERLINK("https://www.infonalia.es/adjudicaciones0126/26007606.pdf","www.infonalia.es/adjudicaciones0126/26007606.pdf")</x:f>
        <x:v>www.infonalia.es/adjudicaciones0126/26007606.pdf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18600.00</x:v>
      </x:c>
      <x:c r="K2" s="9" t="n">
        <x:v>29000.00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HYPERLINK("https://www.infonalia.es/adjudicaciones0126/26007755.pdf","www.infonalia.es/adjudicaciones0126/26007755.pdf")</x:f>
        <x:v>www.infonalia.es/adjudicaciones0126/26007755.pdf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s">
        <x:v>25</x:v>
      </x:c>
      <x:c r="K3" s="9" t="n">
        <x:v>190000.00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HYPERLINK("https://www.infonalia.es/adjudicaciones0126/26007796.pdf","www.infonalia.es/adjudicaciones0126/26007796.pdf")</x:f>
        <x:v>www.infonalia.es/adjudicaciones0126/26007796.pdf</x:v>
      </x:c>
      <x:c r="E4" s="8" t="s">
        <x:v>27</x:v>
      </x:c>
      <x:c r="F4" s="6" t="s">
        <x:v>21</x:v>
      </x:c>
      <x:c r="G4" s="6" t="s">
        <x:v>28</x:v>
      </x:c>
      <x:c r="H4" s="6" t="s">
        <x:v>29</x:v>
      </x:c>
      <x:c r="I4" s="6" t="s">
        <x:v>24</x:v>
      </x:c>
      <x:c r="J4" s="9" t="n">
        <x:v>27980.67</x:v>
      </x:c>
      <x:c r="K4" s="9" t="n">
        <x:v>28000.00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HYPERLINK("https://www.infonalia.es/adjudicaciones0126/26007801.pdf","www.infonalia.es/adjudicaciones0126/26007801.pdf")</x:f>
        <x:v>www.infonalia.es/adjudicaciones0126/26007801.pdf</x:v>
      </x:c>
      <x:c r="E5" s="8" t="s">
        <x:v>31</x:v>
      </x:c>
      <x:c r="F5" s="6" t="s">
        <x:v>21</x:v>
      </x:c>
      <x:c r="G5" s="6" t="s">
        <x:v>32</x:v>
      </x:c>
      <x:c r="H5" s="6" t="s">
        <x:v>33</x:v>
      </x:c>
      <x:c r="I5" s="6" t="s">
        <x:v>24</x:v>
      </x:c>
      <x:c r="J5" s="9" t="n">
        <x:v>56100.00</x:v>
      </x:c>
      <x:c r="K5" s="9" t="n">
        <x:v>70000.00</x:v>
      </x:c>
    </x:row>
    <x:row r="6">
      <x:c r="A6" s="6" t="s">
        <x:v>11</x:v>
      </x:c>
      <x:c r="B6" s="6" t="s">
        <x:v>34</x:v>
      </x:c>
      <x:c r="C6" s="6" t="s">
        <x:v>13</x:v>
      </x:c>
      <x:c r="D6" s="7" t="str">
        <x:f xml:space="preserve">HYPERLINK("https://www.infonalia.es/adjudicaciones0126/26007829.pdf","www.infonalia.es/adjudicaciones0126/26007829.pdf")</x:f>
        <x:v>www.infonalia.es/adjudicaciones0126/26007829.pdf</x:v>
      </x:c>
      <x:c r="E6" s="8" t="s">
        <x:v>35</x:v>
      </x:c>
      <x:c r="F6" s="6" t="s">
        <x:v>36</x:v>
      </x:c>
      <x:c r="G6" s="6" t="s">
        <x:v>37</x:v>
      </x:c>
      <x:c r="H6" s="6" t="s">
        <x:v>38</x:v>
      </x:c>
      <x:c r="I6" s="6" t="s">
        <x:v>39</x:v>
      </x:c>
      <x:c r="J6" s="9" t="s">
        <x:v>25</x:v>
      </x:c>
      <x:c r="K6" s="9" t="n">
        <x:v>132695.96</x:v>
      </x:c>
    </x:row>
    <x:row r="7">
      <x:c r="A7" s="6" t="s">
        <x:v>11</x:v>
      </x:c>
      <x:c r="B7" s="6" t="s">
        <x:v>40</x:v>
      </x:c>
      <x:c r="C7" s="6" t="s">
        <x:v>13</x:v>
      </x:c>
      <x:c r="D7" s="7" t="str">
        <x:f xml:space="preserve">HYPERLINK("https://www.infonalia.es/adjudicaciones0126/26007858.pdf","www.infonalia.es/adjudicaciones0126/26007858.pdf")</x:f>
        <x:v>www.infonalia.es/adjudicaciones0126/26007858.pdf</x:v>
      </x:c>
      <x:c r="E7" s="8" t="s">
        <x:v>41</x:v>
      </x:c>
      <x:c r="F7" s="6" t="s">
        <x:v>42</x:v>
      </x:c>
      <x:c r="G7" s="6" t="s">
        <x:v>43</x:v>
      </x:c>
      <x:c r="H7" s="6" t="s">
        <x:v>44</x:v>
      </x:c>
      <x:c r="I7" s="6" t="s">
        <x:v>39</x:v>
      </x:c>
      <x:c r="J7" s="9" t="n">
        <x:v>50000.00</x:v>
      </x:c>
      <x:c r="K7" s="9" t="n">
        <x:v>50000.00</x:v>
      </x:c>
    </x:row>
    <x:row r="8">
      <x:c r="A8" s="6" t="s">
        <x:v>11</x:v>
      </x:c>
      <x:c r="B8" s="6" t="s">
        <x:v>45</x:v>
      </x:c>
      <x:c r="C8" s="6" t="s">
        <x:v>13</x:v>
      </x:c>
      <x:c r="D8" s="7" t="str">
        <x:f xml:space="preserve">HYPERLINK("https://www.infonalia.es/adjudicaciones0126/26007900.pdf","www.infonalia.es/adjudicaciones0126/26007900.pdf")</x:f>
        <x:v>www.infonalia.es/adjudicaciones0126/26007900.pdf</x:v>
      </x:c>
      <x:c r="E8" s="8" t="s">
        <x:v>46</x:v>
      </x:c>
      <x:c r="F8" s="6" t="s">
        <x:v>47</x:v>
      </x:c>
      <x:c r="G8" s="6" t="s">
        <x:v>48</x:v>
      </x:c>
      <x:c r="H8" s="6" t="s">
        <x:v>49</x:v>
      </x:c>
      <x:c r="I8" s="6" t="s">
        <x:v>50</x:v>
      </x:c>
      <x:c r="J8" s="9" t="n">
        <x:v>30950.00</x:v>
      </x:c>
      <x:c r="K8" s="9" t="n">
        <x:v>30950.00</x:v>
      </x:c>
    </x:row>
    <x:row r="9">
      <x:c r="A9" s="6" t="s">
        <x:v>11</x:v>
      </x:c>
      <x:c r="B9" s="6" t="s">
        <x:v>51</x:v>
      </x:c>
      <x:c r="C9" s="6" t="s">
        <x:v>13</x:v>
      </x:c>
      <x:c r="D9" s="7" t="str">
        <x:f xml:space="preserve">HYPERLINK("https://www.infonalia.es/adjudicaciones0126/26007908.pdf","www.infonalia.es/adjudicaciones0126/26007908.pdf")</x:f>
        <x:v>www.infonalia.es/adjudicaciones0126/26007908.pdf</x:v>
      </x:c>
      <x:c r="E9" s="8" t="s">
        <x:v>52</x:v>
      </x:c>
      <x:c r="F9" s="6" t="s">
        <x:v>53</x:v>
      </x:c>
      <x:c r="G9" s="6" t="s">
        <x:v>54</x:v>
      </x:c>
      <x:c r="H9" s="6" t="s">
        <x:v>55</x:v>
      </x:c>
      <x:c r="I9" s="6" t="s">
        <x:v>24</x:v>
      </x:c>
      <x:c r="J9" s="9" t="n">
        <x:v>64271.42</x:v>
      </x:c>
      <x:c r="K9" s="9" t="n">
        <x:v>64271.42</x:v>
      </x:c>
    </x:row>
    <x:row r="10">
      <x:c r="A10" s="6" t="s">
        <x:v>11</x:v>
      </x:c>
      <x:c r="B10" s="6" t="s">
        <x:v>56</x:v>
      </x:c>
      <x:c r="C10" s="6" t="s">
        <x:v>13</x:v>
      </x:c>
      <x:c r="D10" s="7" t="str">
        <x:f xml:space="preserve">HYPERLINK("https://www.infonalia.es/adjudicaciones0126/26007917.pdf","www.infonalia.es/adjudicaciones0126/26007917.pdf")</x:f>
        <x:v>www.infonalia.es/adjudicaciones0126/26007917.pdf</x:v>
      </x:c>
      <x:c r="E10" s="8" t="s">
        <x:v>57</x:v>
      </x:c>
      <x:c r="F10" s="6" t="s">
        <x:v>58</x:v>
      </x:c>
      <x:c r="G10" s="6" t="s">
        <x:v>59</x:v>
      </x:c>
      <x:c r="H10" s="6" t="s">
        <x:v>60</x:v>
      </x:c>
      <x:c r="I10" s="6" t="s">
        <x:v>61</x:v>
      </x:c>
      <x:c r="J10" s="9" t="n">
        <x:v>24793.39</x:v>
      </x:c>
      <x:c r="K10" s="9" t="n">
        <x:v>24793.39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HYPERLINK("https://www.infonalia.es/adjudicaciones0126/26007945.pdf","www.infonalia.es/adjudicaciones0126/26007945.pdf")</x:f>
        <x:v>www.infonalia.es/adjudicaciones0126/26007945.pdf</x:v>
      </x:c>
      <x:c r="E11" s="8" t="s">
        <x:v>63</x:v>
      </x:c>
      <x:c r="F11" s="6" t="s">
        <x:v>64</x:v>
      </x:c>
      <x:c r="G11" s="6" t="s">
        <x:v>65</x:v>
      </x:c>
      <x:c r="H11" s="6" t="s">
        <x:v>66</x:v>
      </x:c>
      <x:c r="I11" s="6" t="s">
        <x:v>24</x:v>
      </x:c>
      <x:c r="J11" s="9" t="n">
        <x:v>118466.33</x:v>
      </x:c>
      <x:c r="K11" s="9" t="n">
        <x:v>118466.33</x:v>
      </x:c>
    </x:row>
    <x:row r="12">
      <x:c r="A12" s="6" t="s">
        <x:v>11</x:v>
      </x:c>
      <x:c r="B12" s="6" t="s">
        <x:v>67</x:v>
      </x:c>
      <x:c r="C12" s="6" t="s">
        <x:v>13</x:v>
      </x:c>
      <x:c r="D12" s="7" t="str">
        <x:f xml:space="preserve">HYPERLINK("https://www.infonalia.es/adjudicaciones0126/26008022.pdf","www.infonalia.es/adjudicaciones0126/26008022.pdf")</x:f>
        <x:v>www.infonalia.es/adjudicaciones0126/26008022.pdf</x:v>
      </x:c>
      <x:c r="E12" s="8" t="s">
        <x:v>68</x:v>
      </x:c>
      <x:c r="F12" s="6" t="s">
        <x:v>69</x:v>
      </x:c>
      <x:c r="G12" s="6" t="s">
        <x:v>70</x:v>
      </x:c>
      <x:c r="H12" s="6" t="s">
        <x:v>71</x:v>
      </x:c>
      <x:c r="I12" s="6" t="s">
        <x:v>24</x:v>
      </x:c>
      <x:c r="J12" s="9" t="n">
        <x:v>117522.00</x:v>
      </x:c>
      <x:c r="K12" s="9" t="n">
        <x:v>179084.60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