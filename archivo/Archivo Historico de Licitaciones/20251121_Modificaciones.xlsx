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<x:sst xmlns:x="http://schemas.openxmlformats.org/spreadsheetml/2006/main" count="6" uniqueCount="6">
  <x:si>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</x:si>
  <x:si>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</x:si>
  <x:si>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</x:si>
  <x:si>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</x:si>
  <x:si>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</x:si>
  <x:si>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</x:si>
  <x:si>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2025077902</x:t>
  </x:si>
  <x:si>
    <x:t>Desistimiento / Anulación</x:t>
  </x:si>
  <x:si>
    <x:t>MADRID DESTINO CULTURA TURISMO Y NEGOCIO, S.A.</x:t>
  </x:si>
  <x:si>
    <x:t>Servicio para la documentación gráfica y audiovisual de las actividades del centro de cultura contemporánea Conde Duque</x:t>
  </x:si>
  <x:si>
    <x:t>2025155305</x:t>
  </x:si>
  <x:si>
    <x:t>Cambio de fechas</x:t>
  </x:si>
  <x:si>
    <x:t>AYUNTAMIENTO DE LLEIDA</x:t>
  </x:si>
  <x:si>
    <x:t>Contratación de un servicio de fotografía y vídeo profesional por el Ayuntamiento de Lleida y establecimiento de un mecanismo de trabajo profesional audiovisual en relación con los actos oficiales y actividades municipales que dependen de la Sección de Comunicación. Organizar un sistema de trabajo para la realización, retoque y archivo de las fotografías y vídeos solicitadas por la Sección de Comunicación.</x:t>
  </x:si>
  <x:si>
    <x:t>2025155327</x:t>
  </x:si>
  <x:si>
    <x:t>BARCELONA DE SERVEIS MUNICIPALS SA</x:t>
  </x:si>
  <x:si>
    <x:t>2025MK0170AC - Comercialización en exclusiva de la publicidad en las bicicletas y estaciones del servicio de Bicing.</x:t>
  </x:si>
  <x:si>
    <x:t>2025159139</x:t>
  </x:si>
  <x:si>
    <x:t>Corrección de errores</x:t>
  </x:si>
  <x:si>
    <x:t>FUNDACIÓ PER A LA UNIVERSITAT OBERTA DE CATALUNYA</x:t>
  </x:si>
  <x:si>
    <x:t>Servicio especializado en la producción de materiales formativos online a medida, capaz de llevar a cabo de forma autónoma, integrada y paralela las diferentes fases del proceso: diseño instruccional, creación de contenidos, desarrollo multimedia y técnico, siguiendo el modelo pedagógico de la UOC y garantizando la calidad y la eficiencia en la ejecución[Lote 1 Virtualización integral de un proyecto formativo para el entorno digital - Lote 2 Generación de productos específicos: tipos infografía interactiva, videotutoriales vídeos dinámicos.]</x:t>
  </x:si>
  <x:si>
    <x:t>2025162796</x:t>
  </x:si>
  <x:si>
    <x:t>Aclaración / Ampliación de pliegos</x:t>
  </x:si>
  <x:si>
    <x:t>CORPORACIÓ CATALANA DE MITJANS AUDIOVISUALS, SA (CCMA, SA)</x:t>
  </x:si>
  <x:si>
    <x:t>Servicio de creación de imágenes digitales en diverses tipologías de grafismos y proyectos asociados. NOTA IMPORTANTE: RECOGIDA DEL BRIEFING La CCMA, S. A. dispone del briefing que las empresas licitadoras tendrán que desarrollar y que es objeto de la valoración cualitativa. Al tratarse de un documento que contiene información confidencial, las empresas que estén interesadas en recibir la documentación tendrán que enviar un correo electrónico adjuntando el Anexo debidamente cumplimentado y firmado, antes del día 3 de diciembre de 2025 a la dirección administracioiserveiscompres@ccma.cat, indicando en el asunto del correo: CPO 2511OB08 Petición briefing</x:t>
  </x:si>
  <x:si>
    <x:t>2025165267</x:t>
  </x:si>
  <x:si>
    <x:t>PRESIDENCIA DEL CONSEJO DE ADMINISTRACIÓN DE LA AUTORIDAD PORTUARIA DE BARCELONA (PORT DE BARCELONA)</x:t>
  </x:si>
  <x:si>
    <x:t>Diseño, conceptualización, construcción, montaje y desmontaje del estand del Port de Barcelona en la feria SIL BARCELONA 2026.</x:t>
  </x:si>
  <x:si>
    <x:t>2025165816</x:t>
  </x:si>
  <x:si>
    <x:t>GERENCIA DE LA UNIVERSIDAD DE ALCALÁ</x:t>
  </x:si>
  <x:si>
    <x:t>Servicios de edición, personalización, impresión y entrega a la Universidad de los títulos universitarios oficiales, suplementos europeos al título y títulos propios en formato papel</x:t>
  </x:si>
  <x:si>
    <x:t>2025165820</x:t>
  </x:si>
  <x:si>
    <x:t>PRESIDENCIA Y DIRECCIÓN DE ADMINISTRACIÓN Y FINANZAS DE LA DE LA SOCIEDAD MERCANTIL ESTATAL PARA LA GESTIÓN DE LA INNOVACIÓN Y LAS TECNOLOGÍAS TURÍSTICAS, S.A.M.P. (SEGITTUR)</x:t>
  </x:si>
  <x:si>
    <x:t>Servicios de preproducción, grabación y postproducción de vídeos promocionales y toma de fotografías para 198 destinos de España. Las necesidades a satisfacer se específican con mayor detalle en el “liego de prescripciones técnicas de la contratación"</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</x:si>
</x:sst>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HYPERLINK("https://www.infonalia.es/modificaciones1125/2025077902.pdf","www.infonalia.es/modificaciones1125/2025077902.pdf")</x:f>
        <x:v>www.infonalia.es/modificaciones1125/2025077902.pdf</x:v>
      </x:c>
      <x:c r="F2" s="5" t="str">
        <x:f xml:space="preserve">HYPERLINK("https://www.infonalia.es/licitaciones0625/2025077902.pdf","www.infonalia.es/licitaciones0625/2025077902.pdf")</x:f>
        <x:v>www.infonalia.es/licitaciones0625/2025077902.pdf</x:v>
      </x:c>
    </x:row>
    <x:row r="3">
      <x:c r="A3" s="3" t="s">
        <x:v>10</x:v>
      </x:c>
      <x:c r="B3" s="4" t="s">
        <x:v>11</x:v>
      </x:c>
      <x:c r="C3" s="4" t="s">
        <x:v>12</x:v>
      </x:c>
      <x:c r="D3" s="4" t="s">
        <x:v>13</x:v>
      </x:c>
      <x:c r="E3" s="5" t="str">
        <x:f xml:space="preserve">HYPERLINK("https://www.infonalia.es/modificaciones1125/2025155305.pdf","www.infonalia.es/modificaciones1125/2025155305.pdf")</x:f>
        <x:v>www.infonalia.es/modificaciones1125/2025155305.pdf</x:v>
      </x:c>
      <x:c r="F3" s="5" t="str">
        <x:f xml:space="preserve">HYPERLINK("https://www.infonalia.es/licitaciones1125/2025155305.pdf","www.infonalia.es/licitaciones1125/2025155305.pdf")</x:f>
        <x:v>www.infonalia.es/licitaciones1125/2025155305.pdf</x:v>
      </x:c>
    </x:row>
    <x:row r="4">
      <x:c r="A4" s="3" t="s">
        <x:v>14</x:v>
      </x:c>
      <x:c r="B4" s="4" t="s">
        <x:v>11</x:v>
      </x:c>
      <x:c r="C4" s="4" t="s">
        <x:v>15</x:v>
      </x:c>
      <x:c r="D4" s="4" t="s">
        <x:v>16</x:v>
      </x:c>
      <x:c r="E4" s="5" t="str">
        <x:f xml:space="preserve">HYPERLINK("https://www.infonalia.es/modificaciones1125/2025155327.pdf","www.infonalia.es/modificaciones1125/2025155327.pdf")</x:f>
        <x:v>www.infonalia.es/modificaciones1125/2025155327.pdf</x:v>
      </x:c>
      <x:c r="F4" s="5" t="str">
        <x:f xml:space="preserve">HYPERLINK("https://www.infonalia.es/licitaciones1125/2025155327.pdf","www.infonalia.es/licitaciones1125/2025155327.pdf")</x:f>
        <x:v>www.infonalia.es/licitaciones1125/2025155327.pdf</x:v>
      </x:c>
    </x:row>
    <x:row r="5">
      <x:c r="A5" s="3" t="s">
        <x:v>17</x:v>
      </x:c>
      <x:c r="B5" s="4" t="s">
        <x:v>18</x:v>
      </x:c>
      <x:c r="C5" s="4" t="s">
        <x:v>19</x:v>
      </x:c>
      <x:c r="D5" s="4" t="s">
        <x:v>20</x:v>
      </x:c>
      <x:c r="E5" s="5" t="str">
        <x:f xml:space="preserve">HYPERLINK("https://www.infonalia.es/modificaciones1125/2025159139.pdf","www.infonalia.es/modificaciones1125/2025159139.pdf")</x:f>
        <x:v>www.infonalia.es/modificaciones1125/2025159139.pdf</x:v>
      </x:c>
      <x:c r="F5" s="5" t="str">
        <x:f xml:space="preserve">HYPERLINK("https://www.infonalia.es/licitaciones1125/2025159139.pdf","www.infonalia.es/licitaciones1125/2025159139.pdf")</x:f>
        <x:v>www.infonalia.es/licitaciones1125/2025159139.pdf</x:v>
      </x:c>
    </x:row>
    <x:row r="6">
      <x:c r="A6" s="3" t="s">
        <x:v>21</x:v>
      </x:c>
      <x:c r="B6" s="4" t="s">
        <x:v>22</x:v>
      </x:c>
      <x:c r="C6" s="4" t="s">
        <x:v>23</x:v>
      </x:c>
      <x:c r="D6" s="4" t="s">
        <x:v>24</x:v>
      </x:c>
      <x:c r="E6" s="5" t="str">
        <x:f xml:space="preserve">HYPERLINK("https://www.infonalia.es/modificaciones1125/2025162796.pdf","www.infonalia.es/modificaciones1125/2025162796.pdf")</x:f>
        <x:v>www.infonalia.es/modificaciones1125/2025162796.pdf</x:v>
      </x:c>
      <x:c r="F6" s="5" t="str">
        <x:f xml:space="preserve">HYPERLINK("https://www.infonalia.es/licitaciones1125/2025162796.pdf","www.infonalia.es/licitaciones1125/2025162796.pdf")</x:f>
        <x:v>www.infonalia.es/licitaciones1125/2025162796.pdf</x:v>
      </x:c>
    </x:row>
    <x:row r="7">
      <x:c r="A7" s="3" t="s">
        <x:v>25</x:v>
      </x:c>
      <x:c r="B7" s="4" t="s">
        <x:v>18</x:v>
      </x:c>
      <x:c r="C7" s="4" t="s">
        <x:v>26</x:v>
      </x:c>
      <x:c r="D7" s="4" t="s">
        <x:v>27</x:v>
      </x:c>
      <x:c r="E7" s="5" t="str">
        <x:f xml:space="preserve">HYPERLINK("https://www.infonalia.es/modificaciones1125/2025165267.pdf","www.infonalia.es/modificaciones1125/2025165267.pdf")</x:f>
        <x:v>www.infonalia.es/modificaciones1125/2025165267.pdf</x:v>
      </x:c>
      <x:c r="F7" s="5" t="str">
        <x:f xml:space="preserve">HYPERLINK("https://www.infonalia.es/licitaciones1125/2025165267.pdf","www.infonalia.es/licitaciones1125/2025165267.pdf")</x:f>
        <x:v>www.infonalia.es/licitaciones1125/2025165267.pdf</x:v>
      </x:c>
    </x:row>
    <x:row r="8">
      <x:c r="A8" s="3" t="s">
        <x:v>28</x:v>
      </x:c>
      <x:c r="B8" s="4" t="s">
        <x:v>22</x:v>
      </x:c>
      <x:c r="C8" s="4" t="s">
        <x:v>29</x:v>
      </x:c>
      <x:c r="D8" s="4" t="s">
        <x:v>30</x:v>
      </x:c>
      <x:c r="E8" s="5" t="str">
        <x:f xml:space="preserve">HYPERLINK("https://www.infonalia.es/modificaciones1125/2025165816.pdf","www.infonalia.es/modificaciones1125/2025165816.pdf")</x:f>
        <x:v>www.infonalia.es/modificaciones1125/2025165816.pdf</x:v>
      </x:c>
      <x:c r="F8" s="5" t="str">
        <x:f xml:space="preserve">HYPERLINK("https://www.infonalia.es/licitaciones1125/2025165816.pdf","www.infonalia.es/licitaciones1125/2025165816.pdf")</x:f>
        <x:v>www.infonalia.es/licitaciones1125/2025165816.pdf</x:v>
      </x:c>
    </x:row>
    <x:row r="9">
      <x:c r="A9" s="3" t="s">
        <x:v>31</x:v>
      </x:c>
      <x:c r="B9" s="4" t="s">
        <x:v>18</x:v>
      </x:c>
      <x:c r="C9" s="4" t="s">
        <x:v>32</x:v>
      </x:c>
      <x:c r="D9" s="4" t="s">
        <x:v>33</x:v>
      </x:c>
      <x:c r="E9" s="5" t="str">
        <x:f xml:space="preserve">HYPERLINK("https://www.infonalia.es/modificaciones1125/2025165820.pdf","www.infonalia.es/modificaciones1125/2025165820.pdf")</x:f>
        <x:v>www.infonalia.es/modificaciones1125/2025165820.pdf</x:v>
      </x:c>
      <x:c r="F9" s="5" t="str">
        <x:f xml:space="preserve">HYPERLINK("https://www.infonalia.es/licitaciones1125/2025165820.pdf","www.infonalia.es/licitaciones1125/2025165820.pdf")</x:f>
        <x:v>www.infonalia.es/licitaciones1125/2025165820.pdf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