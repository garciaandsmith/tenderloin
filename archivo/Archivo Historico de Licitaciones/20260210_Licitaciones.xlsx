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Licitaciones" sheetId="1" r:id="rId1"/>
  </x:sheets>
  <x:definedNames>
    <x:definedName name="_xlnm._FilterDatabase" localSheetId="0" hidden="1">Licitaciones!$A$1:$Q$1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<x:sst xmlns:x="http://schemas.openxmlformats.org/spreadsheetml/2006/main" count="17" uniqueCount="17">
  <x:si>
    <x:t>TipoDato</x:t>
  </x:si>
  <x:si>
    <x:t>CodigoBoletin</x:t>
  </x:si>
  <x:si>
    <x:t>PlazoPresentacionFecha</x:t>
  </x:si>
  <x:si>
    <x:t>Referencia</x:t>
  </x:si>
  <x:si>
    <x:t>FechaIntroduccion</x:t>
  </x:si>
  <x:si>
    <x:t>OrganismoConvocante</x:t>
  </x:si>
  <x:si>
    <x:t>Objeto</x:t>
  </x:si>
  <x:si>
    <x:t>Nº Expediente</x:t>
  </x:si>
  <x:si>
    <x:t>Presupuesto</x:t>
  </x:si>
  <x:si>
    <x:t>PresupuestoVarios</x:t>
  </x:si>
  <x:si>
    <x:t>PlazoPresentacionVarios</x:t>
  </x:si>
  <x:si>
    <x:t>InformacionWeb</x:t>
  </x:si>
  <x:si>
    <x:t>PublicacionNumero</x:t>
  </x:si>
  <x:si>
    <x:t>PublicacionFecha</x:t>
  </x:si>
  <x:si>
    <x:t>Observaciones</x:t>
  </x:si>
  <x:si>
    <x:t>LugarEjecucion</x:t>
  </x:si>
  <x:si>
    <x:t>Anuncio</x:t>
  </x:si>
  <x:si>
    <x:t>Concurso</x:t>
  </x:si>
  <x:si>
    <x:t>Plataforma de Contratación del Estado</x:t>
  </x:si>
  <x:si>
    <x:t>25/02/2026</x:t>
  </x:si>
  <x:si>
    <x:t>2026014077</x:t>
  </x:si>
  <x:si>
    <x:t>10/02/2026</x:t>
  </x:si>
  <x:si>
    <x:t>DIRECCIÓN GENERAL DE LA FUNDACIÓN DEL TEATRO REAL</x:t>
  </x:si>
  <x:si>
    <x:t>Servicio de diseño, instalación y producción audiovisual así como, suministro del equipamiento técnico de sala inmersiva para la Fundación del Teatro Real, F.S.P</x:t>
  </x:si>
  <x:si>
    <x:t>CL_003/2026</x:t>
  </x:si>
  <x:si>
    <x:t>Importe sin impuestos</x:t>
  </x:si>
  <x:si>
    <x:t/>
  </x:si>
  <x:si>
    <x:t>-----</x:t>
  </x:si>
  <x:si>
    <x:t>09/02/2026</x:t>
  </x:si>
  <x:si>
    <x:t/>
  </x:si>
  <x:si>
    <x:t>Madrid</x:t>
  </x:si>
  <x:si>
    <x:t>02/03/2026</x:t>
  </x:si>
  <x:si>
    <x:t>2026014160</x:t>
  </x:si>
  <x:si>
    <x:t>JUNTA DE GOBIERNO DEL AYUNTAMIENTO DE OVIEDO (ASTURIAS)</x:t>
  </x:si>
  <x:si>
    <x:t>Concesión demanial del uso privativo del Palacio de los Deportes de Oviedo para la organización de actividades no deportivas</x:t>
  </x:si>
  <x:si>
    <x:t>CC2025/315</x:t>
  </x:si>
  <x:si>
    <x:t>Valor estimado</x:t>
  </x:si>
  <x:si>
    <x:t/>
  </x:si>
  <x:si>
    <x:t>Asturias</x:t>
  </x:si>
  <x:si>
    <x:t>24/02/2026</x:t>
  </x:si>
  <x:si>
    <x:t>2026014238</x:t>
  </x:si>
  <x:si>
    <x:t>AGÈNCIA DE RESIDUS DE CATALUNYA</x:t>
  </x:si>
  <x:si>
    <x:t>Contratación del apoyo en la inscripción y valoración de las candidaturas del Premio Catalunya d'Ecodisseny 2027. Lote 1: Apoyo en la inscripción y búsqueda de candidaturas del Premio Cataluña de Ecodiseño 2027
. Lote 2: Apoyo en la valoración y verificación de las candidaturas del Premio Cataluña de Ecodiseño 2027</x:t>
  </x:si>
  <x:si>
    <x:t>ARC-2026-102</x:t>
  </x:si>
  <x:si>
    <x:t/>
  </x:si>
  <x:si>
    <x:t>Catalunya</x:t>
  </x:si>
  <x:si>
    <x:t>11/03/2026</x:t>
  </x:si>
  <x:si>
    <x:t>2026014489</x:t>
  </x:si>
  <x:si>
    <x:t>METRO DE MADRID, S.A</x:t>
  </x:si>
  <x:si>
    <x:t>Acuerdo marco para la definición de un plan de acción y referencias de productos para la tienda de Metro de Madrid, así como su posterior suministro</x:t>
  </x:si>
  <x:si>
    <x:t>6012600047</x:t>
  </x:si>
  <x:si>
    <x:t/>
  </x:si>
  <x:si>
    <x:t>Catalunya - Plataforma de Contratación</x:t>
  </x:si>
  <x:si>
    <x:t>13/02/2026</x:t>
  </x:si>
  <x:si>
    <x:t>2026014524</x:t>
  </x:si>
  <x:si>
    <x:t>AYUNTAMIENTO DE VILADECANS (BARCELONA)</x:t>
  </x:si>
  <x:si>
    <x:t>Contratación del servicio de producción para el acto de bienvenida a los bebés 2026. El objeto del presente pliego es la contratación del servicio 
integral de dinamización, conducción, chocolatada,
 ambientación/atrezzo y materiales de comunicación para el acto 
de bienvenida de
 Bebés 2026 que se celebrará en el Parque de la Torre Roja de
 Viladecans el día 22 de febrero en la franja horaria de 11.30 a
14 horas</x:t>
  </x:si>
  <x:si>
    <x:t>15/2026/CMSERV2</x:t>
  </x:si>
  <x:si>
    <x:t>IVA excuido</x:t>
  </x:si>
  <x:si>
    <x:t/>
  </x:si>
  <x:si>
    <x:t/>
  </x:si>
  <x:si>
    <x:t>Barcelona</x:t>
  </x:si>
  <x:si>
    <x:t>2026014729</x:t>
  </x:si>
  <x:si>
    <x:t>AYUNTAMIENTO DE VILAFRANCA DEL PENEDÈS (BARCELONA)</x:t>
  </x:si>
  <x:si>
    <x:t>Servicio de dinamización de un hackatón, desarrollada con la metodología Design Thinking para el taller de generación de soluciones innovadoras a los retos empresariales en el marco del programa EConnect'26.</x:t>
  </x:si>
  <x:si>
    <x:t>141/2026/1411</x:t>
  </x:si>
  <x:si>
    <x:t/>
  </x:si>
  <x:si>
    <x:t/>
  </x:si>
  <x:si>
    <x:t>DOUE - Diario Oficial de la Unión Europea (S)</x:t>
  </x:si>
  <x:si>
    <x:t>2026014798</x:t>
  </x:si>
  <x:si>
    <x:t>DIRECCIÓN GENERAL DEL INSTITUTO PARA LA DIVERSIFICACIÓN Y AHORRO DE LA ENERGÍA (IDAE)</x:t>
  </x:si>
  <x:si>
    <x:t>Contratación del servicio de diseño, estrategia, asesoría, creatividad, definición de medios y estudios de resultados de la campaña "La transición energética en España</x:t>
  </x:si>
  <x:si>
    <x:t>CONTR/2026/011</x:t>
  </x:si>
  <x:si>
    <x:t>No consta</x:t>
  </x:si>
  <x:si>
    <x:t>26</x:t>
  </x:si>
  <x:si>
    <x:t>06/02/2026</x:t>
  </x:si>
  <x:si>
    <x:t/>
  </x:si>
  <x:si>
    <x:t>2026014816</x:t>
  </x:si>
  <x:si>
    <x:t>AYUNTAMIENTO DE MADRID. DISTRITO DE RETIRO</x:t>
  </x:si>
  <x:si>
    <x:t>Contrato de servicios de organización de actividades complementarias para las familias y personas mayores del distrito Retiro</x:t>
  </x:si>
  <x:si>
    <x:t>300/2025/03882</x:t>
  </x:si>
  <x:si>
    <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</x:si>
</x:sst>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3" fillId="0" borderId="0" applyBorder="0" applyProtection="0"/>
  </cellStyleXfs>
  <cellXfs count="15">
    <xf numFmtId="0" fontId="0" fillId="0" borderId="0" xfId="0"/>
    <xf numFmtId="0" fontId="1" fillId="0" borderId="0" xfId="0" applyFont="1" applyAlignment="1" applyProtection="1">
      <alignment vertical="center" wrapText="1"/>
    </xf>
    <xf numFmtId="0" fontId="1" fillId="0" borderId="0" xfId="0" applyFont="1" applyAlignment="1" applyProtection="1">
      <alignment horizontal="center" vertical="center" wrapText="1"/>
    </xf>
    <xf numFmtId="0" fontId="1" fillId="0" borderId="0" xfId="0" applyFont="1" applyAlignment="1" applyProtection="1">
      <alignment vertical="center"/>
    </xf>
    <xf numFmtId="0" fontId="2" fillId="2" borderId="1" xfId="0" applyFont="1" applyFill="1" applyBorder="1" applyAlignment="1" applyProtection="1">
      <alignment horizontal="center" vertical="center" wrapText="1"/>
    </xf>
    <xf numFmtId="0" fontId="1" fillId="0" borderId="0" xfId="0" applyFont="1" applyAlignment="1" applyProtection="1">
      <alignment horizontal="center" vertical="center"/>
    </xf>
    <xf numFmtId="0" fontId="1" fillId="0" borderId="1" xfId="0" applyFont="1" applyBorder="1" applyAlignment="1" applyProtection="1">
      <alignment vertical="center" wrapText="1"/>
    </xf>
    <xf numFmtId="14" fontId="1" fillId="0" borderId="1"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14" fontId="1" fillId="0" borderId="1" xfId="0" applyNumberFormat="1" applyFont="1" applyBorder="1" applyAlignment="1" applyProtection="1">
      <alignment vertical="center" wrapText="1"/>
    </xf>
    <xf numFmtId="164" fontId="1" fillId="0" borderId="2" xfId="0" applyNumberFormat="1" applyFont="1" applyBorder="1" applyAlignment="1" applyProtection="1">
      <alignment vertical="center" wrapText="1"/>
    </xf>
    <xf numFmtId="0" fontId="1" fillId="0" borderId="2" xfId="0" applyFont="1" applyBorder="1" applyAlignment="1" applyProtection="1">
      <alignment vertical="center" wrapText="1"/>
    </xf>
    <xf numFmtId="0" fontId="4" fillId="0" borderId="2" xfId="1" applyFont="1" applyBorder="1" applyAlignment="1" applyProtection="1">
      <alignment vertical="center" wrapText="1"/>
    </xf>
    <xf numFmtId="14" fontId="1" fillId="0" borderId="2" xfId="0" applyNumberFormat="1" applyFont="1" applyBorder="1" applyAlignment="1" applyProtection="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Q2"/>
  <x:sheetViews>
    <x:sheetView showGridLines="0" tabSelected="1" zoomScaleNormal="100" workbookViewId="0">
      <x:selection sqref="A1:XFD1"/>
    </x:sheetView>
  </x:sheetViews>
  <x:sheetFormatPr baseColWidth="10" defaultColWidth="11.5703125" defaultRowHeight="12.75"/>
  <x:cols>
    <x:col min="1" max="1" width="8.5703125" style="1" customWidth="1"/>
    <x:col min="2" max="2" width="18.85546875" style="1" customWidth="1"/>
    <x:col min="3" max="3" width="19.140625" style="2" customWidth="1"/>
    <x:col min="4" max="4" width="11.140625" style="2" customWidth="1"/>
    <x:col min="5" max="5" width="14.85546875" style="1" hidden="1" customWidth="1"/>
    <x:col min="6" max="6" width="24.7109375" style="1" customWidth="1"/>
    <x:col min="7" max="7" width="57.42578125" style="1" customWidth="1"/>
    <x:col min="8" max="8" width="17.140625" style="1" customWidth="1"/>
    <x:col min="9" max="9" width="14.28515625" style="1" customWidth="1"/>
    <x:col min="10" max="10" width="16.85546875" style="1" hidden="1" customWidth="1"/>
    <x:col min="11" max="11" width="19.42578125" style="1" hidden="1" customWidth="1"/>
    <x:col min="12" max="12" width="33.85546875" style="1" customWidth="1"/>
    <x:col min="13" max="13" width="15.85546875" style="1" hidden="1" customWidth="1"/>
    <x:col min="14" max="14" width="13.85546875" style="1" hidden="1" customWidth="1"/>
    <x:col min="15" max="15" width="11.7109375" style="1" hidden="1" customWidth="1"/>
    <x:col min="16" max="16" width="17.140625" style="1" customWidth="1"/>
    <x:col min="17" max="17" width="29.7109375" style="1" customWidth="1"/>
    <x:col min="18" max="16384" width="11.5703125" style="3"/>
  </x:cols>
  <x:sheetData>
    <x:row r="1" spans="1:17" s="5" customFormat="1" ht="25.5">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spans="1:17">
      <x:c r="A2" s="6" t="s">
        <x:v>17</x:v>
      </x:c>
      <x:c r="B2" s="6" t="s">
        <x:v>18</x:v>
      </x:c>
      <x:c r="C2" s="7" t="s">
        <x:v>19</x:v>
      </x:c>
      <x:c r="D2" s="8" t="s">
        <x:v>20</x:v>
      </x:c>
      <x:c r="E2" s="9" t="s">
        <x:v>21</x:v>
      </x:c>
      <x:c r="F2" s="6" t="s">
        <x:v>22</x:v>
      </x:c>
      <x:c r="G2" s="6" t="s">
        <x:v>23</x:v>
      </x:c>
      <x:c r="H2" s="6" t="s">
        <x:v>24</x:v>
      </x:c>
      <x:c r="I2" s="10" t="n">
        <x:v>104000.00</x:v>
      </x:c>
      <x:c r="J2" s="11" t="s">
        <x:v>25</x:v>
      </x:c>
      <x:c r="K2" s="11" t="s">
        <x:v>26</x:v>
      </x:c>
      <x:c r="L2" s="12" t="str">
        <x:f xml:space="preserve">HYPERLINK("https://contrataciondelestado.es/wps/poc?uri=deeplink:detalle_licitacion&amp;idEvl=S1D7Eeub4XmKeVWTb9Scog%3D%3D","contrataciondelestado.es/wps/poc?uri=deeplink:detalle_licitacion&amp;idEvl=S1D7Eeub4XmKeVWTb9Scog%3D%3D")</x:f>
        <x:v>contrataciondelestado.es/wps/poc?uri=deeplink:detalle_licitacion&amp;idEvl=S1D7Eeub4XmKeVWTb9Scog%3D%3D</x:v>
      </x:c>
      <x:c r="M2" s="11" t="s">
        <x:v>27</x:v>
      </x:c>
      <x:c r="N2" s="13" t="s">
        <x:v>28</x:v>
      </x:c>
      <x:c r="O2" s="11" t="s">
        <x:v>29</x:v>
      </x:c>
      <x:c r="P2" s="11" t="s">
        <x:v>30</x:v>
      </x:c>
      <x:c r="Q2" s="14" t="str">
        <x:f xml:space="preserve">HYPERLINK("https://www.infonalia.es/licitaciones0226/2026014077.pdf","www.infonalia.es/licitaciones0226/2026014077.pdf")</x:f>
        <x:v>www.infonalia.es/licitaciones0226/2026014077.pdf</x:v>
      </x:c>
    </x:row>
    <x:row r="3">
      <x:c r="A3" s="6" t="s">
        <x:v>17</x:v>
      </x:c>
      <x:c r="B3" s="6" t="s">
        <x:v>18</x:v>
      </x:c>
      <x:c r="C3" s="7" t="s">
        <x:v>31</x:v>
      </x:c>
      <x:c r="D3" s="8" t="s">
        <x:v>32</x:v>
      </x:c>
      <x:c r="E3" s="9" t="s">
        <x:v>21</x:v>
      </x:c>
      <x:c r="F3" s="6" t="s">
        <x:v>33</x:v>
      </x:c>
      <x:c r="G3" s="6" t="s">
        <x:v>34</x:v>
      </x:c>
      <x:c r="H3" s="6" t="s">
        <x:v>35</x:v>
      </x:c>
      <x:c r="I3" s="10" t="n">
        <x:v>11794.64</x:v>
      </x:c>
      <x:c r="J3" s="11" t="s">
        <x:v>36</x:v>
      </x:c>
      <x:c r="K3" s="11" t="s">
        <x:v>26</x:v>
      </x:c>
      <x:c r="L3" s="12" t="str">
        <x:f xml:space="preserve">HYPERLINK("https://contrataciondelestado.es/wps/poc?uri=deeplink:detalle_licitacion&amp;idEvl=Ujs%2BQkjODtDIGlsa0Wad%2Bw%3D%3D","contrataciondelestado.es/wps/poc?uri=deeplink:detalle_licitacion&amp;idEvl=Ujs%2BQkjODtDIGlsa0Wad%2Bw%3D%3D")</x:f>
        <x:v>contrataciondelestado.es/wps/poc?uri=deeplink:detalle_licitacion&amp;idEvl=Ujs%2BQkjODtDIGlsa0Wad%2Bw%3D%3D</x:v>
      </x:c>
      <x:c r="M3" s="11" t="s">
        <x:v>27</x:v>
      </x:c>
      <x:c r="N3" s="13" t="s">
        <x:v>28</x:v>
      </x:c>
      <x:c r="O3" s="11" t="s">
        <x:v>37</x:v>
      </x:c>
      <x:c r="P3" s="11" t="s">
        <x:v>38</x:v>
      </x:c>
      <x:c r="Q3" s="14" t="str">
        <x:f xml:space="preserve">HYPERLINK("https://www.infonalia.es/licitaciones0226/2026014160.pdf","www.infonalia.es/licitaciones0226/2026014160.pdf")</x:f>
        <x:v>www.infonalia.es/licitaciones0226/2026014160.pdf</x:v>
      </x:c>
    </x:row>
    <x:row r="4">
      <x:c r="A4" s="6" t="s">
        <x:v>17</x:v>
      </x:c>
      <x:c r="B4" s="6" t="s">
        <x:v>18</x:v>
      </x:c>
      <x:c r="C4" s="7" t="s">
        <x:v>39</x:v>
      </x:c>
      <x:c r="D4" s="8" t="s">
        <x:v>40</x:v>
      </x:c>
      <x:c r="E4" s="9" t="s">
        <x:v>21</x:v>
      </x:c>
      <x:c r="F4" s="6" t="s">
        <x:v>41</x:v>
      </x:c>
      <x:c r="G4" s="6" t="s">
        <x:v>42</x:v>
      </x:c>
      <x:c r="H4" s="6" t="s">
        <x:v>43</x:v>
      </x:c>
      <x:c r="I4" s="10" t="n">
        <x:v>69900.00</x:v>
      </x:c>
      <x:c r="J4" s="11" t="s">
        <x:v>25</x:v>
      </x:c>
      <x:c r="K4" s="11" t="s">
        <x:v>26</x:v>
      </x:c>
      <x:c r="L4" s="12" t="str">
        <x:f xml:space="preserve">HYPERLINK("https://contractaciopublica.cat/ca/detall-publicacio/b9789fe6-0064-4ed9-b288-4aaff2b33e56/300688800","contractaciopublica.cat/ca/detall-publicacio/b9789fe6-0064-4ed9-b288-4aaff2b33e56/300688800")</x:f>
        <x:v>contractaciopublica.cat/ca/detall-publicacio/b9789fe6-0064-4ed9-b288-4aaff2b33e56/300688800</x:v>
      </x:c>
      <x:c r="M4" s="11" t="s">
        <x:v>27</x:v>
      </x:c>
      <x:c r="N4" s="13" t="s">
        <x:v>28</x:v>
      </x:c>
      <x:c r="O4" s="11" t="s">
        <x:v>44</x:v>
      </x:c>
      <x:c r="P4" s="11" t="s">
        <x:v>45</x:v>
      </x:c>
      <x:c r="Q4" s="14" t="str">
        <x:f xml:space="preserve">HYPERLINK("https://www.infonalia.es/licitaciones0226/2026014238.pdf","www.infonalia.es/licitaciones0226/2026014238.pdf")</x:f>
        <x:v>www.infonalia.es/licitaciones0226/2026014238.pdf</x:v>
      </x:c>
    </x:row>
    <x:row r="5">
      <x:c r="A5" s="6" t="s">
        <x:v>17</x:v>
      </x:c>
      <x:c r="B5" s="6" t="s">
        <x:v>18</x:v>
      </x:c>
      <x:c r="C5" s="7" t="s">
        <x:v>46</x:v>
      </x:c>
      <x:c r="D5" s="8" t="s">
        <x:v>47</x:v>
      </x:c>
      <x:c r="E5" s="9" t="s">
        <x:v>21</x:v>
      </x:c>
      <x:c r="F5" s="6" t="s">
        <x:v>48</x:v>
      </x:c>
      <x:c r="G5" s="6" t="s">
        <x:v>49</x:v>
      </x:c>
      <x:c r="H5" s="6" t="s">
        <x:v>50</x:v>
      </x:c>
      <x:c r="I5" s="10" t="n">
        <x:v>2800000.00</x:v>
      </x:c>
      <x:c r="J5" s="11" t="s">
        <x:v>36</x:v>
      </x:c>
      <x:c r="K5" s="11" t="s">
        <x:v>26</x:v>
      </x:c>
      <x:c r="L5" s="12" t="str">
        <x:f xml:space="preserve">HYPERLINK("https://contratos-publicos.comunidad.madrid/contrato-publico/acuerdo-marco-definicion-plan-accion-referencias-productos-tienda-metro-madrid-asi","contratos-publicos.comunidad.madrid/contrato-publico/acuerdo-marco-definicion-plan-accion-referencias-productos-tienda-metro-madrid-asi")</x:f>
        <x:v>contratos-publicos.comunidad.madrid/contrato-publico/acuerdo-marco-definicion-plan-accion-referencias-productos-tienda-metro-madrid-asi</x:v>
      </x:c>
      <x:c r="M5" s="11" t="s">
        <x:v>27</x:v>
      </x:c>
      <x:c r="N5" s="13" t="s">
        <x:v>28</x:v>
      </x:c>
      <x:c r="O5" s="11" t="s">
        <x:v>51</x:v>
      </x:c>
      <x:c r="P5" s="11" t="s">
        <x:v>30</x:v>
      </x:c>
      <x:c r="Q5" s="14" t="str">
        <x:f xml:space="preserve">HYPERLINK("https://www.infonalia.es/licitaciones0226/2026014489.pdf","www.infonalia.es/licitaciones0226/2026014489.pdf")</x:f>
        <x:v>www.infonalia.es/licitaciones0226/2026014489.pdf</x:v>
      </x:c>
    </x:row>
    <x:row r="6">
      <x:c r="A6" s="6" t="s">
        <x:v>17</x:v>
      </x:c>
      <x:c r="B6" s="6" t="s">
        <x:v>52</x:v>
      </x:c>
      <x:c r="C6" s="7" t="s">
        <x:v>53</x:v>
      </x:c>
      <x:c r="D6" s="8" t="s">
        <x:v>54</x:v>
      </x:c>
      <x:c r="E6" s="9" t="s">
        <x:v>21</x:v>
      </x:c>
      <x:c r="F6" s="6" t="s">
        <x:v>55</x:v>
      </x:c>
      <x:c r="G6" s="6" t="s">
        <x:v>56</x:v>
      </x:c>
      <x:c r="H6" s="6" t="s">
        <x:v>57</x:v>
      </x:c>
      <x:c r="I6" s="10" t="n">
        <x:v>4300.00</x:v>
      </x:c>
      <x:c r="J6" s="11" t="s">
        <x:v>58</x:v>
      </x:c>
      <x:c r="K6" s="11" t="s">
        <x:v>59</x:v>
      </x:c>
      <x:c r="L6" s="12" t="str">
        <x:f xml:space="preserve">HYPERLINK("https://contractaciopublica.cat/es/detall-publicacio/300688702","contractaciopublica.cat/es/detall-publicacio/300688702")</x:f>
        <x:v>contractaciopublica.cat/es/detall-publicacio/300688702</x:v>
      </x:c>
      <x:c r="M6" s="11" t="s">
        <x:v>27</x:v>
      </x:c>
      <x:c r="N6" s="13" t="s">
        <x:v>28</x:v>
      </x:c>
      <x:c r="O6" s="11" t="s">
        <x:v>60</x:v>
      </x:c>
      <x:c r="P6" s="11" t="s">
        <x:v>61</x:v>
      </x:c>
      <x:c r="Q6" s="14" t="str">
        <x:f xml:space="preserve">HYPERLINK("https://www.infonalia.es/licitaciones0226/2026014524.pdf","www.infonalia.es/licitaciones0226/2026014524.pdf")</x:f>
        <x:v>www.infonalia.es/licitaciones0226/2026014524.pdf</x:v>
      </x:c>
    </x:row>
    <x:row r="7">
      <x:c r="A7" s="6" t="s">
        <x:v>17</x:v>
      </x:c>
      <x:c r="B7" s="6" t="s">
        <x:v>52</x:v>
      </x:c>
      <x:c r="C7" s="7" t="s">
        <x:v>53</x:v>
      </x:c>
      <x:c r="D7" s="8" t="s">
        <x:v>62</x:v>
      </x:c>
      <x:c r="E7" s="9" t="s">
        <x:v>21</x:v>
      </x:c>
      <x:c r="F7" s="6" t="s">
        <x:v>63</x:v>
      </x:c>
      <x:c r="G7" s="6" t="s">
        <x:v>64</x:v>
      </x:c>
      <x:c r="H7" s="6" t="s">
        <x:v>65</x:v>
      </x:c>
      <x:c r="I7" s="10" t="n">
        <x:v>1300.00</x:v>
      </x:c>
      <x:c r="J7" s="11" t="s">
        <x:v>58</x:v>
      </x:c>
      <x:c r="K7" s="11" t="s">
        <x:v>66</x:v>
      </x:c>
      <x:c r="L7" s="12" t="str">
        <x:f xml:space="preserve">HYPERLINK("https://contractaciopublica.cat/es/detall-publicacio/300689356","contractaciopublica.cat/es/detall-publicacio/300689356")</x:f>
        <x:v>contractaciopublica.cat/es/detall-publicacio/300689356</x:v>
      </x:c>
      <x:c r="M7" s="11" t="s">
        <x:v>27</x:v>
      </x:c>
      <x:c r="N7" s="13" t="s">
        <x:v>28</x:v>
      </x:c>
      <x:c r="O7" s="11" t="s">
        <x:v>67</x:v>
      </x:c>
      <x:c r="P7" s="11" t="s">
        <x:v>61</x:v>
      </x:c>
      <x:c r="Q7" s="14" t="str">
        <x:f xml:space="preserve">HYPERLINK("https://www.infonalia.es/licitaciones0226/2026014729.pdf","www.infonalia.es/licitaciones0226/2026014729.pdf")</x:f>
        <x:v>www.infonalia.es/licitaciones0226/2026014729.pdf</x:v>
      </x:c>
    </x:row>
    <x:row r="8">
      <x:c r="A8" s="6" t="s">
        <x:v>17</x:v>
      </x:c>
      <x:c r="B8" s="6" t="s">
        <x:v>68</x:v>
      </x:c>
      <x:c r="C8" s="7" t="s">
        <x:v>26</x:v>
      </x:c>
      <x:c r="D8" s="8" t="s">
        <x:v>69</x:v>
      </x:c>
      <x:c r="E8" s="9" t="s">
        <x:v>21</x:v>
      </x:c>
      <x:c r="F8" s="6" t="s">
        <x:v>70</x:v>
      </x:c>
      <x:c r="G8" s="6" t="s">
        <x:v>71</x:v>
      </x:c>
      <x:c r="H8" s="6" t="s">
        <x:v>72</x:v>
      </x:c>
      <x:c r="I8" s="10"/>
      <x:c r="J8" s="11" t="s">
        <x:v>73</x:v>
      </x:c>
      <x:c r="K8" s="11" t="s">
        <x:v>73</x:v>
      </x:c>
      <x:c r="L8" s="12" t="str">
        <x:f xml:space="preserve">HYPERLINK("https://contrataciondelestado.es/wps/poc?uri=deeplink:perfilContratante&amp;idBp=Sh7TDTsiNU0%3D","contrataciondelestado.es/wps/poc?uri=deeplink:perfilContratante&amp;idBp=Sh7TDTsiNU0%3D")</x:f>
        <x:v>contrataciondelestado.es/wps/poc?uri=deeplink:perfilContratante&amp;idBp=Sh7TDTsiNU0%3D</x:v>
      </x:c>
      <x:c r="M8" s="11" t="s">
        <x:v>74</x:v>
      </x:c>
      <x:c r="N8" s="13" t="s">
        <x:v>75</x:v>
      </x:c>
      <x:c r="O8" s="11" t="s">
        <x:v>76</x:v>
      </x:c>
      <x:c r="P8" s="11" t="s">
        <x:v>30</x:v>
      </x:c>
      <x:c r="Q8" s="14" t="str">
        <x:f xml:space="preserve">HYPERLINK("https://www.infonalia.es/licitaciones0226/2026014798.pdf","www.infonalia.es/licitaciones0226/2026014798.pdf")</x:f>
        <x:v>www.infonalia.es/licitaciones0226/2026014798.pdf</x:v>
      </x:c>
    </x:row>
    <x:row r="9">
      <x:c r="A9" s="6" t="s">
        <x:v>17</x:v>
      </x:c>
      <x:c r="B9" s="6" t="s">
        <x:v>68</x:v>
      </x:c>
      <x:c r="C9" s="7" t="s">
        <x:v>26</x:v>
      </x:c>
      <x:c r="D9" s="8" t="s">
        <x:v>77</x:v>
      </x:c>
      <x:c r="E9" s="9" t="s">
        <x:v>21</x:v>
      </x:c>
      <x:c r="F9" s="6" t="s">
        <x:v>78</x:v>
      </x:c>
      <x:c r="G9" s="6" t="s">
        <x:v>79</x:v>
      </x:c>
      <x:c r="H9" s="6" t="s">
        <x:v>80</x:v>
      </x:c>
      <x:c r="I9" s="10"/>
      <x:c r="J9" s="11" t="s">
        <x:v>73</x:v>
      </x:c>
      <x:c r="K9" s="11" t="s">
        <x:v>73</x:v>
      </x:c>
      <x:c r="L9" s="12" t="str">
        <x:f xml:space="preserve">HYPERLINK("https://contrataciondelestado.es/wps/poc?uri=deeplink:perfilContratante&amp;idBp=DTTNL95cxj0QK2TEfXGy%2BA%3D%3D","contrataciondelestado.es/wps/poc?uri=deeplink:perfilContratante&amp;idBp=DTTNL95cxj0QK2TEfXGy%2BA%3D%3D")</x:f>
        <x:v>contrataciondelestado.es/wps/poc?uri=deeplink:perfilContratante&amp;idBp=DTTNL95cxj0QK2TEfXGy%2BA%3D%3D</x:v>
      </x:c>
      <x:c r="M9" s="11" t="s">
        <x:v>74</x:v>
      </x:c>
      <x:c r="N9" s="13" t="s">
        <x:v>75</x:v>
      </x:c>
      <x:c r="O9" s="11" t="s">
        <x:v>81</x:v>
      </x:c>
      <x:c r="P9" s="11" t="s">
        <x:v>30</x:v>
      </x:c>
      <x:c r="Q9" s="14" t="str">
        <x:f xml:space="preserve">HYPERLINK("https://www.infonalia.es/licitaciones0226/2026014816.pdf","www.infonalia.es/licitaciones0226/2026014816.pdf")</x:f>
        <x:v>www.infonalia.es/licitaciones0226/2026014816.pdf</x:v>
      </x:c>
    </x:row>
  </x:sheetData>
  <x:autoFilter ref="A1:Q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Licitaciones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2</cp:revision>
  <dcterms:created xsi:type="dcterms:W3CDTF">2024-12-04T08:39:24Z</dcterms:created>
  <dcterms:modified xsi:type="dcterms:W3CDTF">2025-01-20T07:55:14Z</dcterms:modified>
  <dc:language>es-ES</dc:language>
</cp:coreProperties>
</file>