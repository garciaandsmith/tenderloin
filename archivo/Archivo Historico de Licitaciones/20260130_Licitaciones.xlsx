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<x:sst xmlns:x="http://schemas.openxmlformats.org/spreadsheetml/2006/main" count="17" uniqueCount="17">
  <x:si>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</x:si>
  <x:si>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</x:si>
  <x:si>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</x:si>
  <x:si>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</x:si>
  <x:si>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</x:si>
  <x:si>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</x:si>
  <x:si>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</x:si>
  <x:si>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</x:si>
  <x:si>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</x:si>
  <x:si>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</x:si>
  <x:si>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</x:si>
  <x:si>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</x:si>
  <x:si>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</x:si>
  <x:si>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</x:si>
  <x:si>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</x:si>
  <x:si>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</x:si>
  <x:si>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</x:si>
  <x:si>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</x:si>
  <x:si>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</x:si>
  <x:si>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13/02/2026</x:t>
  </x:si>
  <x:si>
    <x:t>2026009558</x:t>
  </x:si>
  <x:si>
    <x:t>30/01/2026</x:t>
  </x:si>
  <x:si>
    <x:t>DIPUTACIÓN DE GIRONA</x:t>
  </x:si>
  <x:si>
    <x:t>Girona Excelente es un sello de calidad agroalimentaria creado para impulsar, fomentar y difundir en el ámbito estatal e internacional los productos agroalimentarios gerundenses de la más alta calidad desde 2014. La obtención de la marca Girona Excelente, Sello de Calidad Agroalimentaria, permite a los productos seleccionados utilizar durante 24 meses la marca “ y difusión generales, como la aparición en los materiales divulgativos, campañas de comunicación y publicidad, presencia en redes sociales, etc. Deviene por tanto necesario contratar los servicios de producción, realización, grabación y edición de proyectos audiovisuales para la difusión del sello de calidad agroalimentaria Girona Excelente</x:t>
  </x:si>
  <x:si>
    <x:t>2025/10513</x:t>
  </x:si>
  <x:si>
    <x:t>Importe sin impuestos</x:t>
  </x:si>
  <x:si>
    <x:t/>
  </x:si>
  <x:si>
    <x:t>-----</x:t>
  </x:si>
  <x:si>
    <x:t>29/01/2026</x:t>
  </x:si>
  <x:si>
    <x:t/>
  </x:si>
  <x:si>
    <x:t>Catalunya</x:t>
  </x:si>
  <x:si>
    <x:t>2026009563</x:t>
  </x:si>
  <x:si>
    <x:t>DIRECCIÓN GENERAL DE LA ENTIDAD PÚBLICA EMPRESARIAL RED.ES</x:t>
  </x:si>
  <x:si>
    <x:t>Servicio de organización del espacio Red.es en el 40 encuentro de la economía digital y las telecomunicaciones</x:t>
  </x:si>
  <x:si>
    <x:t>035/25-CO</x:t>
  </x:si>
  <x:si>
    <x:t/>
  </x:si>
  <x:si>
    <x:t>Madrid</x:t>
  </x:si>
  <x:si>
    <x:t>04/03/2026</x:t>
  </x:si>
  <x:si>
    <x:t>2026009591</x:t>
  </x:si>
  <x:si>
    <x:t>MINISTERIO DE HACIENDA. DIRECCIÓN DEL SERVICIO DE GESTIÓN ECONÓMICA DE LA AGENCIA ESTATAL DE LA ADMINISTRACIÓN TRIBUTARIA</x:t>
  </x:si>
  <x:si>
    <x:t>Servicios de edición, maquetación, impresión y distribución del Manual práctico de Sociedades 2025 y del Manual práctico de IVA 2026 [Lote 1: Manual práctico de Sociedades 2025 - Lote 2: Manual práctico de IVA 2026]
</x:t>
  </x:si>
  <x:si>
    <x:t>26700000400</x:t>
  </x:si>
  <x:si>
    <x:t/>
  </x:si>
  <x:si>
    <x:t>Ver pliegos</x:t>
  </x:si>
  <x:si>
    <x:t>2026009619</x:t>
  </x:si>
  <x:si>
    <x:t>FUNDACIÓ BARCELONA MOBILE WORLD CAPITAL FOUNDATION</x:t>
  </x:si>
  <x:si>
    <x:t>El objeto del presente contrato consiste en la prestación de un servicio de atención al público durante la celebración del evento Talent Arena 2026, orientado a la atención, información, orientación e interacción con las personas asistentes, con el fin de garantizar el correcto desarrollo del evento y una experiencia adecuada para el público</x:t>
  </x:si>
  <x:si>
    <x:t>ASA/F202601/S</x:t>
  </x:si>
  <x:si>
    <x:t/>
  </x:si>
  <x:si>
    <x:t>Barcelona</x:t>
  </x:si>
  <x:si>
    <x:t>12/02/2026</x:t>
  </x:si>
  <x:si>
    <x:t>2026009650</x:t>
  </x:si>
  <x:si>
    <x:t>AYUNTAMIENTO DE HOSTALRIC (GIRONA)</x:t>
  </x:si>
  <x:si>
    <x:t>Prestación de los servicios de comunicación y gestión de redes sociales del Ayuntamiento de Hostalric. Las principales tareas a desarrollar se encuentran detalladas en el Pliego de prescripciones técnicas</x:t>
  </x:si>
  <x:si>
    <x:t>X2025003587</x:t>
  </x:si>
  <x:si>
    <x:t/>
  </x:si>
  <x:si>
    <x:t>Girona</x:t>
  </x:si>
  <x:si>
    <x:t>Catalunya - Plataforma de Contratación</x:t>
  </x:si>
  <x:si>
    <x:t>2026009744</x:t>
  </x:si>
  <x:si>
    <x:t>AYUNTAMIENTO DE LA BISBAL DEL PENEDÈS (TARRAGONA). CONTRATACIÓN</x:t>
  </x:si>
  <x:si>
    <x:t>Servicio de comunicación institucional y gestión de redes</x:t>
  </x:si>
  <x:si>
    <x:t>2026/108 Anuncio previo</x:t>
  </x:si>
  <x:si>
    <x:t>Valor estimado del contrato</x:t>
  </x:si>
  <x:si>
    <x:t/>
  </x:si>
  <x:si>
    <x:t/>
  </x:si>
  <x:si>
    <x:t>Tarragona</x:t>
  </x:si>
  <x:si>
    <x:t>16/02/2026</x:t>
  </x:si>
  <x:si>
    <x:t>2026009924</x:t>
  </x:si>
  <x:si>
    <x:t>CONSORCI DEL BAGES PER A LA GESTIÓ DE RESIDUS</x:t>
  </x:si>
  <x:si>
    <x:t>Servicio de comunicación y gestión de redes sociales</x:t>
  </x:si>
  <x:si>
    <x:t>1403-0016/2026</x:t>
  </x:si>
  <x:si>
    <x:t/>
  </x:si>
  <x:si>
    <x:t>2026009931</x:t>
  </x:si>
  <x:si>
    <x:t>PRESIDENCIA EJECUTIVA DE LA AGENCIA E.F.E. S.A.U., S.M.E</x:t>
  </x:si>
  <x:si>
    <x:t>Producción del acto de entrega de los premios internacionales rey de España de Periodismo</x:t>
  </x:si>
  <x:si>
    <x:t>S-26010010</x:t>
  </x:si>
  <x:si>
    <x:t/>
  </x:si>
  <x:si>
    <x:t>Madrid </x:t>
  </x:si>
  <x:si>
    <x:t>2026009966</x:t>
  </x:si>
  <x:si>
    <x:t>DIRECCIÓN DEL CONSORCIO UNIVERSITARIO DEL CENTRO ASOCIADO DE LA UNED EN MADRID-SUR</x:t>
  </x:si>
  <x:si>
    <x:t>Servicios de comunicación digital institucional para el Centro Asociado de la UNED en Madrid Sur</x:t>
  </x:si>
  <x:si>
    <x:t>PAS 1/2026</x:t>
  </x:si>
  <x:si>
    <x:t/>
  </x:si>
  <x:si>
    <x:t>2026009992</x:t>
  </x:si>
  <x:si>
    <x:t>ALCALDÍA DEL AYUNTAMIENTO DE GIJÓN (ASTURIAS)</x:t>
  </x:si>
  <x:si>
    <x:t>Servicio de grabación y producción de vídeos de carácter institucional para el gabinete de prensa del Ayuntamiento de Gijón/Xixón</x:t>
  </x:si>
  <x:si>
    <x:t>8134M/2026</x:t>
  </x:si>
  <x:si>
    <x:t/>
  </x:si>
  <x:si>
    <x:t>Asturias</x:t>
  </x:si>
  <x:si>
    <x:t>DOUE - Diario Oficial de la Unión Europea (S)</x:t>
  </x:si>
  <x:si>
    <x:t>11/03/2026</x:t>
  </x:si>
  <x:si>
    <x:t>2026010020</x:t>
  </x:si>
  <x:si>
    <x:t>EUROPEAN AGENCY FOR SAFETY AND HEALTH AT WORK (EU-OSHA)</x:t>
  </x:si>
  <x:si>
    <x:t>Organización de eventos corporativos
. Este procedimiento tiene como objetivo seleccionar una empresa que preste servicios de gestión de eventos, específicamente para apoyar a la EU-OSHA en la organización de eventos corporativos y facilitar la participación de la Agencia en eventos externos.</x:t>
  </x:si>
  <x:si>
    <x:t>OSHA/2025/OP/0038</x:t>
  </x:si>
  <x:si>
    <x:t>IVA Excluido.</x:t>
  </x:si>
  <x:si>
    <x:t/>
  </x:si>
  <x:si>
    <x:t>20</x:t>
  </x:si>
  <x:si>
    <x:t/>
  </x:si>
  <x:si>
    <x:t>19/02/2026</x:t>
  </x:si>
  <x:si>
    <x:t>2026010021</x:t>
  </x:si>
  <x:si>
    <x:t>DIPUTACIÓN DE BARCELONA</x:t>
  </x:si>
  <x:si>
    <x:t>Servicio de subtitulado para las proyecciones cinematográficas y DCP (Digital Cinema Package), y para los vídeos que forman parte de las exposiciones e instalaciones artísticas audiovisuales y los vídeos que el CCCB publica online</x:t>
  </x:si>
  <x:si>
    <x:t>2025/0005908</x:t>
  </x:si>
  <x:si>
    <x:t/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</x:si>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</x:sst>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30000.00</x:v>
      </x:c>
      <x:c r="J2" s="11" t="s">
        <x:v>25</x:v>
      </x:c>
      <x:c r="K2" s="11" t="s">
        <x:v>26</x:v>
      </x:c>
      <x:c r="L2" s="12" t="str">
        <x:f xml:space="preserve">HYPERLINK("https://contractaciopublica.cat/ca/detall-publicacio/b8d90f08-d1bc-4945-ae47-2fe8e0967b78/300676239","contractaciopublica.cat/ca/detall-publicacio/b8d90f08-d1bc-4945-ae47-2fe8e0967b78/300676239")</x:f>
        <x:v>contractaciopublica.cat/ca/detall-publicacio/b8d90f08-d1bc-4945-ae47-2fe8e0967b78/300676239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HYPERLINK("https://www.infonalia.es/licitaciones0126/2026009558.pdf","www.infonalia.es/licitaciones0126/2026009558.pdf")</x:f>
        <x:v>www.infonalia.es/licitaciones0126/2026009558.pdf</x:v>
      </x:c>
    </x:row>
    <x:row r="3">
      <x:c r="A3" s="6" t="s">
        <x:v>17</x:v>
      </x:c>
      <x:c r="B3" s="6" t="s">
        <x:v>18</x:v>
      </x:c>
      <x:c r="C3" s="7" t="s">
        <x:v>19</x:v>
      </x:c>
      <x:c r="D3" s="8" t="s">
        <x:v>31</x:v>
      </x:c>
      <x:c r="E3" s="9" t="s">
        <x:v>21</x:v>
      </x:c>
      <x:c r="F3" s="6" t="s">
        <x:v>32</x:v>
      </x:c>
      <x:c r="G3" s="6" t="s">
        <x:v>33</x:v>
      </x:c>
      <x:c r="H3" s="6" t="s">
        <x:v>34</x:v>
      </x:c>
      <x:c r="I3" s="10" t="n">
        <x:v>132261.50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HYPERLINK("https://contrataciondelestado.es/wps/poc?uri=deeplink:detalle_licitacion&amp;idEvl=bYfQRQhGgMx%2FR5QFTlaM4A%3D%3D","contrataciondelestado.es/wps/poc?uri=deeplink:detalle_licitacion&amp;idEvl=bYfQRQhGgMx%2FR5QFTlaM4A%3D%3D")</x:f>
        <x:v>contrataciondelestado.es/wps/poc?uri=deeplink:detalle_licitacion&amp;idEvl=bYfQRQhGgMx%2FR5QFTlaM4A%3D%3D</x:v>
      </x:c>
      <x:c r="M3" s="11" t="s">
        <x:v>27</x:v>
      </x:c>
      <x:c r="N3" s="13" t="s">
        <x:v>28</x:v>
      </x:c>
      <x:c r="O3" s="11" t="s">
        <x:v>35</x:v>
      </x:c>
      <x:c r="P3" s="11" t="s">
        <x:v>36</x:v>
      </x:c>
      <x:c r="Q3" s="14" t="str">
        <x:f xml:space="preserve">HYPERLINK("https://www.infonalia.es/licitaciones0126/2026009563.pdf","www.infonalia.es/licitaciones0126/2026009563.pdf")</x:f>
        <x:v>www.infonalia.es/licitaciones0126/2026009563.pdf</x:v>
      </x:c>
    </x:row>
    <x:row r="4">
      <x:c r="A4" s="6" t="s">
        <x:v>17</x:v>
      </x:c>
      <x:c r="B4" s="6" t="s">
        <x:v>18</x:v>
      </x:c>
      <x:c r="C4" s="7" t="s">
        <x:v>37</x:v>
      </x:c>
      <x:c r="D4" s="8" t="s">
        <x:v>38</x:v>
      </x:c>
      <x:c r="E4" s="9" t="s">
        <x:v>21</x:v>
      </x:c>
      <x:c r="F4" s="6" t="s">
        <x:v>39</x:v>
      </x:c>
      <x:c r="G4" s="6" t="s">
        <x:v>40</x:v>
      </x:c>
      <x:c r="H4" s="6" t="s">
        <x:v>41</x:v>
      </x:c>
      <x:c r="I4" s="10" t="n">
        <x:v>69385.40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HYPERLINK("https://contrataciondelestado.es/wps/poc?uri=deeplink:detalle_licitacion&amp;idEvl=zj0EOCvtBIyFQ%2FlhRK79lA%3D%3D","contrataciondelestado.es/wps/poc?uri=deeplink:detalle_licitacion&amp;idEvl=zj0EOCvtBIyFQ%2FlhRK79lA%3D%3D")</x:f>
        <x:v>contrataciondelestado.es/wps/poc?uri=deeplink:detalle_licitacion&amp;idEvl=zj0EOCvtBIyFQ%2FlhRK79lA%3D%3D</x:v>
      </x:c>
      <x:c r="M4" s="11" t="s">
        <x:v>27</x:v>
      </x:c>
      <x:c r="N4" s="13" t="s">
        <x:v>28</x:v>
      </x:c>
      <x:c r="O4" s="11" t="s">
        <x:v>42</x:v>
      </x:c>
      <x:c r="P4" s="11" t="s">
        <x:v>43</x:v>
      </x:c>
      <x:c r="Q4" s="14" t="str">
        <x:f xml:space="preserve">HYPERLINK("https://www.infonalia.es/licitaciones0126/2026009591.pdf","www.infonalia.es/licitaciones0126/2026009591.pdf")</x:f>
        <x:v>www.infonalia.es/licitaciones0126/2026009591.pdf</x:v>
      </x:c>
    </x:row>
    <x:row r="5">
      <x:c r="A5" s="6" t="s">
        <x:v>17</x:v>
      </x:c>
      <x:c r="B5" s="6" t="s">
        <x:v>18</x:v>
      </x:c>
      <x:c r="C5" s="7" t="s">
        <x:v>19</x:v>
      </x:c>
      <x:c r="D5" s="8" t="s">
        <x:v>44</x:v>
      </x:c>
      <x:c r="E5" s="9" t="s">
        <x:v>21</x:v>
      </x:c>
      <x:c r="F5" s="6" t="s">
        <x:v>45</x:v>
      </x:c>
      <x:c r="G5" s="6" t="s">
        <x:v>46</x:v>
      </x:c>
      <x:c r="H5" s="6" t="s">
        <x:v>47</x:v>
      </x:c>
      <x:c r="I5" s="10" t="n">
        <x:v>52580.36</x:v>
      </x:c>
      <x:c r="J5" s="11" t="s">
        <x:v>25</x:v>
      </x:c>
      <x:c r="K5" s="11" t="s">
        <x:v>26</x:v>
      </x:c>
      <x:c r="L5" s="12" t="str">
        <x:f xml:space="preserve">HYPERLINK("https://contractaciopublica.cat/es/detall-publicacio/5c9cb83a-726c-4878-a9c9-13d43d99de37/300680280","contractaciopublica.cat/es/detall-publicacio/5c9cb83a-726c-4878-a9c9-13d43d99de37/300680280")</x:f>
        <x:v>contractaciopublica.cat/es/detall-publicacio/5c9cb83a-726c-4878-a9c9-13d43d99de37/300680280</x:v>
      </x:c>
      <x:c r="M5" s="11" t="s">
        <x:v>27</x:v>
      </x:c>
      <x:c r="N5" s="13" t="s">
        <x:v>28</x:v>
      </x:c>
      <x:c r="O5" s="11" t="s">
        <x:v>48</x:v>
      </x:c>
      <x:c r="P5" s="11" t="s">
        <x:v>49</x:v>
      </x:c>
      <x:c r="Q5" s="14" t="str">
        <x:f xml:space="preserve">HYPERLINK("https://www.infonalia.es/licitaciones0126/2026009619.pdf","www.infonalia.es/licitaciones0126/2026009619.pdf")</x:f>
        <x:v>www.infonalia.es/licitaciones0126/2026009619.pdf</x:v>
      </x:c>
    </x:row>
    <x:row r="6">
      <x:c r="A6" s="6" t="s">
        <x:v>17</x:v>
      </x:c>
      <x:c r="B6" s="6" t="s">
        <x:v>18</x:v>
      </x:c>
      <x:c r="C6" s="7" t="s">
        <x:v>50</x:v>
      </x:c>
      <x:c r="D6" s="8" t="s">
        <x:v>51</x:v>
      </x:c>
      <x:c r="E6" s="9" t="s">
        <x:v>21</x:v>
      </x:c>
      <x:c r="F6" s="6" t="s">
        <x:v>52</x:v>
      </x:c>
      <x:c r="G6" s="6" t="s">
        <x:v>53</x:v>
      </x:c>
      <x:c r="H6" s="6" t="s">
        <x:v>54</x:v>
      </x:c>
      <x:c r="I6" s="10" t="n">
        <x:v>16500.00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HYPERLINK("https://contractaciopublica.cat/ca/detall-publicacio/e477b028-270e-4207-b883-b1fa4867977d/300680125","contractaciopublica.cat/ca/detall-publicacio/e477b028-270e-4207-b883-b1fa4867977d/300680125")</x:f>
        <x:v>contractaciopublica.cat/ca/detall-publicacio/e477b028-270e-4207-b883-b1fa4867977d/300680125</x:v>
      </x:c>
      <x:c r="M6" s="11" t="s">
        <x:v>27</x:v>
      </x:c>
      <x:c r="N6" s="13" t="s">
        <x:v>28</x:v>
      </x:c>
      <x:c r="O6" s="11" t="s">
        <x:v>55</x:v>
      </x:c>
      <x:c r="P6" s="11" t="s">
        <x:v>56</x:v>
      </x:c>
      <x:c r="Q6" s="14" t="str">
        <x:f xml:space="preserve">HYPERLINK("https://www.infonalia.es/licitaciones0126/2026009650.pdf","www.infonalia.es/licitaciones0126/2026009650.pdf")</x:f>
        <x:v>www.infonalia.es/licitaciones0126/2026009650.pdf</x:v>
      </x:c>
    </x:row>
    <x:row r="7">
      <x:c r="A7" s="6" t="s">
        <x:v>17</x:v>
      </x:c>
      <x:c r="B7" s="6" t="s">
        <x:v>57</x:v>
      </x:c>
      <x:c r="C7" s="7" t="s">
        <x:v>26</x:v>
      </x:c>
      <x:c r="D7" s="8" t="s">
        <x:v>58</x:v>
      </x:c>
      <x:c r="E7" s="9" t="s">
        <x:v>21</x:v>
      </x:c>
      <x:c r="F7" s="6" t="s">
        <x:v>59</x:v>
      </x:c>
      <x:c r="G7" s="6" t="s">
        <x:v>60</x:v>
      </x:c>
      <x:c r="H7" s="6" t="s">
        <x:v>61</x:v>
      </x:c>
      <x:c r="I7" s="10" t="n">
        <x:v>33396.00</x:v>
      </x:c>
      <x:c r="J7" s="11" t="s">
        <x:v>62</x:v>
      </x:c>
      <x:c r="K7" s="11" t="s">
        <x:v>63</x:v>
      </x:c>
      <x:c r="L7" s="12" t="str">
        <x:f xml:space="preserve">HYPERLINK("https://contractaciopublica.cat/es/detall-publicacio/300679651","contractaciopublica.cat/es/detall-publicacio/300679651")</x:f>
        <x:v>contractaciopublica.cat/es/detall-publicacio/300679651</x:v>
      </x:c>
      <x:c r="M7" s="11" t="s">
        <x:v>27</x:v>
      </x:c>
      <x:c r="N7" s="13" t="s">
        <x:v>28</x:v>
      </x:c>
      <x:c r="O7" s="11" t="s">
        <x:v>64</x:v>
      </x:c>
      <x:c r="P7" s="11" t="s">
        <x:v>65</x:v>
      </x:c>
      <x:c r="Q7" s="14" t="str">
        <x:f xml:space="preserve">HYPERLINK("https://www.infonalia.es/licitaciones0126/2026009744.pdf","www.infonalia.es/licitaciones0126/2026009744.pdf")</x:f>
        <x:v>www.infonalia.es/licitaciones0126/2026009744.pdf</x:v>
      </x:c>
    </x:row>
    <x:row r="8">
      <x:c r="A8" s="6" t="s">
        <x:v>17</x:v>
      </x:c>
      <x:c r="B8" s="6" t="s">
        <x:v>18</x:v>
      </x:c>
      <x:c r="C8" s="7" t="s">
        <x:v>66</x:v>
      </x:c>
      <x:c r="D8" s="8" t="s">
        <x:v>67</x:v>
      </x:c>
      <x:c r="E8" s="9" t="s">
        <x:v>21</x:v>
      </x:c>
      <x:c r="F8" s="6" t="s">
        <x:v>68</x:v>
      </x:c>
      <x:c r="G8" s="6" t="s">
        <x:v>69</x:v>
      </x:c>
      <x:c r="H8" s="6" t="s">
        <x:v>70</x:v>
      </x:c>
      <x:c r="I8" s="10" t="n">
        <x:v>123870.00</x:v>
      </x:c>
      <x:c r="J8" s="11" t="s">
        <x:v>25</x:v>
      </x:c>
      <x:c r="K8" s="11" t="s">
        <x:v>26</x:v>
      </x:c>
      <x:c r="L8" s="12" t="str">
        <x:f xml:space="preserve">HYPERLINK("https://contractaciopublica.cat/ca/detall-publicacio/f7895d8f-75f4-41a5-97e2-57e9a0409f05/300676065","contractaciopublica.cat/ca/detall-publicacio/f7895d8f-75f4-41a5-97e2-57e9a0409f05/300676065")</x:f>
        <x:v>contractaciopublica.cat/ca/detall-publicacio/f7895d8f-75f4-41a5-97e2-57e9a0409f05/300676065</x:v>
      </x:c>
      <x:c r="M8" s="11" t="s">
        <x:v>27</x:v>
      </x:c>
      <x:c r="N8" s="13" t="s">
        <x:v>21</x:v>
      </x:c>
      <x:c r="O8" s="11" t="s">
        <x:v>71</x:v>
      </x:c>
      <x:c r="P8" s="11" t="s">
        <x:v>49</x:v>
      </x:c>
      <x:c r="Q8" s="14" t="str">
        <x:f xml:space="preserve">HYPERLINK("https://www.infonalia.es/licitaciones0126/2026009924.pdf","www.infonalia.es/licitaciones0126/2026009924.pdf")</x:f>
        <x:v>www.infonalia.es/licitaciones0126/2026009924.pdf</x:v>
      </x:c>
    </x:row>
    <x:row r="9">
      <x:c r="A9" s="6" t="s">
        <x:v>17</x:v>
      </x:c>
      <x:c r="B9" s="6" t="s">
        <x:v>18</x:v>
      </x:c>
      <x:c r="C9" s="7" t="s">
        <x:v>66</x:v>
      </x:c>
      <x:c r="D9" s="8" t="s">
        <x:v>72</x:v>
      </x:c>
      <x:c r="E9" s="9" t="s">
        <x:v>21</x:v>
      </x:c>
      <x:c r="F9" s="6" t="s">
        <x:v>73</x:v>
      </x:c>
      <x:c r="G9" s="6" t="s">
        <x:v>74</x:v>
      </x:c>
      <x:c r="H9" s="6" t="s">
        <x:v>75</x:v>
      </x:c>
      <x:c r="I9" s="10" t="n">
        <x:v>32500.00</x:v>
      </x:c>
      <x:c r="J9" s="11" t="s">
        <x:v>25</x:v>
      </x:c>
      <x:c r="K9" s="11" t="s">
        <x:v>26</x:v>
      </x:c>
      <x:c r="L9" s="12" t="str">
        <x:f xml:space="preserve">HYPERLINK("https://contrataciondelestado.es/wps/poc?uri=deeplink:detalle_licitacion&amp;idEvl=oQ9QkRwoTpp70UvEyYJSGw%3D%3D","contrataciondelestado.es/wps/poc?uri=deeplink:detalle_licitacion&amp;idEvl=oQ9QkRwoTpp70UvEyYJSGw%3D%3D")</x:f>
        <x:v>contrataciondelestado.es/wps/poc?uri=deeplink:detalle_licitacion&amp;idEvl=oQ9QkRwoTpp70UvEyYJSGw%3D%3D</x:v>
      </x:c>
      <x:c r="M9" s="11" t="s">
        <x:v>27</x:v>
      </x:c>
      <x:c r="N9" s="13" t="s">
        <x:v>21</x:v>
      </x:c>
      <x:c r="O9" s="11" t="s">
        <x:v>76</x:v>
      </x:c>
      <x:c r="P9" s="11" t="s">
        <x:v>77</x:v>
      </x:c>
      <x:c r="Q9" s="14" t="str">
        <x:f xml:space="preserve">HYPERLINK("https://www.infonalia.es/licitaciones0126/2026009931.pdf","www.infonalia.es/licitaciones0126/2026009931.pdf")</x:f>
        <x:v>www.infonalia.es/licitaciones0126/2026009931.pdf</x:v>
      </x:c>
    </x:row>
    <x:row r="10">
      <x:c r="A10" s="6" t="s">
        <x:v>17</x:v>
      </x:c>
      <x:c r="B10" s="6" t="s">
        <x:v>18</x:v>
      </x:c>
      <x:c r="C10" s="7" t="s">
        <x:v>66</x:v>
      </x:c>
      <x:c r="D10" s="8" t="s">
        <x:v>78</x:v>
      </x:c>
      <x:c r="E10" s="9" t="s">
        <x:v>21</x:v>
      </x:c>
      <x:c r="F10" s="6" t="s">
        <x:v>79</x:v>
      </x:c>
      <x:c r="G10" s="6" t="s">
        <x:v>80</x:v>
      </x:c>
      <x:c r="H10" s="6" t="s">
        <x:v>81</x:v>
      </x:c>
      <x:c r="I10" s="10" t="n">
        <x:v>23500.00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HYPERLINK("https://contrataciondelestado.es/wps/poc?uri=deeplink:detalle_licitacion&amp;idEvl=GKGl0ISw2YL%2Fa9DgO%2BoYKQ%3D%3D","contrataciondelestado.es/wps/poc?uri=deeplink:detalle_licitacion&amp;idEvl=GKGl0ISw2YL%2Fa9DgO%2BoYKQ%3D%3D")</x:f>
        <x:v>contrataciondelestado.es/wps/poc?uri=deeplink:detalle_licitacion&amp;idEvl=GKGl0ISw2YL%2Fa9DgO%2BoYKQ%3D%3D</x:v>
      </x:c>
      <x:c r="M10" s="11" t="s">
        <x:v>27</x:v>
      </x:c>
      <x:c r="N10" s="13" t="s">
        <x:v>21</x:v>
      </x:c>
      <x:c r="O10" s="11" t="s">
        <x:v>82</x:v>
      </x:c>
      <x:c r="P10" s="11" t="s">
        <x:v>36</x:v>
      </x:c>
      <x:c r="Q10" s="14" t="str">
        <x:f xml:space="preserve">HYPERLINK("https://www.infonalia.es/licitaciones0126/2026009966.pdf","www.infonalia.es/licitaciones0126/2026009966.pdf")</x:f>
        <x:v>www.infonalia.es/licitaciones0126/2026009966.pdf</x:v>
      </x:c>
    </x:row>
    <x:row r="11">
      <x:c r="A11" s="6" t="s">
        <x:v>17</x:v>
      </x:c>
      <x:c r="B11" s="6" t="s">
        <x:v>18</x:v>
      </x:c>
      <x:c r="C11" s="7" t="s">
        <x:v>66</x:v>
      </x:c>
      <x:c r="D11" s="8" t="s">
        <x:v>83</x:v>
      </x:c>
      <x:c r="E11" s="9" t="s">
        <x:v>21</x:v>
      </x:c>
      <x:c r="F11" s="6" t="s">
        <x:v>84</x:v>
      </x:c>
      <x:c r="G11" s="6" t="s">
        <x:v>85</x:v>
      </x:c>
      <x:c r="H11" s="6" t="s">
        <x:v>86</x:v>
      </x:c>
      <x:c r="I11" s="10" t="n">
        <x:v>72000.00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HYPERLINK("https://contrataciondelestado.es/wps/poc?uri=deeplink:detalle_licitacion&amp;idEvl=QdrKxksUdx2FlFRHfEzEaw%3D%3D","contrataciondelestado.es/wps/poc?uri=deeplink:detalle_licitacion&amp;idEvl=QdrKxksUdx2FlFRHfEzEaw%3D%3D")</x:f>
        <x:v>contrataciondelestado.es/wps/poc?uri=deeplink:detalle_licitacion&amp;idEvl=QdrKxksUdx2FlFRHfEzEaw%3D%3D</x:v>
      </x:c>
      <x:c r="M11" s="11" t="s">
        <x:v>27</x:v>
      </x:c>
      <x:c r="N11" s="13" t="s">
        <x:v>21</x:v>
      </x:c>
      <x:c r="O11" s="11" t="s">
        <x:v>87</x:v>
      </x:c>
      <x:c r="P11" s="11" t="s">
        <x:v>88</x:v>
      </x:c>
      <x:c r="Q11" s="14" t="str">
        <x:f xml:space="preserve">HYPERLINK("https://www.infonalia.es/licitaciones0126/2026009992.pdf","www.infonalia.es/licitaciones0126/2026009992.pdf")</x:f>
        <x:v>www.infonalia.es/licitaciones0126/2026009992.pdf</x:v>
      </x:c>
    </x:row>
    <x:row r="12">
      <x:c r="A12" s="6" t="s">
        <x:v>17</x:v>
      </x:c>
      <x:c r="B12" s="6" t="s">
        <x:v>89</x:v>
      </x:c>
      <x:c r="C12" s="7" t="s">
        <x:v>90</x:v>
      </x:c>
      <x:c r="D12" s="8" t="s">
        <x:v>91</x:v>
      </x:c>
      <x:c r="E12" s="9" t="s">
        <x:v>21</x:v>
      </x:c>
      <x:c r="F12" s="6" t="s">
        <x:v>92</x:v>
      </x:c>
      <x:c r="G12" s="6" t="s">
        <x:v>93</x:v>
      </x:c>
      <x:c r="H12" s="6" t="s">
        <x:v>94</x:v>
      </x:c>
      <x:c r="I12" s="10" t="n">
        <x:v>1500000.00</x:v>
      </x:c>
      <x:c r="J12" s="11" t="s">
        <x:v>95</x:v>
      </x:c>
      <x:c r="K12" s="11" t="s">
        <x:v>96</x:v>
      </x:c>
      <x:c r="L12" s="12" t="str">
        <x:f xml:space="preserve">HYPERLINK("https://ec.europa.eu/info/funding-tenders/opportunities/portal/screen/opportunities/tender-details/260fa083-ffe2-47d5-b12d-6afaf32ad21c-CN?#anchorDocumentsCanal","ec.europa.eu/info/funding-tenders/opportunities/portal/screen/opportunities/tender-details/260fa083-ffe2-47d5-b12d-6afaf32ad21c-CN?#anchorDocumentsCanal")</x:f>
        <x:v>ec.europa.eu/info/funding-tenders/opportunities/portal/screen/opportunities/tender-details/260fa083-ffe2-47d5-b12d-6afaf32ad21c-CN?#anchorDocumentsCanal</x:v>
      </x:c>
      <x:c r="M12" s="11" t="s">
        <x:v>97</x:v>
      </x:c>
      <x:c r="N12" s="13" t="s">
        <x:v>28</x:v>
      </x:c>
      <x:c r="O12" s="11" t="s">
        <x:v>98</x:v>
      </x:c>
      <x:c r="P12" s="11" t="s">
        <x:v>43</x:v>
      </x:c>
      <x:c r="Q12" s="14" t="str">
        <x:f xml:space="preserve">HYPERLINK("https://www.infonalia.es/licitaciones0126/2026010020.pdf","www.infonalia.es/licitaciones0126/2026010020.pdf")</x:f>
        <x:v>www.infonalia.es/licitaciones0126/2026010020.pdf</x:v>
      </x:c>
    </x:row>
    <x:row r="13">
      <x:c r="A13" s="6" t="s">
        <x:v>17</x:v>
      </x:c>
      <x:c r="B13" s="6" t="s">
        <x:v>89</x:v>
      </x:c>
      <x:c r="C13" s="7" t="s">
        <x:v>99</x:v>
      </x:c>
      <x:c r="D13" s="8" t="s">
        <x:v>100</x:v>
      </x:c>
      <x:c r="E13" s="9" t="s">
        <x:v>21</x:v>
      </x:c>
      <x:c r="F13" s="6" t="s">
        <x:v>101</x:v>
      </x:c>
      <x:c r="G13" s="6" t="s">
        <x:v>102</x:v>
      </x:c>
      <x:c r="H13" s="6" t="s">
        <x:v>103</x:v>
      </x:c>
      <x:c r="I13" s="10" t="n">
        <x:v>405304.68</x:v>
      </x:c>
      <x:c r="J13" s="11" t="s">
        <x:v>95</x:v>
      </x:c>
      <x:c r="K13" s="11" t="s">
        <x:v>104</x:v>
      </x:c>
      <x:c r="L13" s="12" t="str">
        <x:f xml:space="preserve">HYPERLINK("https://seuelectronica.diba.cat","seuelectronica.diba.cat")</x:f>
        <x:v>seuelectronica.diba.cat</x:v>
      </x:c>
      <x:c r="M13" s="11" t="s">
        <x:v>97</x:v>
      </x:c>
      <x:c r="N13" s="13" t="s">
        <x:v>28</x:v>
      </x:c>
      <x:c r="O13" s="11" t="s">
        <x:v>105</x:v>
      </x:c>
      <x:c r="P13" s="11" t="s">
        <x:v>49</x:v>
      </x:c>
      <x:c r="Q13" s="14" t="str">
        <x:f xml:space="preserve">HYPERLINK("https://www.infonalia.es/licitaciones0126/2026010021.pdf","www.infonalia.es/licitaciones0126/2026010021.pdf")</x:f>
        <x:v>www.infonalia.es/licitaciones0126/2026010021.pdf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