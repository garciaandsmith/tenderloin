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Licitaciones" sheetId="1" r:id="rId1"/>
  </x:sheets>
  <x:definedNames>
    <x:definedName name="_xlnm._FilterDatabase" localSheetId="0" hidden="1">Licitaciones!$A$1:$Q$1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<x:sst xmlns:x="http://schemas.openxmlformats.org/spreadsheetml/2006/main" count="17" uniqueCount="17">
  <x:si>
    <x:t>TipoDato</x:t>
  </x:si>
  <x:si>
    <x:t>CodigoBoletin</x:t>
  </x:si>
  <x:si>
    <x:t>PlazoPresentacionFecha</x:t>
  </x:si>
  <x:si>
    <x:t>Referencia</x:t>
  </x:si>
  <x:si>
    <x:t>FechaIntroduccion</x:t>
  </x:si>
  <x:si>
    <x:t>OrganismoConvocante</x:t>
  </x:si>
  <x:si>
    <x:t>Objeto</x:t>
  </x:si>
  <x:si>
    <x:t>Nº Expediente</x:t>
  </x:si>
  <x:si>
    <x:t>Presupuesto</x:t>
  </x:si>
  <x:si>
    <x:t>PresupuestoVarios</x:t>
  </x:si>
  <x:si>
    <x:t>PlazoPresentacionVarios</x:t>
  </x:si>
  <x:si>
    <x:t>InformacionWeb</x:t>
  </x:si>
  <x:si>
    <x:t>PublicacionNumero</x:t>
  </x:si>
  <x:si>
    <x:t>PublicacionFecha</x:t>
  </x:si>
  <x:si>
    <x:t>Observaciones</x:t>
  </x:si>
  <x:si>
    <x:t>LugarEjecucion</x:t>
  </x:si>
  <x:si>
    <x:t>Anuncio</x:t>
  </x:si>
  <x:si>
    <x:t>Concurso</x:t>
  </x:si>
  <x:si>
    <x:t>Plataforma de Contratación del Estado</x:t>
  </x:si>
  <x:si>
    <x:t>22/12/2025</x:t>
  </x:si>
  <x:si>
    <x:t>2025175130</x:t>
  </x:si>
  <x:si>
    <x:t>10/12/2025</x:t>
  </x:si>
  <x:si>
    <x:t>MINISTERIO DE ECONOMÍA, COMERCIO Y EMPRESA. CONSEJO DE ADMINISTRACIÓN DE ICEX ESPAÑA EXPORTACIÓN E INVERSIONES, E.P.E.</x:t>
  </x:si>
  <x:si>
    <x:t>Contratación de los trabajos de construcción, montaje, mantenimiento y desmontaje de los Pabellones de España a organizar por ICEX en las ediciones de 2026 de las ferias 4YFN y Web Summit</x:t>
  </x:si>
  <x:si>
    <x:t>213/2025</x:t>
  </x:si>
  <x:si>
    <x:t>Importe sin impuestos</x:t>
  </x:si>
  <x:si>
    <x:t/>
  </x:si>
  <x:si>
    <x:t>-----</x:t>
  </x:si>
  <x:si>
    <x:t>09/12/2025</x:t>
  </x:si>
  <x:si>
    <x:t/>
  </x:si>
  <x:si>
    <x:t>Madrid</x:t>
  </x:si>
  <x:si>
    <x:t>24/12/2025</x:t>
  </x:si>
  <x:si>
    <x:t>2025175227</x:t>
  </x:si>
  <x:si>
    <x:t>AYUNTAMIENTO DE BARCELONA</x:t>
  </x:si>
  <x:si>
    <x:t>Ejecución de servicios para la ampliación, la creación de recursos y actividades, y la visibilización y consolidación de la Red Fem Filigranes. Lote 1 Ampliación, creación de recursos y actividades de la red Fem Filigranes. Lote 2 Visibilización y consolidación de la Red Fem Filigranes a través de la organización del Festival Món Filigranes.</x:t>
  </x:si>
  <x:si>
    <x:t>001_25003502</x:t>
  </x:si>
  <x:si>
    <x:t/>
  </x:si>
  <x:si>
    <x:t>Barcelona</x:t>
  </x:si>
  <x:si>
    <x:t>25/12/2025</x:t>
  </x:si>
  <x:si>
    <x:t>2025175336</x:t>
  </x:si>
  <x:si>
    <x:t>DIPUTACIÓN DE GIRONA</x:t>
  </x:si>
  <x:si>
    <x:t>El objeto del contrato es el servicio de creación y producción de contenidos audiovisuales destinados a apoyar la difusión de contenidos institucionales y campañas de divulgación y publicidad vinculadas a los proyectos de la Oficina de Difusión de la Diputación de Girona</x:t>
  </x:si>
  <x:si>
    <x:t>2025/10034</x:t>
  </x:si>
  <x:si>
    <x:t/>
  </x:si>
  <x:si>
    <x:t>Girona</x:t>
  </x:si>
  <x:si>
    <x:t>12/01/2026</x:t>
  </x:si>
  <x:si>
    <x:t>2025175399</x:t>
  </x:si>
  <x:si>
    <x:t>FOMENT DE CIUTAT SA</x:t>
  </x:si>
  <x:si>
    <x:t>Servicios de soporte técnico del programa de espacios de gran afluencia. Lote 1: servicios de secretaría técnico de apoyo encargado del despliegue del programa EGA en el distrito de Ciutat Vella (Barrio de la Barceloneta, Casco Antiguo y Gótico), que dé un apoyo estable, tanto en la fase de diagnosis y definición de la estrategia de intervención como en el seguimiento y evaluación de las medidas implementadas, bajo las directrices fija, colaboración con los agentes que participan de su desarrollo (Gerencia del Distrito de Ciutat Vella, Gerencia de Economía y Promoción Económica). Lote 2: servicios de secretaría técnica de apoyo encargado de la coordinación del conjunto de los espacios de intervención (programa EGA a nivel de ciudad), así como de promover el diseño y la implementación, de manera sectorial, de las estrategias y acciones que permitan cumplir los objetivos del programa y de su seguimiento, reporting y evaluación conjunta e integral, bajo las directrices fijadas por colaboración con la Gerencia de Economía y Promoción Económica</x:t>
  </x:si>
  <x:si>
    <x:t>F250000646 - F250000647</x:t>
  </x:si>
  <x:si>
    <x:t/>
  </x:si>
  <x:si>
    <x:t>2025175407</x:t>
  </x:si>
  <x:si>
    <x:t>AGÈNCIA PER A LA COMPETITIVITAT DE L'EMPRESA, ACCIÓ</x:t>
  </x:si>
  <x:si>
    <x:t>Servicios de soporte especializado para el Gabinete Técnico</x:t>
  </x:si>
  <x:si>
    <x:t>ACCIO-2026-22</x:t>
  </x:si>
  <x:si>
    <x:t/>
  </x:si>
  <x:si>
    <x:t>Inserta Empleo</x:t>
  </x:si>
  <x:si>
    <x:t>30/12/2025</x:t>
  </x:si>
  <x:si>
    <x:t>2025175447</x:t>
  </x:si>
  <x:si>
    <x:t>INSERTA EMPLEO</x:t>
  </x:si>
  <x:si>
    <x:t>Servicio de la organización, producción y desarrollo del Congreso “Retail textil con propósito: diversidad que transforma" que se celebrará en Madrid preferiblemente en el mes de mayo de 2026, en modalidad híbrida (presencial y online), con una asistencia mínima de 250 personas en modalidad presencial y
 de 100 personas on line.</x:t>
  </x:si>
  <x:si>
    <x:t>Codigo convocatoria: 008/82/25</x:t>
  </x:si>
  <x:si>
    <x:t>Ver pliegos</x:t>
  </x:si>
  <x:si>
    <x:t/>
  </x:si>
  <x:si>
    <x:t/>
  </x:si>
  <x:si>
    <x:t>Barcelona. Perfil del Contratante del Ayuntamiento</x:t>
  </x:si>
  <x:si>
    <x:t>17/12/2025</x:t>
  </x:si>
  <x:si>
    <x:t>2025175466</x:t>
  </x:si>
  <x:si>
    <x:t>CONSORCI MUSEU DE CIENCIES NATURALS DE BARCELONA</x:t>
  </x:si>
  <x:si>
    <x:t>Sonorización de las actividades que forman parte de la oferta del Consorcio del Museu de Ciències
 Naturales de Barcelona.</x:t>
  </x:si>
  <x:si>
    <x:t>079_P2500368</x:t>
  </x:si>
  <x:si>
    <x:t/>
  </x:si>
  <x:si>
    <x:t/>
  </x:si>
  <x:si>
    <x:t>Museo del Prado</x:t>
  </x:si>
  <x:si>
    <x:t>12/12/2025</x:t>
  </x:si>
  <x:si>
    <x:t>2025175499</x:t>
  </x:si>
  <x:si>
    <x:t>MUSEO DEL PRADO</x:t>
  </x:si>
  <x:si>
    <x:t>Solicitud de presupuesto para el servicio de fotografía y vídeo para piezas de promoción de colección textil.</x:t>
  </x:si>
  <x:si>
    <x:t>0609</x:t>
  </x:si>
  <x:si>
    <x:t/>
  </x:si>
  <x:si>
    <x:t/>
  </x:si>
  <x:si>
    <x:t>2025175565</x:t>
  </x:si>
  <x:si>
    <x:t>PROMOTORA D'EXPORTACIONS CATALANES, SA (PRODECA)</x:t>
  </x:si>
  <x:si>
    <x:t>Acuerdo Marco para homologar un conjunto de profesionales y/o empresas para prestar los servicios de marketing y promoción comercial internacional de Prodeca en los mercados de África en el norte del Sáhara (Lote 1), África en el Sur del Sáhara (Lote 2), América Latina (Lote 3), Asia Oriental (Lote 4), Estados Unidos y Canadá (Lote 5), Gran China (Lote 6), India y Pakistán (Lote 7), Mercados europeos (Lote 8), Oriente Medio (Lote 9) y sureste asiático (Lote 10).</x:t>
  </x:si>
  <x:si>
    <x:t>PRODECA-2026-2</x:t>
  </x:si>
  <x:si>
    <x:t/>
  </x:si>
  <x:si>
    <x:t>2025175566</x:t>
  </x:si>
  <x:si>
    <x:t>AYUNTAMIENTO DE FIGUERES (GIRONA)</x:t>
  </x:si>
  <x:si>
    <x:t>Servicio de marketing digital de la Casa Natal Salvador Dalí que consta de la planificación, ejecución, seguimiento y control de las campañas de marketing digital de la Casa Natal Salvador Dalí y del servicio de abono de gasto directo en medios publicitarios (Google, Meta y posts patrocinados en redes sociales) para la promoción de la Casa Natal Salvador Dalí, de acuerdo con la descripción (PPT)</x:t>
  </x:si>
  <x:si>
    <x:t>CONC2025000012</x:t>
  </x:si>
  <x:si>
    <x:t/>
  </x:si>
  <x:si>
    <x:t>09/01/2026</x:t>
  </x:si>
  <x:si>
    <x:t>2025175593</x:t>
  </x:si>
  <x:si>
    <x:t>MINISTERIO DE INDUSTRIA Y TURISMO. DIRECCIÓN GENERAL DE LA FUNDACIÓN EOI</x:t>
  </x:si>
  <x:si>
    <x:t>El objeto del Acuerdo Marco es la selección y contratación de los servicios de una agencia especializada de marketing y publicidad</x:t>
  </x:si>
  <x:si>
    <x:t>2025_034_AM</x:t>
  </x:si>
  <x:si>
    <x:t/>
  </x:si>
  <x:si>
    <x:t>26/12/2025</x:t>
  </x:si>
  <x:si>
    <x:t>2025175649</x:t>
  </x:si>
  <x:si>
    <x:t>JUNTA DE GOBIERNO DEL AYUNTAMIENTO DE BOADILLA DEL MONTE (MADRID)</x:t>
  </x:si>
  <x:si>
    <x:t>Servicios de corresponsales juveniles, espacios infantil y juvenil, actividades y redes sociales de la Casa de Juventud e Infancia. Lote 1: Servicio de corresponsales juveniles en los Centros Educativos, la Casa de la Juventud y los lugares habituales de ocio. Lote 2: Servicio de dinamización del Espacio Infantil. Lote 3: Servicio de dinamización del Espacio Juvenil. Lote 4: Servicio de programación, gestión, dinamización y desarrollo de actividades de formación, ocio y tiempo libre y su difusión.</x:t>
  </x:si>
  <x:si>
    <x:t>EC/45/2025</x:t>
  </x:si>
  <x:si>
    <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</x:si>
</x:sst>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3">
    <border>
      <left/>
      <right/>
      <top/>
      <bottom/>
      <diagonal/>
    </border>
    <border>
      <left/>
      <right/>
      <top/>
      <bottom style="thin">
        <color auto="1"/>
      </bottom>
      <diagonal/>
    </border>
    <border>
      <left/>
      <right/>
      <top style="thin">
        <color auto="1"/>
      </top>
      <bottom style="thin">
        <color auto="1"/>
      </bottom>
      <diagonal/>
    </border>
  </borders>
  <cellStyleXfs count="2">
    <xf numFmtId="0" fontId="0" fillId="0" borderId="0"/>
    <xf numFmtId="0" fontId="3" fillId="0" borderId="0" applyBorder="0" applyProtection="0"/>
  </cellStyleXfs>
  <cellXfs count="15">
    <xf numFmtId="0" fontId="0" fillId="0" borderId="0" xfId="0"/>
    <xf numFmtId="0" fontId="1" fillId="0" borderId="0" xfId="0" applyFont="1" applyAlignment="1" applyProtection="1">
      <alignment vertical="center" wrapText="1"/>
    </xf>
    <xf numFmtId="0" fontId="1" fillId="0" borderId="0" xfId="0" applyFont="1" applyAlignment="1" applyProtection="1">
      <alignment horizontal="center" vertical="center" wrapText="1"/>
    </xf>
    <xf numFmtId="0" fontId="1" fillId="0" borderId="0" xfId="0" applyFont="1" applyAlignment="1" applyProtection="1">
      <alignment vertical="center"/>
    </xf>
    <xf numFmtId="0" fontId="2" fillId="2" borderId="1" xfId="0" applyFont="1" applyFill="1" applyBorder="1" applyAlignment="1" applyProtection="1">
      <alignment horizontal="center" vertical="center" wrapText="1"/>
    </xf>
    <xf numFmtId="0" fontId="1" fillId="0" borderId="0" xfId="0" applyFont="1" applyAlignment="1" applyProtection="1">
      <alignment horizontal="center" vertical="center"/>
    </xf>
    <xf numFmtId="0" fontId="1" fillId="0" borderId="1" xfId="0" applyFont="1" applyBorder="1" applyAlignment="1" applyProtection="1">
      <alignment vertical="center" wrapText="1"/>
    </xf>
    <xf numFmtId="14" fontId="1" fillId="0" borderId="1" xfId="0" applyNumberFormat="1" applyFont="1" applyBorder="1" applyAlignment="1" applyProtection="1">
      <alignment horizontal="center" vertical="center" wrapText="1"/>
    </xf>
    <xf numFmtId="0" fontId="1" fillId="0" borderId="1" xfId="0" applyFont="1" applyBorder="1" applyAlignment="1" applyProtection="1">
      <alignment horizontal="center" vertical="center" wrapText="1"/>
    </xf>
    <xf numFmtId="14" fontId="1" fillId="0" borderId="1" xfId="0" applyNumberFormat="1" applyFont="1" applyBorder="1" applyAlignment="1" applyProtection="1">
      <alignment vertical="center" wrapText="1"/>
    </xf>
    <xf numFmtId="164" fontId="1" fillId="0" borderId="2" xfId="0" applyNumberFormat="1" applyFont="1" applyBorder="1" applyAlignment="1" applyProtection="1">
      <alignment vertical="center" wrapText="1"/>
    </xf>
    <xf numFmtId="0" fontId="1" fillId="0" borderId="2" xfId="0" applyFont="1" applyBorder="1" applyAlignment="1" applyProtection="1">
      <alignment vertical="center" wrapText="1"/>
    </xf>
    <xf numFmtId="0" fontId="4" fillId="0" borderId="2" xfId="1" applyFont="1" applyBorder="1" applyAlignment="1" applyProtection="1">
      <alignment vertical="center" wrapText="1"/>
    </xf>
    <xf numFmtId="14" fontId="1" fillId="0" borderId="2" xfId="0" applyNumberFormat="1" applyFont="1" applyBorder="1" applyAlignment="1" applyProtection="1">
      <alignment vertical="center" wrapText="1"/>
    </xf>
    <xf numFmtId="0" fontId="4" fillId="0" borderId="1" xfId="1" applyFont="1" applyBorder="1" applyAlignment="1" applyProtection="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Q2"/>
  <x:sheetViews>
    <x:sheetView showGridLines="0" tabSelected="1" zoomScaleNormal="100" workbookViewId="0">
      <x:selection sqref="A1:XFD1"/>
    </x:sheetView>
  </x:sheetViews>
  <x:sheetFormatPr baseColWidth="10" defaultColWidth="11.5703125" defaultRowHeight="12.75"/>
  <x:cols>
    <x:col min="1" max="1" width="8.5703125" style="1" customWidth="1"/>
    <x:col min="2" max="2" width="18.85546875" style="1" customWidth="1"/>
    <x:col min="3" max="3" width="19.140625" style="2" customWidth="1"/>
    <x:col min="4" max="4" width="11.140625" style="2" customWidth="1"/>
    <x:col min="5" max="5" width="14.85546875" style="1" hidden="1" customWidth="1"/>
    <x:col min="6" max="6" width="24.7109375" style="1" customWidth="1"/>
    <x:col min="7" max="7" width="57.42578125" style="1" customWidth="1"/>
    <x:col min="8" max="8" width="17.140625" style="1" customWidth="1"/>
    <x:col min="9" max="9" width="14.28515625" style="1" customWidth="1"/>
    <x:col min="10" max="10" width="16.85546875" style="1" hidden="1" customWidth="1"/>
    <x:col min="11" max="11" width="19.42578125" style="1" hidden="1" customWidth="1"/>
    <x:col min="12" max="12" width="33.85546875" style="1" customWidth="1"/>
    <x:col min="13" max="13" width="15.85546875" style="1" hidden="1" customWidth="1"/>
    <x:col min="14" max="14" width="13.85546875" style="1" hidden="1" customWidth="1"/>
    <x:col min="15" max="15" width="11.7109375" style="1" hidden="1" customWidth="1"/>
    <x:col min="16" max="16" width="17.140625" style="1" customWidth="1"/>
    <x:col min="17" max="17" width="29.7109375" style="1" customWidth="1"/>
    <x:col min="18" max="16384" width="11.5703125" style="3"/>
  </x:cols>
  <x:sheetData>
    <x:row r="1" spans="1:17" s="5" customFormat="1" ht="25.5">
      <x:c r="A1" s="4"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13</x:v>
      </x:c>
      <x:c r="O1" s="4" t="s">
        <x:v>14</x:v>
      </x:c>
      <x:c r="P1" s="4" t="s">
        <x:v>15</x:v>
      </x:c>
      <x:c r="Q1" s="4" t="s">
        <x:v>16</x:v>
      </x:c>
    </x:row>
    <x:row r="2" spans="1:17">
      <x:c r="A2" s="6" t="s">
        <x:v>17</x:v>
      </x:c>
      <x:c r="B2" s="6" t="s">
        <x:v>18</x:v>
      </x:c>
      <x:c r="C2" s="7" t="s">
        <x:v>19</x:v>
      </x:c>
      <x:c r="D2" s="8" t="s">
        <x:v>20</x:v>
      </x:c>
      <x:c r="E2" s="9" t="s">
        <x:v>21</x:v>
      </x:c>
      <x:c r="F2" s="6" t="s">
        <x:v>22</x:v>
      </x:c>
      <x:c r="G2" s="6" t="s">
        <x:v>23</x:v>
      </x:c>
      <x:c r="H2" s="6" t="s">
        <x:v>24</x:v>
      </x:c>
      <x:c r="I2" s="10" t="n">
        <x:v>82012.50</x:v>
      </x:c>
      <x:c r="J2" s="11" t="s">
        <x:v>25</x:v>
      </x:c>
      <x:c r="K2" s="11" t="s">
        <x:v>26</x:v>
      </x:c>
      <x:c r="L2" s="12" t="str">
        <x:f xml:space="preserve">HYPERLINK("https://contrataciondelestado.es/wps/poc?uri=deeplink:detalle_licitacion&amp;idEvl=N%2FmslJwn8wIkJPJS%2BPS9vg%3D%3D","contrataciondelestado.es/wps/poc?uri=deeplink:detalle_licitacion&amp;idEvl=N%2FmslJwn8wIkJPJS%2BPS9vg%3D%3D")</x:f>
        <x:v>contrataciondelestado.es/wps/poc?uri=deeplink:detalle_licitacion&amp;idEvl=N%2FmslJwn8wIkJPJS%2BPS9vg%3D%3D</x:v>
      </x:c>
      <x:c r="M2" s="11" t="s">
        <x:v>27</x:v>
      </x:c>
      <x:c r="N2" s="13" t="s">
        <x:v>28</x:v>
      </x:c>
      <x:c r="O2" s="11" t="s">
        <x:v>29</x:v>
      </x:c>
      <x:c r="P2" s="11" t="s">
        <x:v>30</x:v>
      </x:c>
      <x:c r="Q2" s="14" t="str">
        <x:f xml:space="preserve">HYPERLINK("https://www.infonalia.es/licitaciones1225/2025175130.pdf","www.infonalia.es/licitaciones1225/2025175130.pdf")</x:f>
        <x:v>www.infonalia.es/licitaciones1225/2025175130.pdf</x:v>
      </x:c>
    </x:row>
    <x:row r="3">
      <x:c r="A3" s="6" t="s">
        <x:v>17</x:v>
      </x:c>
      <x:c r="B3" s="6" t="s">
        <x:v>18</x:v>
      </x:c>
      <x:c r="C3" s="7" t="s">
        <x:v>31</x:v>
      </x:c>
      <x:c r="D3" s="8" t="s">
        <x:v>32</x:v>
      </x:c>
      <x:c r="E3" s="9" t="s">
        <x:v>21</x:v>
      </x:c>
      <x:c r="F3" s="6" t="s">
        <x:v>33</x:v>
      </x:c>
      <x:c r="G3" s="6" t="s">
        <x:v>34</x:v>
      </x:c>
      <x:c r="H3" s="6" t="s">
        <x:v>35</x:v>
      </x:c>
      <x:c r="I3" s="10" t="n">
        <x:v>41328.73</x:v>
      </x:c>
      <x:c r="J3" s="11" t="s">
        <x:v>25</x:v>
      </x:c>
      <x:c r="K3" s="11" t="s">
        <x:v>26</x:v>
      </x:c>
      <x:c r="L3" s="12" t="str">
        <x:f xml:space="preserve">HYPERLINK("https://contractaciopublica.cat/ca/detall-publicacio/b19345a1-c329-4cc5-9506-0000e11214ce/300636794","contractaciopublica.cat/ca/detall-publicacio/b19345a1-c329-4cc5-9506-0000e11214ce/300636794")</x:f>
        <x:v>contractaciopublica.cat/ca/detall-publicacio/b19345a1-c329-4cc5-9506-0000e11214ce/300636794</x:v>
      </x:c>
      <x:c r="M3" s="11" t="s">
        <x:v>27</x:v>
      </x:c>
      <x:c r="N3" s="13" t="s">
        <x:v>28</x:v>
      </x:c>
      <x:c r="O3" s="11" t="s">
        <x:v>36</x:v>
      </x:c>
      <x:c r="P3" s="11" t="s">
        <x:v>37</x:v>
      </x:c>
      <x:c r="Q3" s="14" t="str">
        <x:f xml:space="preserve">HYPERLINK("https://www.infonalia.es/licitaciones1225/2025175227.pdf","www.infonalia.es/licitaciones1225/2025175227.pdf")</x:f>
        <x:v>www.infonalia.es/licitaciones1225/2025175227.pdf</x:v>
      </x:c>
    </x:row>
    <x:row r="4">
      <x:c r="A4" s="6" t="s">
        <x:v>17</x:v>
      </x:c>
      <x:c r="B4" s="6" t="s">
        <x:v>18</x:v>
      </x:c>
      <x:c r="C4" s="7" t="s">
        <x:v>38</x:v>
      </x:c>
      <x:c r="D4" s="8" t="s">
        <x:v>39</x:v>
      </x:c>
      <x:c r="E4" s="9" t="s">
        <x:v>21</x:v>
      </x:c>
      <x:c r="F4" s="6" t="s">
        <x:v>40</x:v>
      </x:c>
      <x:c r="G4" s="6" t="s">
        <x:v>41</x:v>
      </x:c>
      <x:c r="H4" s="6" t="s">
        <x:v>42</x:v>
      </x:c>
      <x:c r="I4" s="10" t="n">
        <x:v>40000.00</x:v>
      </x:c>
      <x:c r="J4" s="11" t="s">
        <x:v>25</x:v>
      </x:c>
      <x:c r="K4" s="11" t="s">
        <x:v>26</x:v>
      </x:c>
      <x:c r="L4" s="12" t="str">
        <x:f xml:space="preserve">HYPERLINK("https://contractaciopublica.cat/ca/detall-publicacio/9ed748d2-9f62-4709-9aa6-7ebc871ef498/300630073","contractaciopublica.cat/ca/detall-publicacio/9ed748d2-9f62-4709-9aa6-7ebc871ef498/300630073")</x:f>
        <x:v>contractaciopublica.cat/ca/detall-publicacio/9ed748d2-9f62-4709-9aa6-7ebc871ef498/300630073</x:v>
      </x:c>
      <x:c r="M4" s="11" t="s">
        <x:v>27</x:v>
      </x:c>
      <x:c r="N4" s="13" t="s">
        <x:v>28</x:v>
      </x:c>
      <x:c r="O4" s="11" t="s">
        <x:v>43</x:v>
      </x:c>
      <x:c r="P4" s="11" t="s">
        <x:v>44</x:v>
      </x:c>
      <x:c r="Q4" s="14" t="str">
        <x:f xml:space="preserve">HYPERLINK("https://www.infonalia.es/licitaciones1225/2025175336.pdf","www.infonalia.es/licitaciones1225/2025175336.pdf")</x:f>
        <x:v>www.infonalia.es/licitaciones1225/2025175336.pdf</x:v>
      </x:c>
    </x:row>
    <x:row r="5">
      <x:c r="A5" s="6" t="s">
        <x:v>17</x:v>
      </x:c>
      <x:c r="B5" s="6" t="s">
        <x:v>18</x:v>
      </x:c>
      <x:c r="C5" s="7" t="s">
        <x:v>45</x:v>
      </x:c>
      <x:c r="D5" s="8" t="s">
        <x:v>46</x:v>
      </x:c>
      <x:c r="E5" s="9" t="s">
        <x:v>21</x:v>
      </x:c>
      <x:c r="F5" s="6" t="s">
        <x:v>47</x:v>
      </x:c>
      <x:c r="G5" s="6" t="s">
        <x:v>48</x:v>
      </x:c>
      <x:c r="H5" s="6" t="s">
        <x:v>49</x:v>
      </x:c>
      <x:c r="I5" s="10" t="n">
        <x:v>129296.51</x:v>
      </x:c>
      <x:c r="J5" s="11" t="s">
        <x:v>25</x:v>
      </x:c>
      <x:c r="K5" s="11" t="s">
        <x:v>26</x:v>
      </x:c>
      <x:c r="L5" s="12" t="str">
        <x:f xml:space="preserve">HYPERLINK("https://contractaciopublica.cat/ca/detall-publicacio/97bd99b5-bd87-4281-8cde-209522557015/300635591","contractaciopublica.cat/ca/detall-publicacio/97bd99b5-bd87-4281-8cde-209522557015/300635591")</x:f>
        <x:v>contractaciopublica.cat/ca/detall-publicacio/97bd99b5-bd87-4281-8cde-209522557015/300635591</x:v>
      </x:c>
      <x:c r="M5" s="11" t="s">
        <x:v>27</x:v>
      </x:c>
      <x:c r="N5" s="13" t="s">
        <x:v>28</x:v>
      </x:c>
      <x:c r="O5" s="11" t="s">
        <x:v>50</x:v>
      </x:c>
      <x:c r="P5" s="11" t="s">
        <x:v>37</x:v>
      </x:c>
      <x:c r="Q5" s="14" t="str">
        <x:f xml:space="preserve">HYPERLINK("https://www.infonalia.es/licitaciones1225/2025175399.pdf","www.infonalia.es/licitaciones1225/2025175399.pdf")</x:f>
        <x:v>www.infonalia.es/licitaciones1225/2025175399.pdf</x:v>
      </x:c>
    </x:row>
    <x:row r="6">
      <x:c r="A6" s="6" t="s">
        <x:v>17</x:v>
      </x:c>
      <x:c r="B6" s="6" t="s">
        <x:v>18</x:v>
      </x:c>
      <x:c r="C6" s="7" t="s">
        <x:v>31</x:v>
      </x:c>
      <x:c r="D6" s="8" t="s">
        <x:v>51</x:v>
      </x:c>
      <x:c r="E6" s="9" t="s">
        <x:v>21</x:v>
      </x:c>
      <x:c r="F6" s="6" t="s">
        <x:v>52</x:v>
      </x:c>
      <x:c r="G6" s="6" t="s">
        <x:v>53</x:v>
      </x:c>
      <x:c r="H6" s="6" t="s">
        <x:v>54</x:v>
      </x:c>
      <x:c r="I6" s="10" t="n">
        <x:v>53761.79</x:v>
      </x:c>
      <x:c r="J6" s="11" t="s">
        <x:v>25</x:v>
      </x:c>
      <x:c r="K6" s="11" t="s">
        <x:v>26</x:v>
      </x:c>
      <x:c r="L6" s="12" t="str">
        <x:f xml:space="preserve">HYPERLINK("https://contractaciopublica.cat/ca/detall-publicacio/ba436e31-503b-45c2-8814-c0b6bf37bbdc/300640306","contractaciopublica.cat/ca/detall-publicacio/ba436e31-503b-45c2-8814-c0b6bf37bbdc/300640306")</x:f>
        <x:v>contractaciopublica.cat/ca/detall-publicacio/ba436e31-503b-45c2-8814-c0b6bf37bbdc/300640306</x:v>
      </x:c>
      <x:c r="M6" s="11" t="s">
        <x:v>27</x:v>
      </x:c>
      <x:c r="N6" s="13" t="s">
        <x:v>28</x:v>
      </x:c>
      <x:c r="O6" s="11" t="s">
        <x:v>55</x:v>
      </x:c>
      <x:c r="P6" s="11" t="s">
        <x:v>37</x:v>
      </x:c>
      <x:c r="Q6" s="14" t="str">
        <x:f xml:space="preserve">HYPERLINK("https://www.infonalia.es/licitaciones1225/2025175407.pdf","www.infonalia.es/licitaciones1225/2025175407.pdf")</x:f>
        <x:v>www.infonalia.es/licitaciones1225/2025175407.pdf</x:v>
      </x:c>
    </x:row>
    <x:row r="7">
      <x:c r="A7" s="6" t="s">
        <x:v>17</x:v>
      </x:c>
      <x:c r="B7" s="6" t="s">
        <x:v>56</x:v>
      </x:c>
      <x:c r="C7" s="7" t="s">
        <x:v>57</x:v>
      </x:c>
      <x:c r="D7" s="8" t="s">
        <x:v>58</x:v>
      </x:c>
      <x:c r="E7" s="9" t="s">
        <x:v>21</x:v>
      </x:c>
      <x:c r="F7" s="6" t="s">
        <x:v>59</x:v>
      </x:c>
      <x:c r="G7" s="6" t="s">
        <x:v>60</x:v>
      </x:c>
      <x:c r="H7" s="6" t="s">
        <x:v>61</x:v>
      </x:c>
      <x:c r="I7" s="10"/>
      <x:c r="J7" s="11" t="s">
        <x:v>62</x:v>
      </x:c>
      <x:c r="K7" s="11" t="s">
        <x:v>63</x:v>
      </x:c>
      <x:c r="L7" s="12" t="str">
        <x:f xml:space="preserve">HYPERLINK("https://www.insertaempleo.es/perfil-contratante/servicio-organizacion-produccion-y-desarrollo-congreso-retail-textil-proposito","www.insertaempleo.es/perfil-contratante/servicio-organizacion-produccion-y-desarrollo-congreso-retail-textil-proposito")</x:f>
        <x:v>www.insertaempleo.es/perfil-contratante/servicio-organizacion-produccion-y-desarrollo-congreso-retail-textil-proposito</x:v>
      </x:c>
      <x:c r="M7" s="11" t="s">
        <x:v>27</x:v>
      </x:c>
      <x:c r="N7" s="13" t="s">
        <x:v>28</x:v>
      </x:c>
      <x:c r="O7" s="11" t="s">
        <x:v>64</x:v>
      </x:c>
      <x:c r="P7" s="11" t="s">
        <x:v>30</x:v>
      </x:c>
      <x:c r="Q7" s="14" t="str">
        <x:f xml:space="preserve">HYPERLINK("https://www.infonalia.es/licitaciones1225/2025175447.pdf","www.infonalia.es/licitaciones1225/2025175447.pdf")</x:f>
        <x:v>www.infonalia.es/licitaciones1225/2025175447.pdf</x:v>
      </x:c>
    </x:row>
    <x:row r="8">
      <x:c r="A8" s="6" t="s">
        <x:v>17</x:v>
      </x:c>
      <x:c r="B8" s="6" t="s">
        <x:v>65</x:v>
      </x:c>
      <x:c r="C8" s="7" t="s">
        <x:v>66</x:v>
      </x:c>
      <x:c r="D8" s="8" t="s">
        <x:v>67</x:v>
      </x:c>
      <x:c r="E8" s="9" t="s">
        <x:v>21</x:v>
      </x:c>
      <x:c r="F8" s="6" t="s">
        <x:v>68</x:v>
      </x:c>
      <x:c r="G8" s="6" t="s">
        <x:v>69</x:v>
      </x:c>
      <x:c r="H8" s="6" t="s">
        <x:v>70</x:v>
      </x:c>
      <x:c r="I8" s="10" t="n">
        <x:v>9000.00</x:v>
      </x:c>
      <x:c r="J8" s="11" t="s">
        <x:v>25</x:v>
      </x:c>
      <x:c r="K8" s="11" t="s">
        <x:v>71</x:v>
      </x:c>
      <x:c r="L8" s="12" t="str">
        <x:f xml:space="preserve">HYPERLINK("https://Menor con concurrencia","Menor con concurrencia")</x:f>
        <x:v>Menor con concurrencia</x:v>
      </x:c>
      <x:c r="M8" s="11" t="s">
        <x:v>27</x:v>
      </x:c>
      <x:c r="N8" s="13" t="s">
        <x:v>28</x:v>
      </x:c>
      <x:c r="O8" s="11" t="s">
        <x:v>72</x:v>
      </x:c>
      <x:c r="P8" s="11" t="s">
        <x:v>37</x:v>
      </x:c>
      <x:c r="Q8" s="14" t="str">
        <x:f xml:space="preserve">HYPERLINK("https://www.infonalia.es/licitaciones1225/2025175466.pdf","www.infonalia.es/licitaciones1225/2025175466.pdf")</x:f>
        <x:v>www.infonalia.es/licitaciones1225/2025175466.pdf</x:v>
      </x:c>
    </x:row>
    <x:row r="9">
      <x:c r="A9" s="6" t="s">
        <x:v>17</x:v>
      </x:c>
      <x:c r="B9" s="6" t="s">
        <x:v>73</x:v>
      </x:c>
      <x:c r="C9" s="7" t="s">
        <x:v>74</x:v>
      </x:c>
      <x:c r="D9" s="8" t="s">
        <x:v>75</x:v>
      </x:c>
      <x:c r="E9" s="9" t="s">
        <x:v>21</x:v>
      </x:c>
      <x:c r="F9" s="6" t="s">
        <x:v>76</x:v>
      </x:c>
      <x:c r="G9" s="6" t="s">
        <x:v>77</x:v>
      </x:c>
      <x:c r="H9" s="6" t="s">
        <x:v>78</x:v>
      </x:c>
      <x:c r="I9" s="10"/>
      <x:c r="J9" s="11" t="s">
        <x:v>62</x:v>
      </x:c>
      <x:c r="K9" s="11" t="s">
        <x:v>79</x:v>
      </x:c>
      <x:c r="L9" s="12" t="str">
        <x:f xml:space="preserve">HYPERLINK("https://museodelpradodifusion.es/archivos/4052","museodelpradodifusion.es/archivos/4052")</x:f>
        <x:v>museodelpradodifusion.es/archivos/4052</x:v>
      </x:c>
      <x:c r="M9" s="11" t="s">
        <x:v>27</x:v>
      </x:c>
      <x:c r="N9" s="13" t="s">
        <x:v>28</x:v>
      </x:c>
      <x:c r="O9" s="11" t="s">
        <x:v>80</x:v>
      </x:c>
      <x:c r="P9" s="11" t="s">
        <x:v>30</x:v>
      </x:c>
      <x:c r="Q9" s="14" t="str">
        <x:f xml:space="preserve">HYPERLINK("https://www.infonalia.es/licitaciones1225/2025175499.pdf","www.infonalia.es/licitaciones1225/2025175499.pdf")</x:f>
        <x:v>www.infonalia.es/licitaciones1225/2025175499.pdf</x:v>
      </x:c>
    </x:row>
    <x:row r="10">
      <x:c r="A10" s="6" t="s">
        <x:v>17</x:v>
      </x:c>
      <x:c r="B10" s="6" t="s">
        <x:v>18</x:v>
      </x:c>
      <x:c r="C10" s="7" t="s">
        <x:v>45</x:v>
      </x:c>
      <x:c r="D10" s="8" t="s">
        <x:v>81</x:v>
      </x:c>
      <x:c r="E10" s="9" t="s">
        <x:v>21</x:v>
      </x:c>
      <x:c r="F10" s="6" t="s">
        <x:v>82</x:v>
      </x:c>
      <x:c r="G10" s="6" t="s">
        <x:v>83</x:v>
      </x:c>
      <x:c r="H10" s="6" t="s">
        <x:v>84</x:v>
      </x:c>
      <x:c r="I10" s="10" t="n">
        <x:v>4920000.00</x:v>
      </x:c>
      <x:c r="J10" s="11" t="s">
        <x:v>25</x:v>
      </x:c>
      <x:c r="K10" s="11" t="s">
        <x:v>26</x:v>
      </x:c>
      <x:c r="L10" s="12" t="str">
        <x:f xml:space="preserve">HYPERLINK("https://contractaciopublica.cat/ca/detall-publicacio/b0b17a78-eac5-45f8-bb18-f718362b3b86/300637046","contractaciopublica.cat/ca/detall-publicacio/b0b17a78-eac5-45f8-bb18-f718362b3b86/300637046")</x:f>
        <x:v>contractaciopublica.cat/ca/detall-publicacio/b0b17a78-eac5-45f8-bb18-f718362b3b86/300637046</x:v>
      </x:c>
      <x:c r="M10" s="11" t="s">
        <x:v>27</x:v>
      </x:c>
      <x:c r="N10" s="13" t="s">
        <x:v>21</x:v>
      </x:c>
      <x:c r="O10" s="11" t="s">
        <x:v>85</x:v>
      </x:c>
      <x:c r="P10" s="11" t="s">
        <x:v>62</x:v>
      </x:c>
      <x:c r="Q10" s="14" t="str">
        <x:f xml:space="preserve">HYPERLINK("https://www.infonalia.es/licitaciones1225/2025175565.pdf","www.infonalia.es/licitaciones1225/2025175565.pdf")</x:f>
        <x:v>www.infonalia.es/licitaciones1225/2025175565.pdf</x:v>
      </x:c>
    </x:row>
    <x:row r="11">
      <x:c r="A11" s="6" t="s">
        <x:v>17</x:v>
      </x:c>
      <x:c r="B11" s="6" t="s">
        <x:v>18</x:v>
      </x:c>
      <x:c r="C11" s="7" t="s">
        <x:v>45</x:v>
      </x:c>
      <x:c r="D11" s="8" t="s">
        <x:v>86</x:v>
      </x:c>
      <x:c r="E11" s="9" t="s">
        <x:v>21</x:v>
      </x:c>
      <x:c r="F11" s="6" t="s">
        <x:v>87</x:v>
      </x:c>
      <x:c r="G11" s="6" t="s">
        <x:v>88</x:v>
      </x:c>
      <x:c r="H11" s="6" t="s">
        <x:v>89</x:v>
      </x:c>
      <x:c r="I11" s="10" t="n">
        <x:v>132928.77</x:v>
      </x:c>
      <x:c r="J11" s="11" t="s">
        <x:v>25</x:v>
      </x:c>
      <x:c r="K11" s="11" t="s">
        <x:v>26</x:v>
      </x:c>
      <x:c r="L11" s="12" t="str">
        <x:f xml:space="preserve">HYPERLINK("https://contractaciopublica.cat/ca/detall-publicacio/e0df6a62-a675-41c5-b1b0-f75505d8ddbb/300635227","contractaciopublica.cat/ca/detall-publicacio/e0df6a62-a675-41c5-b1b0-f75505d8ddbb/300635227")</x:f>
        <x:v>contractaciopublica.cat/ca/detall-publicacio/e0df6a62-a675-41c5-b1b0-f75505d8ddbb/300635227</x:v>
      </x:c>
      <x:c r="M11" s="11" t="s">
        <x:v>27</x:v>
      </x:c>
      <x:c r="N11" s="13" t="s">
        <x:v>21</x:v>
      </x:c>
      <x:c r="O11" s="11" t="s">
        <x:v>90</x:v>
      </x:c>
      <x:c r="P11" s="11" t="s">
        <x:v>44</x:v>
      </x:c>
      <x:c r="Q11" s="14" t="str">
        <x:f xml:space="preserve">HYPERLINK("https://www.infonalia.es/licitaciones1225/2025175566.pdf","www.infonalia.es/licitaciones1225/2025175566.pdf")</x:f>
        <x:v>www.infonalia.es/licitaciones1225/2025175566.pdf</x:v>
      </x:c>
    </x:row>
    <x:row r="12">
      <x:c r="A12" s="6" t="s">
        <x:v>17</x:v>
      </x:c>
      <x:c r="B12" s="6" t="s">
        <x:v>18</x:v>
      </x:c>
      <x:c r="C12" s="7" t="s">
        <x:v>91</x:v>
      </x:c>
      <x:c r="D12" s="8" t="s">
        <x:v>92</x:v>
      </x:c>
      <x:c r="E12" s="9" t="s">
        <x:v>21</x:v>
      </x:c>
      <x:c r="F12" s="6" t="s">
        <x:v>93</x:v>
      </x:c>
      <x:c r="G12" s="6" t="s">
        <x:v>94</x:v>
      </x:c>
      <x:c r="H12" s="6" t="s">
        <x:v>95</x:v>
      </x:c>
      <x:c r="I12" s="10" t="n">
        <x:v>720000.00</x:v>
      </x:c>
      <x:c r="J12" s="11" t="s">
        <x:v>25</x:v>
      </x:c>
      <x:c r="K12" s="11" t="s">
        <x:v>26</x:v>
      </x:c>
      <x:c r="L12" s="12" t="str">
        <x:f xml:space="preserve">HYPERLINK("https://contrataciondelestado.es/wps/poc?uri=deeplink:detalle_licitacion&amp;idEvl=SuKTgj%2FRIQctm4eBPtV6eQ%3D%3D","contrataciondelestado.es/wps/poc?uri=deeplink:detalle_licitacion&amp;idEvl=SuKTgj%2FRIQctm4eBPtV6eQ%3D%3D")</x:f>
        <x:v>contrataciondelestado.es/wps/poc?uri=deeplink:detalle_licitacion&amp;idEvl=SuKTgj%2FRIQctm4eBPtV6eQ%3D%3D</x:v>
      </x:c>
      <x:c r="M12" s="11" t="s">
        <x:v>27</x:v>
      </x:c>
      <x:c r="N12" s="13" t="s">
        <x:v>21</x:v>
      </x:c>
      <x:c r="O12" s="11" t="s">
        <x:v>96</x:v>
      </x:c>
      <x:c r="P12" s="11" t="s">
        <x:v>62</x:v>
      </x:c>
      <x:c r="Q12" s="14" t="str">
        <x:f xml:space="preserve">HYPERLINK("https://www.infonalia.es/licitaciones1225/2025175593.pdf","www.infonalia.es/licitaciones1225/2025175593.pdf")</x:f>
        <x:v>www.infonalia.es/licitaciones1225/2025175593.pdf</x:v>
      </x:c>
    </x:row>
    <x:row r="13">
      <x:c r="A13" s="6" t="s">
        <x:v>17</x:v>
      </x:c>
      <x:c r="B13" s="6" t="s">
        <x:v>18</x:v>
      </x:c>
      <x:c r="C13" s="7" t="s">
        <x:v>97</x:v>
      </x:c>
      <x:c r="D13" s="8" t="s">
        <x:v>98</x:v>
      </x:c>
      <x:c r="E13" s="9" t="s">
        <x:v>21</x:v>
      </x:c>
      <x:c r="F13" s="6" t="s">
        <x:v>99</x:v>
      </x:c>
      <x:c r="G13" s="6" t="s">
        <x:v>100</x:v>
      </x:c>
      <x:c r="H13" s="6" t="s">
        <x:v>101</x:v>
      </x:c>
      <x:c r="I13" s="10" t="n">
        <x:v>273483.51</x:v>
      </x:c>
      <x:c r="J13" s="11" t="s">
        <x:v>25</x:v>
      </x:c>
      <x:c r="K13" s="11" t="s">
        <x:v>26</x:v>
      </x:c>
      <x:c r="L13" s="12" t="str">
        <x:f xml:space="preserve">HYPERLINK("https://contrataciondelestado.es/wps/poc?uri=deeplink:detalle_licitacion&amp;idEvl=zeM3qwfabzOOUi78BmzhOQ%3D%3D","contrataciondelestado.es/wps/poc?uri=deeplink:detalle_licitacion&amp;idEvl=zeM3qwfabzOOUi78BmzhOQ%3D%3D")</x:f>
        <x:v>contrataciondelestado.es/wps/poc?uri=deeplink:detalle_licitacion&amp;idEvl=zeM3qwfabzOOUi78BmzhOQ%3D%3D</x:v>
      </x:c>
      <x:c r="M13" s="11" t="s">
        <x:v>27</x:v>
      </x:c>
      <x:c r="N13" s="13" t="s">
        <x:v>21</x:v>
      </x:c>
      <x:c r="O13" s="11" t="s">
        <x:v>102</x:v>
      </x:c>
      <x:c r="P13" s="11" t="s">
        <x:v>30</x:v>
      </x:c>
      <x:c r="Q13" s="14" t="str">
        <x:f xml:space="preserve">HYPERLINK("https://www.infonalia.es/licitaciones1225/2025175649.pdf","www.infonalia.es/licitaciones1225/2025175649.pdf")</x:f>
        <x:v>www.infonalia.es/licitaciones1225/2025175649.pdf</x:v>
      </x:c>
    </x:row>
  </x:sheetData>
  <x:autoFilter ref="A1:Q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Licitaciones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2</cp:revision>
  <dcterms:created xsi:type="dcterms:W3CDTF">2024-12-04T08:39:24Z</dcterms:created>
  <dcterms:modified xsi:type="dcterms:W3CDTF">2025-01-20T07:55:14Z</dcterms:modified>
  <dc:language>es-ES</dc:language>
</cp:coreProperties>
</file>