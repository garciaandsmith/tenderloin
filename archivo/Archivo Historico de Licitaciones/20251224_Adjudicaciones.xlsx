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<x:sst xmlns:x="http://schemas.openxmlformats.org/spreadsheetml/2006/main" count="11" uniqueCount="11">
  <x:si>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</x:si>
  <x:si>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</x:si>
  <x:si>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</x:si>
  <x:si>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</x:si>
  <x:si>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</x:si>
  <x:si>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</x:si>
  <x:si>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</x:si>
  <x:si>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</x:si>
  <x:si>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</x:si>
  <x:si>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</x:si>
  <x:si>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</x:si>
  <x:si>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Desierto</x:t>
  </x:si>
  <x:si>
    <x:t>DESIERTO</x:t>
  </x:si>
  <x:si>
    <x:t>24/12/2025 0:00:00</x:t>
  </x:si>
  <x:si>
    <x:t>25259282</x:t>
  </x:si>
  <x:si>
    <x:t>PRESIDENCIA DE LA FUNDACIÓN MUNICIPAL DE CULTURA, EDUCACIÓN Y UNIVERSIDAD POPULAR DE GIJÓN</x:t>
  </x:si>
  <x:si>
    <x:t>Servicio de reforma parcial de la exposición permanente del museo del ferrocarril responsable con el medioambiente</x:t>
  </x:si>
  <x:si>
    <x:t>91102H/2025</x:t>
  </x:si>
  <x:si>
    <x:t>Asturias</x:t>
  </x:si>
  <x:si>
    <x:t>Ver detalle de la adjudicación</x:t>
  </x:si>
  <x:si>
    <x:t>Adjudicado</x:t>
  </x:si>
  <x:si>
    <x:t>TRICICLO PUBLICIDAD SL</x:t>
  </x:si>
  <x:si>
    <x:t>25259506</x:t>
  </x:si>
  <x:si>
    <x:t>EMPRESA ESTATAL MERCADOS CENTRALES DE ABASTECIMIENTO SA (MERCASA)</x:t>
  </x:si>
  <x:si>
    <x:t>Servicios de una agencia de comunicación integral que dé soporte estratégico y de consultoría, para la gestión e implementación de las actividades de promoción y campañas destinadas al centro comercial de arrecife y las galerías comerciales de: la Asunción, la Plaza, la Máquina, los Cipreses y Opción</x:t>
  </x:si>
  <x:si>
    <x:t>01/25 DREC</x:t>
  </x:si>
  <x:si>
    <x:t>Madrid</x:t>
  </x:si>
  <x:si>
    <x:t>SERVICIOS AUDIOVISUALES OVERON, S.L</x:t>
  </x:si>
  <x:si>
    <x:t>25259753</x:t>
  </x:si>
  <x:si>
    <x:t>DIRECCIÓN GENERAL DE RADIOTELEVISIÓN DEL PRINCIPADO DE ASTURIAS, S.A. UNIPERSONAL</x:t>
  </x:si>
  <x:si>
    <x:t>Servicio auxiliar para la realización y suministro de material informativo para la producción por Radio Televisión del Principado de Asturias de los servicios informativos</x:t>
  </x:si>
  <x:si>
    <x:t>02/25 RTPA</x:t>
  </x:si>
  <x:si>
    <x:t>TELEFÓNICA SOLUCIONES DE INFORMÁTICA Y COMUNICACIONES DE ESPAÑA S.A.U</x:t>
  </x:si>
  <x:si>
    <x:t>25259769</x:t>
  </x:si>
  <x:si>
    <x:t>SECRETARÍA GENERAL DE LA FEDERACIÓN ESPAÑOLA DE MUNICIPIOS Y PROVINCIAS</x:t>
  </x:si>
  <x:si>
    <x:t>Contrato de los servicios para el diseño y desarrollo y de una red de ontologías aplicables al ámbito Smart City en el espacio de datos de infraestructuras urbanas inteligentes (EDINT), en el marco del Plan de Recuperación, Transformación y Resiliencia financiado por la Unión Europea – Next Generation EU.</x:t>
  </x:si>
  <x:si>
    <x:t>CF_10_2025</x:t>
  </x:si>
  <x:si>
    <x:t>EXPO CINEGÉTICA S.L</x:t>
  </x:si>
  <x:si>
    <x:t>25259944</x:t>
  </x:si>
  <x:si>
    <x:t>CONSEJERÍA DE GESTIÓN FORESTAL Y MUNDO RURAL</x:t>
  </x:si>
  <x:si>
    <x:t>PRICPA25108. Alquiler de Espacio y Servicios Obligatorios para la participación de la Junta de Extremadura en Cinegética 2026 (Madrid del 19 al 22 de Marzo de 2026)</x:t>
  </x:si>
  <x:si>
    <x:t>PTR/2025/0000139928</x:t>
  </x:si>
  <x:si>
    <x:t>ICB SPAIN INVESTMENT SL</x:t>
  </x:si>
  <x:si>
    <x:t>25260177</x:t>
  </x:si>
  <x:si>
    <x:t>ÁREA DE GOBIERNO DE ECONOMÍA, INNOVACIÓN Y HACIENDA DEL AYUNTAMIENTO DE MADRID</x:t>
  </x:si>
  <x:si>
    <x:t>Gestión, dinamización y mantenimiento de las redes sociales del Instituto Municipal de Consumo"</x:t>
  </x:si>
  <x:si>
    <x:t>300/2024/00589</x:t>
  </x:si>
  <x:si>
    <x:t>INVESTMNETS AND SERVICES TURENEX, S.L</x:t>
  </x:si>
  <x:si>
    <x:t>25260246</x:t>
  </x:si>
  <x:si>
    <x:t>AYUNTAMIENTO DE MADRID. COORDINACIÓN GENERAL DE LA ALCALDÍA</x:t>
  </x:si>
  <x:si>
    <x:t>Servicios de apoyo al acto institucional de entrega de distinciones honoríficas con motivo de la festividad de San Isidro 2026.</x:t>
  </x:si>
  <x:si>
    <x:t>300/2025/03074</x:t>
  </x:si>
  <x:si>
    <x:t>25260376</x:t>
  </x:si>
  <x:si>
    <x:t>La contratación de los servicios de una agencia de comunicación integral que de soporte a la celebración del 60 aniversario de Mercasa desde la Dirección de Relaciones Institucionales, ESG y Comunicación</x:t>
  </x:si>
  <x:si>
    <x:t>06/25 DREC</x:t>
  </x:si>
  <x:si>
    <x:t>UNIVERSITARIO DE SEVILLA CLUB DE RUGBY</x:t>
  </x:si>
  <x:si>
    <x:t>25260465</x:t>
  </x:si>
  <x:si>
    <x:t>EMPRESA PÚBLICA PARA LA GESTIÓN DEL TURISMO Y EL DEPORTE DE ANDALUCÍA, S.A</x:t>
  </x:si>
  <x:si>
    <x:t>Patrocinio del equipo universitario de sevilla club de rugby (conocido como simón verde magnolia cocos rugby femenino) - temporada 2025/2026</x:t>
  </x:si>
  <x:si>
    <x:t>C2N06-05TG-1125-0210</x:t>
  </x:si>
  <x:si>
    <x:t>-------</x:t>
  </x:si>
  <x:si>
    <x:t>AGENCIA EUROPA PRESS, S.A</x:t>
  </x:si>
  <x:si>
    <x:t>25260498</x:t>
  </x:si>
  <x:si>
    <x:t>MESA DEL CONGRESO DE LOS DIPUTADOS</x:t>
  </x:si>
  <x:si>
    <x:t>Recepción del servicio de noticias de la Agencia Europa Press</x:t>
  </x:si>
  <x:si>
    <x:t>CON-P2025/0100013.0</x:t>
  </x:si>
  <x:si>
    <x:t>ASOCIACIÓN ESPAÑOLA DE CODIFICACIÓN COMERCIO (AECOC)</x:t>
  </x:si>
  <x:si>
    <x:t>25260521</x:t>
  </x:si>
  <x:si>
    <x:t>PRESIDENCIA DEL CONSEJO DE ADMINISTRACIÓN DE LA AUTORIDAD PORTUARIA DE BARCELONA (PORT DE BARCELONA)</x:t>
  </x:si>
  <x:si>
    <x:t>Participación en el Congresos Supply Chain, organizado por AECOC, celebrado el 28 de octubre en Madrid. Clave de expediente:2025C580039</x:t>
  </x:si>
  <x:si>
    <x:t>2025-00490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</x:si>
</x:sst>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HYPERLINK("https://www.infonalia.es/adjudicaciones1225/25259282.pdf","www.infonalia.es/adjudicaciones1225/25259282.pdf")</x:f>
        <x:v>www.infonalia.es/adjudicaciones1225/25259282.pdf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41840.00</x:v>
      </x:c>
    </x:row>
    <x:row r="3">
      <x:c r="A3" s="6" t="s">
        <x:v>20</x:v>
      </x:c>
      <x:c r="B3" s="6" t="s">
        <x:v>21</x:v>
      </x:c>
      <x:c r="C3" s="6" t="s">
        <x:v>13</x:v>
      </x:c>
      <x:c r="D3" s="7" t="str">
        <x:f xml:space="preserve">HYPERLINK("https://www.infonalia.es/adjudicaciones1225/25259506.pdf","www.infonalia.es/adjudicaciones1225/25259506.pdf")</x:f>
        <x:v>www.infonalia.es/adjudicaciones1225/25259506.pdf</x:v>
      </x:c>
      <x:c r="E3" s="8" t="s">
        <x:v>22</x:v>
      </x:c>
      <x:c r="F3" s="6" t="s">
        <x:v>23</x:v>
      </x:c>
      <x:c r="G3" s="6" t="s">
        <x:v>24</x:v>
      </x:c>
      <x:c r="H3" s="6" t="s">
        <x:v>25</x:v>
      </x:c>
      <x:c r="I3" s="6" t="s">
        <x:v>26</x:v>
      </x:c>
      <x:c r="J3" s="9" t="n">
        <x:v>10560.00</x:v>
      </x:c>
      <x:c r="K3" s="9" t="n">
        <x:v>62000.00</x:v>
      </x:c>
    </x:row>
    <x:row r="4">
      <x:c r="A4" s="6" t="s">
        <x:v>20</x:v>
      </x:c>
      <x:c r="B4" s="6" t="s">
        <x:v>27</x:v>
      </x:c>
      <x:c r="C4" s="6" t="s">
        <x:v>13</x:v>
      </x:c>
      <x:c r="D4" s="7" t="str">
        <x:f xml:space="preserve">HYPERLINK("https://www.infonalia.es/adjudicaciones1225/25259753.pdf","www.infonalia.es/adjudicaciones1225/25259753.pdf")</x:f>
        <x:v>www.infonalia.es/adjudicaciones1225/25259753.pdf</x:v>
      </x:c>
      <x:c r="E4" s="8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18</x:v>
      </x:c>
      <x:c r="J4" s="9" t="n">
        <x:v>2111606.78</x:v>
      </x:c>
      <x:c r="K4" s="9" t="n">
        <x:v>2112663.11</x:v>
      </x:c>
    </x:row>
    <x:row r="5">
      <x:c r="A5" s="6" t="s">
        <x:v>20</x:v>
      </x:c>
      <x:c r="B5" s="6" t="s">
        <x:v>32</x:v>
      </x:c>
      <x:c r="C5" s="6" t="s">
        <x:v>13</x:v>
      </x:c>
      <x:c r="D5" s="7" t="str">
        <x:f xml:space="preserve">HYPERLINK("https://www.infonalia.es/adjudicaciones1225/25259769.pdf","www.infonalia.es/adjudicaciones1225/25259769.pdf")</x:f>
        <x:v>www.infonalia.es/adjudicaciones1225/25259769.pdf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26</x:v>
      </x:c>
      <x:c r="J5" s="9" t="n">
        <x:v>375662.92</x:v>
      </x:c>
      <x:c r="K5" s="9" t="n">
        <x:v>446886.45</x:v>
      </x:c>
    </x:row>
    <x:row r="6">
      <x:c r="A6" s="6" t="s">
        <x:v>20</x:v>
      </x:c>
      <x:c r="B6" s="6" t="s">
        <x:v>37</x:v>
      </x:c>
      <x:c r="C6" s="6" t="s">
        <x:v>13</x:v>
      </x:c>
      <x:c r="D6" s="7" t="str">
        <x:f xml:space="preserve">HYPERLINK("https://www.infonalia.es/adjudicaciones1225/25259944.pdf","www.infonalia.es/adjudicaciones1225/25259944.pdf")</x:f>
        <x:v>www.infonalia.es/adjudicaciones1225/25259944.pdf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26</x:v>
      </x:c>
      <x:c r="J6" s="9" t="n">
        <x:v>11071.20</x:v>
      </x:c>
      <x:c r="K6" s="9" t="n">
        <x:v>11150.20</x:v>
      </x:c>
    </x:row>
    <x:row r="7">
      <x:c r="A7" s="6" t="s">
        <x:v>20</x:v>
      </x:c>
      <x:c r="B7" s="6" t="s">
        <x:v>42</x:v>
      </x:c>
      <x:c r="C7" s="6" t="s">
        <x:v>13</x:v>
      </x:c>
      <x:c r="D7" s="7" t="str">
        <x:f xml:space="preserve">HYPERLINK("https://www.infonalia.es/adjudicaciones1225/25260177.pdf","www.infonalia.es/adjudicaciones1225/25260177.pdf")</x:f>
        <x:v>www.infonalia.es/adjudicaciones1225/25260177.pdf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26</x:v>
      </x:c>
      <x:c r="J7" s="9" t="n">
        <x:v>26400.00</x:v>
      </x:c>
      <x:c r="K7" s="9" t="n">
        <x:v>55351.41</x:v>
      </x:c>
    </x:row>
    <x:row r="8">
      <x:c r="A8" s="6" t="s">
        <x:v>20</x:v>
      </x:c>
      <x:c r="B8" s="6" t="s">
        <x:v>47</x:v>
      </x:c>
      <x:c r="C8" s="6" t="s">
        <x:v>13</x:v>
      </x:c>
      <x:c r="D8" s="7" t="str">
        <x:f xml:space="preserve">HYPERLINK("https://www.infonalia.es/adjudicaciones1225/25260246.pdf","www.infonalia.es/adjudicaciones1225/25260246.pdf")</x:f>
        <x:v>www.infonalia.es/adjudicaciones1225/25260246.pdf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26</x:v>
      </x:c>
      <x:c r="J8" s="9" t="n">
        <x:v>81500.00</x:v>
      </x:c>
      <x:c r="K8" s="9" t="n">
        <x:v>88644.72</x:v>
      </x:c>
    </x:row>
    <x:row r="9">
      <x:c r="A9" s="6" t="s">
        <x:v>20</x:v>
      </x:c>
      <x:c r="B9" s="6" t="s">
        <x:v>21</x:v>
      </x:c>
      <x:c r="C9" s="6" t="s">
        <x:v>13</x:v>
      </x:c>
      <x:c r="D9" s="7" t="str">
        <x:f xml:space="preserve">HYPERLINK("https://www.infonalia.es/adjudicaciones1225/25260376.pdf","www.infonalia.es/adjudicaciones1225/25260376.pdf")</x:f>
        <x:v>www.infonalia.es/adjudicaciones1225/25260376.pdf</x:v>
      </x:c>
      <x:c r="E9" s="8" t="s">
        <x:v>52</x:v>
      </x:c>
      <x:c r="F9" s="6" t="s">
        <x:v>23</x:v>
      </x:c>
      <x:c r="G9" s="6" t="s">
        <x:v>53</x:v>
      </x:c>
      <x:c r="H9" s="6" t="s">
        <x:v>54</x:v>
      </x:c>
      <x:c r="I9" s="6" t="s">
        <x:v>26</x:v>
      </x:c>
      <x:c r="J9" s="9" t="n">
        <x:v>230100.00</x:v>
      </x:c>
      <x:c r="K9" s="9" t="n">
        <x:v>237000.00</x:v>
      </x:c>
    </x:row>
    <x:row r="10">
      <x:c r="A10" s="6" t="s">
        <x:v>20</x:v>
      </x:c>
      <x:c r="B10" s="6" t="s">
        <x:v>55</x:v>
      </x:c>
      <x:c r="C10" s="6" t="s">
        <x:v>13</x:v>
      </x:c>
      <x:c r="D10" s="7" t="str">
        <x:f xml:space="preserve">HYPERLINK("https://www.infonalia.es/adjudicaciones1225/25260465.pdf","www.infonalia.es/adjudicaciones1225/25260465.pdf")</x:f>
        <x:v>www.infonalia.es/adjudicaciones1225/25260465.pdf</x:v>
      </x:c>
      <x:c r="E10" s="8" t="s">
        <x:v>56</x:v>
      </x:c>
      <x:c r="F10" s="6" t="s">
        <x:v>57</x:v>
      </x:c>
      <x:c r="G10" s="6" t="s">
        <x:v>58</x:v>
      </x:c>
      <x:c r="H10" s="6" t="s">
        <x:v>59</x:v>
      </x:c>
      <x:c r="I10" s="6" t="s">
        <x:v>60</x:v>
      </x:c>
      <x:c r="J10" s="9" t="n">
        <x:v>50351.24</x:v>
      </x:c>
      <x:c r="K10" s="9" t="n">
        <x:v>50351.24</x:v>
      </x:c>
    </x:row>
    <x:row r="11">
      <x:c r="A11" s="6" t="s">
        <x:v>20</x:v>
      </x:c>
      <x:c r="B11" s="6" t="s">
        <x:v>61</x:v>
      </x:c>
      <x:c r="C11" s="6" t="s">
        <x:v>13</x:v>
      </x:c>
      <x:c r="D11" s="7" t="str">
        <x:f xml:space="preserve">HYPERLINK("https://www.infonalia.es/adjudicaciones1225/25260498.pdf","www.infonalia.es/adjudicaciones1225/25260498.pdf")</x:f>
        <x:v>www.infonalia.es/adjudicaciones1225/25260498.pdf</x:v>
      </x:c>
      <x:c r="E11" s="8" t="s">
        <x:v>62</x:v>
      </x:c>
      <x:c r="F11" s="6" t="s">
        <x:v>63</x:v>
      </x:c>
      <x:c r="G11" s="6" t="s">
        <x:v>64</x:v>
      </x:c>
      <x:c r="H11" s="6" t="s">
        <x:v>65</x:v>
      </x:c>
      <x:c r="I11" s="6" t="s">
        <x:v>26</x:v>
      </x:c>
      <x:c r="J11" s="9" t="n">
        <x:v>214425.55</x:v>
      </x:c>
      <x:c r="K11" s="9" t="n">
        <x:v>228074.82</x:v>
      </x:c>
    </x:row>
    <x:row r="12">
      <x:c r="A12" s="6" t="s">
        <x:v>20</x:v>
      </x:c>
      <x:c r="B12" s="6" t="s">
        <x:v>66</x:v>
      </x:c>
      <x:c r="C12" s="6" t="s">
        <x:v>13</x:v>
      </x:c>
      <x:c r="D12" s="7" t="str">
        <x:f xml:space="preserve">HYPERLINK("https://www.infonalia.es/adjudicaciones1225/25260521.pdf","www.infonalia.es/adjudicaciones1225/25260521.pdf")</x:f>
        <x:v>www.infonalia.es/adjudicaciones1225/25260521.pdf</x:v>
      </x:c>
      <x:c r="E12" s="8" t="s">
        <x:v>67</x:v>
      </x:c>
      <x:c r="F12" s="6" t="s">
        <x:v>68</x:v>
      </x:c>
      <x:c r="G12" s="6" t="s">
        <x:v>69</x:v>
      </x:c>
      <x:c r="H12" s="6" t="s">
        <x:v>70</x:v>
      </x:c>
      <x:c r="I12" s="6" t="s">
        <x:v>26</x:v>
      </x:c>
      <x:c r="J12" s="9" t="n">
        <x:v>5500.00</x:v>
      </x:c>
      <x:c r="K12" s="9" t="n">
        <x:v>5500.00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