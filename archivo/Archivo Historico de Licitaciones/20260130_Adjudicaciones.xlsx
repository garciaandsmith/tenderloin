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<x:sst xmlns:x="http://schemas.openxmlformats.org/spreadsheetml/2006/main" count="11" uniqueCount="11">
  <x:si>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</x:si>
  <x:si>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</x:si>
  <x:si>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</x:si>
  <x:si>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</x:si>
  <x:si>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</x:si>
  <x:si>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</x:si>
  <x:si>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</x:si>
  <x:si>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</x:si>
  <x:si>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</x:si>
  <x:si>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</x:si>
  <x:si>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</x:si>
  <x:si>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</x:si>
  <x:si>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ORMOGRAF SA</x:t>
  </x:si>
  <x:si>
    <x:t>30/01/2026 0:00:00</x:t>
  </x:si>
  <x:si>
    <x:t>26013802</x:t>
  </x:si>
  <x:si>
    <x:t>JUNTA DE CONTRATACIÓN DEL MINISTERIO DE EDUCACIÓN, FORMACIÓN PROFESIONAL Y DEPORTES</x:t>
  </x:si>
  <x:si>
    <x:t>Servicio de la maquetación de ocho libros de texto, diseño de sus versiones digitales interactivas, elaboración de cuatro guías didácticas e ilustración de cuatro libros para el programa ALCE – Niveles A.</x:t>
  </x:si>
  <x:si>
    <x:t>J250024S</x:t>
  </x:si>
  <x:si>
    <x:t>Ver pliegos</x:t>
  </x:si>
  <x:si>
    <x:t>EMPRESA B27806132</x:t>
  </x:si>
  <x:si>
    <x:t>26013994</x:t>
  </x:si>
  <x:si>
    <x:t>GENERALITAT DE CATALUNYA. DEPARTAMENTO DE INTERIOR Y SEGURIDAD PÚBLICA</x:t>
  </x:si>
  <x:si>
    <x:t>Diseño, la construcción del stand, contenido y producción de materiales y sonorización por la participación del Departamento, en el Salón de la Enseñanza, en su edición de 2026 a celebrar entre el 18 y el 22 de marzo</x:t>
  </x:si>
  <x:si>
    <x:t>IT-2026-94</x:t>
  </x:si>
  <x:si>
    <x:t>Catalunya</x:t>
  </x:si>
  <x:si>
    <x:t>MIGUEL CORREYERO AYALA</x:t>
  </x:si>
  <x:si>
    <x:t>26013997</x:t>
  </x:si>
  <x:si>
    <x:t>CONSELL COMARCAL DEL BAIX EMPORDÀ (GIRONA)</x:t>
  </x:si>
  <x:si>
    <x:t>Servicio de soporte técnico de tratamiento y catalogación de documentos fotográficos y otros no textuales del Archivo Comarcal de El Baix Empordà (ACBE),</x:t>
  </x:si>
  <x:si>
    <x:t>9006/2025</x:t>
  </x:si>
  <x:si>
    <x:t>Girona</x:t>
  </x:si>
  <x:si>
    <x:t>GOOD NEWS TELEVISION SL</x:t>
  </x:si>
  <x:si>
    <x:t>26014037</x:t>
  </x:si>
  <x:si>
    <x:t>AYUNTAMIENTO DE MADRID. ÁREA DE GOBIERNO DE CULTURA, TURISMO Y DEPORTE</x:t>
  </x:si>
  <x:si>
    <x:t>Servicio de creación y producción de contenidos audiovisuales y digitales para el Palacio de El Capricho</x:t>
  </x:si>
  <x:si>
    <x:t>300/2025/01430</x:t>
  </x:si>
  <x:si>
    <x:t>Madrid</x:t>
  </x:si>
  <x:si>
    <x:t>MAC GUFFIN S.L</x:t>
  </x:si>
  <x:si>
    <x:t>26014116</x:t>
  </x:si>
  <x:si>
    <x:t>DIRECCIÓN ECONÓMICO-FINANCIERA DE ENAIRE</x:t>
  </x:si>
  <x:si>
    <x:t>Diseño, construcción, montaje y desmontaje del stand de ENAIRE y otros servicios en el Congreso AIRSPACE WORLD 2026 en Portugal</x:t>
  </x:si>
  <x:si>
    <x:t>DNA 333/2025</x:t>
  </x:si>
  <x:si>
    <x:t>LOTE 1 T2O ADMEDIA SERVICES SL</x:t>
  </x:si>
  <x:si>
    <x:t>26014202</x:t>
  </x:si>
  <x:si>
    <x:t>MINISTERIO DE HACIENDA. D.G. DE RACIONALIZACIÓN Y CENTRALIZACIÓN DE LA CONTRATACIÓN</x:t>
  </x:si>
  <x:si>
    <x:t>Contrato Basado En El Am50/2023 Para La Prestación De Los Servicios De Compra De Espacios En Medios De Comunicación Y Demás Soportes Publicitarios Para La Difusión De La Campaña De Publicidad Institucional Denominada "Objetivo 2030: Construyendo Futuros Que Merecen La Pena". (Subsecretaría De Derechos Sociales, Consumo Y Agenda 2030)</x:t>
  </x:si>
  <x:si>
    <x:t>CBA6287/2025</x:t>
  </x:si>
  <x:si>
    <x:t>ADVANTIA COMUNICACIÓN GRÁFICA, S.A</x:t>
  </x:si>
  <x:si>
    <x:t>26014205</x:t>
  </x:si>
  <x:si>
    <x:t>ÁREA DE GOBIERNO DE ECONOMÍA, INNOVACIÓN Y HACIENDA DEL AYUNTAMIENTO DE MADRID</x:t>
  </x:si>
  <x:si>
    <x:t>Difusión de la campaña de promoción de los servicios de consumo, OMIC y Servicio Arbitral de Consumo</x:t>
  </x:si>
  <x:si>
    <x:t>300/2024/00045-661</x:t>
  </x:si>
  <x:si>
    <x:t>ART BOX COMUNICACION S.L</x:t>
  </x:si>
  <x:si>
    <x:t>26014208</x:t>
  </x:si>
  <x:si>
    <x:t>Impresión Carteles para la campaña de Presupuestos Participativos 2026 – Fase 1ª “Presentación de Proyectos”</x:t>
  </x:si>
  <x:si>
    <x:t>300/2024/00045-660</x:t>
  </x:si>
  <x:si>
    <x:t>NEXT MEDIA PROJECT SLU</x:t>
  </x:si>
  <x:si>
    <x:t>26014244</x:t>
  </x:si>
  <x:si>
    <x:t>FUNDACIÓ BARCELONA MOBILE WORLD CAPITAL FOUNDATION</x:t>
  </x:si>
  <x:si>
    <x:t>El objeto del presente contrato consiste en la prestación de un servicio integral de producción audiovisual, identidad visual y adaptación de formatos a entornos multicanal, destinado a la realización del proyecto audiovisual “20 años, 20 historias: Vidas Conectadas”, con motivo de la conmemoración de los 20 años del MWC en Barcelona. El servicio tiene por finalidad conceptualizar, producir y postproducir una serie documental compuesta por diez (10) cápsulas audiovisuales y una pieza resumen, así como desarrollar su identidad visual y los materiales gráficos y promocionales asociados, garantizando la coherencia narrativa, estética e institucional de todo el conjunto.</x:t>
  </x:si>
  <x:si>
    <x:t>A/F202527/S</x:t>
  </x:si>
  <x:si>
    <x:t>Barcelona</x:t>
  </x:si>
  <x:si>
    <x:t>DOSNOMADAS 2023 SL</x:t>
  </x:si>
  <x:si>
    <x:t>26014266</x:t>
  </x:si>
  <x:si>
    <x:t>DIRECCIÓN GENERAL ECONÓMICO-FINANCIERA DE LA ENTIDAD PÚBLICA EMPRESARIAL RENFE-OPERADORA</x:t>
  </x:si>
  <x:si>
    <x:t>Servicio integral de equipamiento gráfico para realización de eventos</x:t>
  </x:si>
  <x:si>
    <x:t>2025-03567</x:t>
  </x:si>
  <x:si>
    <x:t>OVEJERO SEQUEIRO, SL</x:t>
  </x:si>
  <x:si>
    <x:t>26014275</x:t>
  </x:si>
  <x:si>
    <x:t>CONSORCI CATALUNYA INTERNACIONAL</x:t>
  </x:si>
  <x:si>
    <x:t>Actualización de contenidos, producción, montaje y desmontaje de la exposición itinerante "Europa, nuestro espacio común"</x:t>
  </x:si>
  <x:si>
    <x:t>CONTR-2026-4</x:t>
  </x:si>
  <x:si>
    <x:t>JAUME PRENAFETA ESTEVE</x:t>
  </x:si>
  <x:si>
    <x:t>26014361</x:t>
  </x:si>
  <x:si>
    <x:t>XARXA AUDIOVISUAL LOCAL, SL</x:t>
  </x:si>
  <x:si>
    <x:t>Es objeto del presente pliego la de una empresa o profesional que lleve a cabo la labor comercial de la Red Audiovisual Local (XAL) en coordinación con las televisiones y radios adheridas en el ámbito de la publicidad de alcance nacional contratada por la XAL que ejecuten en los respectivos ámbitos locales.</x:t>
  </x:si>
  <x:si>
    <x:t>42/2025 XAL/2025/0040984</x:t>
  </x:si>
  <x:si>
    <x:t>INVERSA ARQUEOLOGIA CONSULTORIA Y GESTION DE PATRIMONIO CULTURAL, S.L</x:t>
  </x:si>
  <x:si>
    <x:t>26014405</x:t>
  </x:si>
  <x:si>
    <x:t>COMUNIDAD DE MADRID. CONSEJERÍA DE CULTURA, TURISMO Y DEPORTE CONSEJERÍA DE CULTURA, TURISMO Y DEPORTE</x:t>
  </x:si>
  <x:si>
    <x:t>Servicios de las actividades de difusión y gestión de las visitas del Parque Arqueológico del Calvero de la Higuera, “Valle de los Neandertales”, durante el ejercicio 2026</x:t>
  </x:si>
  <x:si>
    <x:t>C-333A/032-25 (A/SER-040671/2025)</x:t>
  </x:si>
  <x:si>
    <x:t>PACTO MUNDIAL DE LA ONU ESPAÑA</x:t>
  </x:si>
  <x:si>
    <x:t>26014408</x:t>
  </x:si>
  <x:si>
    <x:t>MINISTERIO DE ECONOMÍA, COMERCIO Y EMPRESA. DIRECCIÓN DE LA FUNDACIÓN ICO</x:t>
  </x:si>
  <x:si>
    <x:t>Patrocinio de la IV edición del “Programa de Capacitación: Proveedores Sostenibles"</x:t>
  </x:si>
  <x:si>
    <x:t>NSP04/2026</x:t>
  </x:si>
  <x:si>
    <x:t>Desierto</x:t>
  </x:si>
  <x:si>
    <x:t>DESIERTO</x:t>
  </x:si>
  <x:si>
    <x:t>26014460</x:t>
  </x:si>
  <x:si>
    <x:t>JEFATURA DE UNIDAD DE MEDIOS INTERNOS -ÁREA DE COMPRAS DE LA COMPAÑÍA ESPAÑOLA DE SEGUROS DE CRÉDITO A LA EXPORTACIÓN S.A., S.M.E. (CESCE)</x:t>
  </x:si>
  <x:si>
    <x:t>Servicio de monitorización y clipping de noticias</x:t>
  </x:si>
  <x:si>
    <x:t>A02-0126</x:t>
  </x:si>
  <x:si>
    <x:t>Ver detalle de la adjudicación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</x:si>
</x:sst>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HYPERLINK("https://www.infonalia.es/adjudicaciones0126/26013802.pdf","www.infonalia.es/adjudicaciones0126/26013802.pdf")</x:f>
        <x:v>www.infonalia.es/adjudicaciones0126/26013802.pdf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76938.00</x:v>
      </x:c>
      <x:c r="K2" s="9" t="n">
        <x:v>95054.82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HYPERLINK("https://www.infonalia.es/adjudicaciones0126/26013994.pdf","www.infonalia.es/adjudicaciones0126/26013994.pdf")</x:f>
        <x:v>www.infonalia.es/adjudicaciones0126/26013994.pdf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n">
        <x:v>34994.91</x:v>
      </x:c>
      <x:c r="K3" s="9" t="n">
        <x:v>41170.49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HYPERLINK("https://www.infonalia.es/adjudicaciones0126/26013997.pdf","www.infonalia.es/adjudicaciones0126/26013997.pdf")</x:f>
        <x:v>www.infonalia.es/adjudicaciones0126/26013997.pdf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n">
        <x:v>22.89</x:v>
      </x:c>
      <x:c r="K4" s="9" t="n">
        <x:v>34357.95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HYPERLINK("https://www.infonalia.es/adjudicaciones0126/26014037.pdf","www.infonalia.es/adjudicaciones0126/26014037.pdf")</x:f>
        <x:v>www.infonalia.es/adjudicaciones0126/26014037.pdf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9" t="n">
        <x:v>78000.00</x:v>
      </x:c>
      <x:c r="K5" s="9" t="n">
        <x:v>138526.89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HYPERLINK("https://www.infonalia.es/adjudicaciones0126/26014116.pdf","www.infonalia.es/adjudicaciones0126/26014116.pdf")</x:f>
        <x:v>www.infonalia.es/adjudicaciones0126/26014116.pdf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18</x:v>
      </x:c>
      <x:c r="J6" s="9" t="n">
        <x:v>136986.35</x:v>
      </x:c>
      <x:c r="K6" s="9" t="n">
        <x:v>143000.00</x:v>
      </x:c>
    </x:row>
    <x:row r="7">
      <x:c r="A7" s="6" t="s">
        <x:v>11</x:v>
      </x:c>
      <x:c r="B7" s="6" t="s">
        <x:v>42</x:v>
      </x:c>
      <x:c r="C7" s="6" t="s">
        <x:v>13</x:v>
      </x:c>
      <x:c r="D7" s="7" t="str">
        <x:f xml:space="preserve">HYPERLINK("https://www.infonalia.es/adjudicaciones0126/26014202.pdf","www.infonalia.es/adjudicaciones0126/26014202.pdf")</x:f>
        <x:v>www.infonalia.es/adjudicaciones0126/26014202.pdf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36</x:v>
      </x:c>
      <x:c r="J7" s="9" t="n">
        <x:v>994500.16</x:v>
      </x:c>
      <x:c r="K7" s="9" t="n">
        <x:v>994500.16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HYPERLINK("https://www.infonalia.es/adjudicaciones0126/26014205.pdf","www.infonalia.es/adjudicaciones0126/26014205.pdf")</x:f>
        <x:v>www.infonalia.es/adjudicaciones0126/26014205.pdf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36</x:v>
      </x:c>
      <x:c r="J8" s="9" t="n">
        <x:v>2472.70</x:v>
      </x:c>
      <x:c r="K8" s="9" t="n">
        <x:v>2472.70</x:v>
      </x:c>
    </x:row>
    <x:row r="9">
      <x:c r="A9" s="6" t="s">
        <x:v>11</x:v>
      </x:c>
      <x:c r="B9" s="6" t="s">
        <x:v>52</x:v>
      </x:c>
      <x:c r="C9" s="6" t="s">
        <x:v>13</x:v>
      </x:c>
      <x:c r="D9" s="7" t="str">
        <x:f xml:space="preserve">HYPERLINK("https://www.infonalia.es/adjudicaciones0126/26014208.pdf","www.infonalia.es/adjudicaciones0126/26014208.pdf")</x:f>
        <x:v>www.infonalia.es/adjudicaciones0126/26014208.pdf</x:v>
      </x:c>
      <x:c r="E9" s="8" t="s">
        <x:v>53</x:v>
      </x:c>
      <x:c r="F9" s="6" t="s">
        <x:v>49</x:v>
      </x:c>
      <x:c r="G9" s="6" t="s">
        <x:v>54</x:v>
      </x:c>
      <x:c r="H9" s="6" t="s">
        <x:v>55</x:v>
      </x:c>
      <x:c r="I9" s="6" t="s">
        <x:v>36</x:v>
      </x:c>
      <x:c r="J9" s="9" t="n">
        <x:v>2505.19</x:v>
      </x:c>
      <x:c r="K9" s="9" t="n">
        <x:v>2505.19</x:v>
      </x:c>
    </x:row>
    <x:row r="10">
      <x:c r="A10" s="6" t="s">
        <x:v>11</x:v>
      </x:c>
      <x:c r="B10" s="6" t="s">
        <x:v>56</x:v>
      </x:c>
      <x:c r="C10" s="6" t="s">
        <x:v>13</x:v>
      </x:c>
      <x:c r="D10" s="7" t="str">
        <x:f xml:space="preserve">HYPERLINK("https://www.infonalia.es/adjudicaciones0126/26014244.pdf","www.infonalia.es/adjudicaciones0126/26014244.pdf")</x:f>
        <x:v>www.infonalia.es/adjudicaciones0126/26014244.pdf</x:v>
      </x:c>
      <x:c r="E10" s="8" t="s">
        <x:v>57</x:v>
      </x:c>
      <x:c r="F10" s="6" t="s">
        <x:v>58</x:v>
      </x:c>
      <x:c r="G10" s="6" t="s">
        <x:v>59</x:v>
      </x:c>
      <x:c r="H10" s="6" t="s">
        <x:v>60</x:v>
      </x:c>
      <x:c r="I10" s="6" t="s">
        <x:v>61</x:v>
      </x:c>
      <x:c r="J10" s="9" t="n">
        <x:v>112762.50</x:v>
      </x:c>
      <x:c r="K10" s="9" t="n">
        <x:v>164049.59</x:v>
      </x:c>
    </x:row>
    <x:row r="11">
      <x:c r="A11" s="6" t="s">
        <x:v>11</x:v>
      </x:c>
      <x:c r="B11" s="6" t="s">
        <x:v>62</x:v>
      </x:c>
      <x:c r="C11" s="6" t="s">
        <x:v>13</x:v>
      </x:c>
      <x:c r="D11" s="7" t="str">
        <x:f xml:space="preserve">HYPERLINK("https://www.infonalia.es/adjudicaciones0126/26014266.pdf","www.infonalia.es/adjudicaciones0126/26014266.pdf")</x:f>
        <x:v>www.infonalia.es/adjudicaciones0126/26014266.pdf</x:v>
      </x:c>
      <x:c r="E11" s="8" t="s">
        <x:v>63</x:v>
      </x:c>
      <x:c r="F11" s="6" t="s">
        <x:v>64</x:v>
      </x:c>
      <x:c r="G11" s="6" t="s">
        <x:v>65</x:v>
      </x:c>
      <x:c r="H11" s="6" t="s">
        <x:v>66</x:v>
      </x:c>
      <x:c r="I11" s="6" t="s">
        <x:v>18</x:v>
      </x:c>
      <x:c r="J11" s="9" t="n">
        <x:v>348036.00</x:v>
      </x:c>
      <x:c r="K11" s="9" t="n">
        <x:v>420000.00</x:v>
      </x:c>
    </x:row>
    <x:row r="12">
      <x:c r="A12" s="6" t="s">
        <x:v>11</x:v>
      </x:c>
      <x:c r="B12" s="6" t="s">
        <x:v>67</x:v>
      </x:c>
      <x:c r="C12" s="6" t="s">
        <x:v>13</x:v>
      </x:c>
      <x:c r="D12" s="7" t="str">
        <x:f xml:space="preserve">HYPERLINK("https://www.infonalia.es/adjudicaciones0126/26014275.pdf","www.infonalia.es/adjudicaciones0126/26014275.pdf")</x:f>
        <x:v>www.infonalia.es/adjudicaciones0126/26014275.pdf</x:v>
      </x:c>
      <x:c r="E12" s="8" t="s">
        <x:v>68</x:v>
      </x:c>
      <x:c r="F12" s="6" t="s">
        <x:v>69</x:v>
      </x:c>
      <x:c r="G12" s="6" t="s">
        <x:v>70</x:v>
      </x:c>
      <x:c r="H12" s="6" t="s">
        <x:v>71</x:v>
      </x:c>
      <x:c r="I12" s="6" t="s">
        <x:v>24</x:v>
      </x:c>
      <x:c r="J12" s="9" t="n">
        <x:v>31404.96</x:v>
      </x:c>
      <x:c r="K12" s="9" t="n">
        <x:v>33057.85</x:v>
      </x:c>
    </x:row>
    <x:row r="13">
      <x:c r="A13" s="6" t="s">
        <x:v>11</x:v>
      </x:c>
      <x:c r="B13" s="6" t="s">
        <x:v>72</x:v>
      </x:c>
      <x:c r="C13" s="6" t="s">
        <x:v>13</x:v>
      </x:c>
      <x:c r="D13" s="7" t="str">
        <x:f xml:space="preserve">HYPERLINK("https://www.infonalia.es/adjudicaciones0126/26014361.pdf","www.infonalia.es/adjudicaciones0126/26014361.pdf")</x:f>
        <x:v>www.infonalia.es/adjudicaciones0126/26014361.pdf</x:v>
      </x:c>
      <x:c r="E13" s="8" t="s">
        <x:v>73</x:v>
      </x:c>
      <x:c r="F13" s="6" t="s">
        <x:v>74</x:v>
      </x:c>
      <x:c r="G13" s="6" t="s">
        <x:v>75</x:v>
      </x:c>
      <x:c r="H13" s="6" t="s">
        <x:v>76</x:v>
      </x:c>
      <x:c r="I13" s="6" t="s">
        <x:v>61</x:v>
      </x:c>
      <x:c r="J13" s="9" t="n">
        <x:v>74200.00</x:v>
      </x:c>
      <x:c r="K13" s="9" t="n">
        <x:v>108400.00</x:v>
      </x:c>
    </x:row>
    <x:row r="14">
      <x:c r="A14" s="6" t="s">
        <x:v>11</x:v>
      </x:c>
      <x:c r="B14" s="6" t="s">
        <x:v>77</x:v>
      </x:c>
      <x:c r="C14" s="6" t="s">
        <x:v>13</x:v>
      </x:c>
      <x:c r="D14" s="7" t="str">
        <x:f xml:space="preserve">HYPERLINK("https://www.infonalia.es/adjudicaciones0126/26014405.pdf","www.infonalia.es/adjudicaciones0126/26014405.pdf")</x:f>
        <x:v>www.infonalia.es/adjudicaciones0126/26014405.pdf</x:v>
      </x:c>
      <x:c r="E14" s="8" t="s">
        <x:v>78</x:v>
      </x:c>
      <x:c r="F14" s="6" t="s">
        <x:v>79</x:v>
      </x:c>
      <x:c r="G14" s="6" t="s">
        <x:v>80</x:v>
      </x:c>
      <x:c r="H14" s="6" t="s">
        <x:v>81</x:v>
      </x:c>
      <x:c r="I14" s="6" t="s">
        <x:v>36</x:v>
      </x:c>
      <x:c r="J14" s="9" t="n">
        <x:v>43990.00</x:v>
      </x:c>
      <x:c r="K14" s="9" t="n">
        <x:v>48706.87</x:v>
      </x:c>
    </x:row>
    <x:row r="15">
      <x:c r="A15" s="6" t="s">
        <x:v>11</x:v>
      </x:c>
      <x:c r="B15" s="6" t="s">
        <x:v>82</x:v>
      </x:c>
      <x:c r="C15" s="6" t="s">
        <x:v>13</x:v>
      </x:c>
      <x:c r="D15" s="7" t="str">
        <x:f xml:space="preserve">HYPERLINK("https://www.infonalia.es/adjudicaciones0126/26014408.pdf","www.infonalia.es/adjudicaciones0126/26014408.pdf")</x:f>
        <x:v>www.infonalia.es/adjudicaciones0126/26014408.pdf</x:v>
      </x:c>
      <x:c r="E15" s="8" t="s">
        <x:v>83</x:v>
      </x:c>
      <x:c r="F15" s="6" t="s">
        <x:v>84</x:v>
      </x:c>
      <x:c r="G15" s="6" t="s">
        <x:v>85</x:v>
      </x:c>
      <x:c r="H15" s="6" t="s">
        <x:v>86</x:v>
      </x:c>
      <x:c r="I15" s="6" t="s">
        <x:v>36</x:v>
      </x:c>
      <x:c r="J15" s="9" t="n">
        <x:v>12396.60</x:v>
      </x:c>
      <x:c r="K15" s="9" t="n">
        <x:v>12396.60</x:v>
      </x:c>
    </x:row>
    <x:row r="16">
      <x:c r="A16" s="6" t="s">
        <x:v>87</x:v>
      </x:c>
      <x:c r="B16" s="6" t="s">
        <x:v>88</x:v>
      </x:c>
      <x:c r="C16" s="6" t="s">
        <x:v>13</x:v>
      </x:c>
      <x:c r="D16" s="7" t="str">
        <x:f xml:space="preserve">HYPERLINK("https://www.infonalia.es/adjudicaciones0126/26014460.pdf","www.infonalia.es/adjudicaciones0126/26014460.pdf")</x:f>
        <x:v>www.infonalia.es/adjudicaciones0126/26014460.pdf</x:v>
      </x:c>
      <x:c r="E16" s="8" t="s">
        <x:v>89</x:v>
      </x:c>
      <x:c r="F16" s="6" t="s">
        <x:v>90</x:v>
      </x:c>
      <x:c r="G16" s="6" t="s">
        <x:v>91</x:v>
      </x:c>
      <x:c r="H16" s="6" t="s">
        <x:v>92</x:v>
      </x:c>
      <x:c r="I16" s="6" t="s">
        <x:v>36</x:v>
      </x:c>
      <x:c r="J16" s="9" t="s">
        <x:v>93</x:v>
      </x:c>
      <x:c r="K16" s="9" t="n">
        <x:v>92000.00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