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<x:sst xmlns:x="http://schemas.openxmlformats.org/spreadsheetml/2006/main" count="17" uniqueCount="17">
  <x:si>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</x:si>
  <x:si>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</x:si>
  <x:si>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</x:si>
  <x:si>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</x:si>
  <x:si>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</x:si>
  <x:si>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</x:si>
  <x:si>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</x:si>
  <x:si>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</x:si>
  <x:si>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</x:si>
  <x:si>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</x:si>
  <x:si>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</x:si>
  <x:si>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</x:si>
  <x:si>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</x:si>
  <x:si>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</x:si>
  <x:si>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</x:si>
  <x:si>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</x:si>
  <x:si>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</x:si>
  <x:si>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</x:si>
  <x:si>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</x:si>
  <x:si>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19/12/2025</x:t>
  </x:si>
  <x:si>
    <x:t>2025173836</x:t>
  </x:si>
  <x:si>
    <x:t>05/12/2025</x:t>
  </x:si>
  <x:si>
    <x:t>REUS ESPORT I LLEURE SA</x:t>
  </x:si>
  <x:si>
    <x:t>El objeto del contrato es optimizar el posicionamiento digital de RELLSA y potenciar la presencia en los distintos perfiles y soportes digitales. Es imprescindible la adaptación a las nuevas herramientas como el marketing digital y la creación de contenidos digitales modernos y eficientes en forma de diseño, fotografía, audiovisual o texto, para impactar en los diferentes públicos objetivos</x:t>
  </x:si>
  <x:si>
    <x:t>RC 2025_0022</x:t>
  </x:si>
  <x:si>
    <x:t>Importe sin impuestos</x:t>
  </x:si>
  <x:si>
    <x:t/>
  </x:si>
  <x:si>
    <x:t>-----</x:t>
  </x:si>
  <x:si>
    <x:t>04/12/2025</x:t>
  </x:si>
  <x:si>
    <x:t/>
  </x:si>
  <x:si>
    <x:t>Tarragona</x:t>
  </x:si>
  <x:si>
    <x:t>22/12/2025</x:t>
  </x:si>
  <x:si>
    <x:t>2025173843</x:t>
  </x:si>
  <x:si>
    <x:t>PRESIDENTE DEL INSTITUTO MUNICIPAL EMPLEO Y PROMOCIÓN ECONÓMICA DE ALCORCÓN (IMEPE)</x:t>
  </x:si>
  <x:si>
    <x:t>Organización y producción Feria de Formación, Empleo y Emprendimiento</x:t>
  </x:si>
  <x:si>
    <x:t>I_20_25_C</x:t>
  </x:si>
  <x:si>
    <x:t/>
  </x:si>
  <x:si>
    <x:t>Madrid</x:t>
  </x:si>
  <x:si>
    <x:t>29/12/2025</x:t>
  </x:si>
  <x:si>
    <x:t>2025173852</x:t>
  </x:si>
  <x:si>
    <x:t>PLENO DEL AYUNTAMIENTO DE SAN MARTÍN DE OSCOS (ASTURIAS)</x:t>
  </x:si>
  <x:si>
    <x:t>Contrato mixto de servicio y suministro para la ejecución del proyecto de museografía digital del Palacio de Mon en San Martín de Oscos</x:t>
  </x:si>
  <x:si>
    <x:t>187/2025</x:t>
  </x:si>
  <x:si>
    <x:t/>
  </x:si>
  <x:si>
    <x:t>Asturias</x:t>
  </x:si>
  <x:si>
    <x:t>2025173966</x:t>
  </x:si>
  <x:si>
    <x:t>UNIVERSITAT ROVIRA I VIRGILI</x:t>
  </x:si>
  <x:si>
    <x:t>Servicio de gestión de contenidos para las redes sociales corporativas de la Facultad de Turismo y Geografía y del Departamento de Geografía de la URV (Exp. núm. SE 21/26)</x:t>
  </x:si>
  <x:si>
    <x:t>SE0021/26</x:t>
  </x:si>
  <x:si>
    <x:t/>
  </x:si>
  <x:si>
    <x:t>Cámaras de Comercio. Perfil del Contratante</x:t>
  </x:si>
  <x:si>
    <x:t>2025174047</x:t>
  </x:si>
  <x:si>
    <x:t>CÁMARA DE COMERCIO DE BARCELONA</x:t>
  </x:si>
  <x:si>
    <x:t>Servicio de producción de contenido y gestión de redes sociales para el Observatori Dona, Empresa i Economia de la Cambra Oficial de Comerç, Indústria, Serveis i Navegació de Barcelona</x:t>
  </x:si>
  <x:si>
    <x:t>378/2025</x:t>
  </x:si>
  <x:si>
    <x:t>IVA excluido</x:t>
  </x:si>
  <x:si>
    <x:t/>
  </x:si>
  <x:si>
    <x:t/>
  </x:si>
  <x:si>
    <x:t>Barcelona</x:t>
  </x:si>
  <x:si>
    <x:t>IFEMA - Institución Ferial de Madrid</x:t>
  </x:si>
  <x:si>
    <x:t>17/12/2025</x:t>
  </x:si>
  <x:si>
    <x:t>2025174056</x:t>
  </x:si>
  <x:si>
    <x:t>IFEMA - INSTITUCIÓN FERIAL DE MADRID</x:t>
  </x:si>
  <x:si>
    <x:t>Servicio de montaje, mantenimiento y desmontaje de stands modulares y proyectos de diseño ferial a instalar para la celebración del certámen ARCOLISBOA en su edición de 2026 organizada por Ifema Madrid en la ciudad de Lisboa.</x:t>
  </x:si>
  <x:si>
    <x:t>25/204</x:t>
  </x:si>
  <x:si>
    <x:t/>
  </x:si>
  <x:si>
    <x:t>03/12/2025</x:t>
  </x:si>
  <x:si>
    <x:t/>
  </x:si>
  <x:si>
    <x:t>Portugal</x:t>
  </x:si>
  <x:si>
    <x:t>09/12/2025</x:t>
  </x:si>
  <x:si>
    <x:t>2025174161</x:t>
  </x:si>
  <x:si>
    <x:t>CONCEJAL DE CONTRATACIÓN DEL AYUNTAMIENTO DE PINTO (MADRID)</x:t>
  </x:si>
  <x:si>
    <x:t>Servicios de asistencia para la conmemoración del Día Internacional del Voluntariado 2025</x:t>
  </x:si>
  <x:si>
    <x:t>2025/22188</x:t>
  </x:si>
  <x:si>
    <x:t/>
  </x:si>
  <x:si>
    <x:t>15/12/2025</x:t>
  </x:si>
  <x:si>
    <x:t>2025174187</x:t>
  </x:si>
  <x:si>
    <x:t>COMITÉ DE CONTRATACIÓN DEL INSTITUTO DE CRÉDITO OFICIAL (ICO)</x:t>
  </x:si>
  <x:si>
    <x:t>Patrocinio del evento Spain Investors Day (SID)</x:t>
  </x:si>
  <x:si>
    <x:t>ICO_2025_64</x:t>
  </x:si>
  <x:si>
    <x:t/>
  </x:si>
  <x:si>
    <x:t>12/01/2026</x:t>
  </x:si>
  <x:si>
    <x:t>2025174321</x:t>
  </x:si>
  <x:si>
    <x:t>MINISTERIO PARA LA TRANSICIÓN ECOLÓGICA Y EL RETO DEMOGRÁFICO. DIRECCIÓN GENERAL DE CALIDAD Y EVALUACIÓN AMBIENTAL</x:t>
  </x:si>
  <x:si>
    <x:t>Contrato de servicios de creatividad y diseño de una campaña de concienciación en materia de residuos domésticos</x:t>
  </x:si>
  <x:si>
    <x:t>25RESV003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</x:si>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</x:sst>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17235.26</x:v>
      </x:c>
      <x:c r="J2" s="11" t="s">
        <x:v>25</x:v>
      </x:c>
      <x:c r="K2" s="11" t="s">
        <x:v>26</x:v>
      </x:c>
      <x:c r="L2" s="12" t="str">
        <x:f xml:space="preserve">HYPERLINK("https://contractaciopublica.cat/ca/detall-publicacio/fa47030b-382a-4922-8cac-8dd441997741/300626906","contractaciopublica.cat/ca/detall-publicacio/fa47030b-382a-4922-8cac-8dd441997741/300626906")</x:f>
        <x:v>contractaciopublica.cat/ca/detall-publicacio/fa47030b-382a-4922-8cac-8dd441997741/300626906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HYPERLINK("https://www.infonalia.es/licitaciones1225/2025173836.pdf","www.infonalia.es/licitaciones1225/2025173836.pdf")</x:f>
        <x:v>www.infonalia.es/licitaciones1225/2025173836.pdf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24719.20</x:v>
      </x:c>
      <x:c r="J3" s="11" t="s">
        <x:v>25</x:v>
      </x:c>
      <x:c r="K3" s="11" t="s">
        <x:v>26</x:v>
      </x:c>
      <x:c r="L3" s="12" t="str">
        <x:f xml:space="preserve">HYPERLINK("https://contrataciondelestado.es/wps/poc?uri=deeplink:detalle_licitacion&amp;idEvl=biyBIfw6jv8kJPJS%2BPS9vg%3D%3D","contrataciondelestado.es/wps/poc?uri=deeplink:detalle_licitacion&amp;idEvl=biyBIfw6jv8kJPJS%2BPS9vg%3D%3D")</x:f>
        <x:v>contrataciondelestado.es/wps/poc?uri=deeplink:detalle_licitacion&amp;idEvl=biyBIfw6jv8kJPJS%2BPS9vg%3D%3D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HYPERLINK("https://www.infonalia.es/licitaciones1225/2025173843.pdf","www.infonalia.es/licitaciones1225/2025173843.pdf")</x:f>
        <x:v>www.infonalia.es/licitaciones1225/2025173843.pdf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100900.00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HYPERLINK("https://contrataciondelestado.es/wps/poc?uri=deeplink:detalle_licitacion&amp;idEvl=SXtu0Qu5jtPpxJFXpLZ%2B2A%3D%3D","contrataciondelestado.es/wps/poc?uri=deeplink:detalle_licitacion&amp;idEvl=SXtu0Qu5jtPpxJFXpLZ%2B2A%3D%3D")</x:f>
        <x:v>contrataciondelestado.es/wps/poc?uri=deeplink:detalle_licitacion&amp;idEvl=SXtu0Qu5jtPpxJFXpLZ%2B2A%3D%3D</x:v>
      </x:c>
      <x:c r="M4" s="11" t="s">
        <x:v>27</x:v>
      </x:c>
      <x:c r="N4" s="13" t="s">
        <x:v>28</x:v>
      </x:c>
      <x:c r="O4" s="11" t="s">
        <x:v>43</x:v>
      </x:c>
      <x:c r="P4" s="11" t="s">
        <x:v>44</x:v>
      </x:c>
      <x:c r="Q4" s="14" t="str">
        <x:f xml:space="preserve">HYPERLINK("https://www.infonalia.es/licitaciones1225/2025173852.pdf","www.infonalia.es/licitaciones1225/2025173852.pdf")</x:f>
        <x:v>www.infonalia.es/licitaciones1225/2025173852.pdf</x:v>
      </x:c>
    </x:row>
    <x:row r="5">
      <x:c r="A5" s="6" t="s">
        <x:v>17</x:v>
      </x:c>
      <x:c r="B5" s="6" t="s">
        <x:v>18</x:v>
      </x:c>
      <x:c r="C5" s="7" t="s">
        <x:v>31</x:v>
      </x:c>
      <x:c r="D5" s="8" t="s">
        <x:v>45</x:v>
      </x:c>
      <x:c r="E5" s="9" t="s">
        <x:v>21</x:v>
      </x:c>
      <x:c r="F5" s="6" t="s">
        <x:v>46</x:v>
      </x:c>
      <x:c r="G5" s="6" t="s">
        <x:v>47</x:v>
      </x:c>
      <x:c r="H5" s="6" t="s">
        <x:v>48</x:v>
      </x:c>
      <x:c r="I5" s="10" t="n">
        <x:v>6368.50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HYPERLINK("https://contractaciopublica.cat/ca/detall-publicacio/b6508d0f-2933-4b74-912b-ccd5a781bbe7/300637470","contractaciopublica.cat/ca/detall-publicacio/b6508d0f-2933-4b74-912b-ccd5a781bbe7/300637470")</x:f>
        <x:v>contractaciopublica.cat/ca/detall-publicacio/b6508d0f-2933-4b74-912b-ccd5a781bbe7/300637470</x:v>
      </x:c>
      <x:c r="M5" s="11" t="s">
        <x:v>27</x:v>
      </x:c>
      <x:c r="N5" s="13" t="s">
        <x:v>28</x:v>
      </x:c>
      <x:c r="O5" s="11" t="s">
        <x:v>49</x:v>
      </x:c>
      <x:c r="P5" s="11" t="s">
        <x:v>30</x:v>
      </x:c>
      <x:c r="Q5" s="14" t="str">
        <x:f xml:space="preserve">HYPERLINK("https://www.infonalia.es/licitaciones1225/2025173966.pdf","www.infonalia.es/licitaciones1225/2025173966.pdf")</x:f>
        <x:v>www.infonalia.es/licitaciones1225/2025173966.pdf</x:v>
      </x:c>
    </x:row>
    <x:row r="6">
      <x:c r="A6" s="6" t="s">
        <x:v>17</x:v>
      </x:c>
      <x:c r="B6" s="6" t="s">
        <x:v>50</x:v>
      </x:c>
      <x:c r="C6" s="7" t="s">
        <x:v>19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20820.00</x:v>
      </x:c>
      <x:c r="J6" s="11" t="s">
        <x:v>55</x:v>
      </x:c>
      <x:c r="K6" s="11" t="s">
        <x:v>56</x:v>
      </x:c>
      <x:c r="L6" s="12" t="str">
        <x:f xml:space="preserve">HYPERLINK("https://cambrabcn.org/es/es-sobre-cambra/transparencia-y-perfil-del-contratante/perfil-del-contratante/licitaciones-en-curso/","cambrabcn.org/es/es-sobre-cambra/transparencia-y-perfil-del-contratante/perfil-del-contratante/licitaciones-en-curso/")</x:f>
        <x:v>cambrabcn.org/es/es-sobre-cambra/transparencia-y-perfil-del-contratante/perfil-del-contratante/licitaciones-en-curso/</x:v>
      </x:c>
      <x:c r="M6" s="11" t="s">
        <x:v>27</x:v>
      </x:c>
      <x:c r="N6" s="13" t="s">
        <x:v>28</x:v>
      </x:c>
      <x:c r="O6" s="11" t="s">
        <x:v>57</x:v>
      </x:c>
      <x:c r="P6" s="11" t="s">
        <x:v>58</x:v>
      </x:c>
      <x:c r="Q6" s="14" t="str">
        <x:f xml:space="preserve">HYPERLINK("https://www.infonalia.es/licitaciones1225/2025174047.pdf","www.infonalia.es/licitaciones1225/2025174047.pdf")</x:f>
        <x:v>www.infonalia.es/licitaciones1225/2025174047.pdf</x:v>
      </x:c>
    </x:row>
    <x:row r="7">
      <x:c r="A7" s="6" t="s">
        <x:v>17</x:v>
      </x:c>
      <x:c r="B7" s="6" t="s">
        <x:v>59</x:v>
      </x:c>
      <x:c r="C7" s="7" t="s">
        <x:v>60</x:v>
      </x:c>
      <x:c r="D7" s="8" t="s">
        <x:v>61</x:v>
      </x:c>
      <x:c r="E7" s="9" t="s">
        <x:v>21</x:v>
      </x:c>
      <x:c r="F7" s="6" t="s">
        <x:v>62</x:v>
      </x:c>
      <x:c r="G7" s="6" t="s">
        <x:v>63</x:v>
      </x:c>
      <x:c r="H7" s="6" t="s">
        <x:v>64</x:v>
      </x:c>
      <x:c r="I7" s="10" t="n">
        <x:v>368280.33</x:v>
      </x:c>
      <x:c r="J7" s="11" t="s">
        <x:v>25</x:v>
      </x:c>
      <x:c r="K7" s="11" t="s">
        <x:v>65</x:v>
      </x:c>
      <x:c r="L7" s="12" t="str">
        <x:f xml:space="preserve">HYPERLINK("https://licitaciones2.ifema.es/licitacion/licitaciones/detalle?id=3077875","licitaciones2.ifema.es/licitacion/licitaciones/detalle?id=3077875")</x:f>
        <x:v>licitaciones2.ifema.es/licitacion/licitaciones/detalle?id=3077875</x:v>
      </x:c>
      <x:c r="M7" s="11" t="s">
        <x:v>27</x:v>
      </x:c>
      <x:c r="N7" s="13" t="s">
        <x:v>66</x:v>
      </x:c>
      <x:c r="O7" s="11" t="s">
        <x:v>67</x:v>
      </x:c>
      <x:c r="P7" s="11" t="s">
        <x:v>68</x:v>
      </x:c>
      <x:c r="Q7" s="14" t="str">
        <x:f xml:space="preserve">HYPERLINK("https://www.infonalia.es/licitaciones1225/2025174056.pdf","www.infonalia.es/licitaciones1225/2025174056.pdf")</x:f>
        <x:v>www.infonalia.es/licitaciones1225/2025174056.pdf</x:v>
      </x:c>
    </x:row>
    <x:row r="8">
      <x:c r="A8" s="6" t="s">
        <x:v>17</x:v>
      </x:c>
      <x:c r="B8" s="6" t="s">
        <x:v>18</x:v>
      </x:c>
      <x:c r="C8" s="7" t="s">
        <x:v>69</x:v>
      </x:c>
      <x:c r="D8" s="8" t="s">
        <x:v>70</x:v>
      </x:c>
      <x:c r="E8" s="9" t="s">
        <x:v>21</x:v>
      </x:c>
      <x:c r="F8" s="6" t="s">
        <x:v>71</x:v>
      </x:c>
      <x:c r="G8" s="6" t="s">
        <x:v>72</x:v>
      </x:c>
      <x:c r="H8" s="6" t="s">
        <x:v>73</x:v>
      </x:c>
      <x:c r="I8" s="10" t="n">
        <x:v>2149.00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HYPERLINK("https://contrataciondelestado.es/wps/poc?uri=deeplink:detalle_licitacion&amp;idEvl=Rz7bKeB5owGGCFcHcNGIlQ%3D%3D","contrataciondelestado.es/wps/poc?uri=deeplink:detalle_licitacion&amp;idEvl=Rz7bKeB5owGGCFcHcNGIlQ%3D%3D")</x:f>
        <x:v>contrataciondelestado.es/wps/poc?uri=deeplink:detalle_licitacion&amp;idEvl=Rz7bKeB5owGGCFcHcNGIlQ%3D%3D</x:v>
      </x:c>
      <x:c r="M8" s="11" t="s">
        <x:v>27</x:v>
      </x:c>
      <x:c r="N8" s="13" t="s">
        <x:v>28</x:v>
      </x:c>
      <x:c r="O8" s="11" t="s">
        <x:v>74</x:v>
      </x:c>
      <x:c r="P8" s="11" t="s">
        <x:v>37</x:v>
      </x:c>
      <x:c r="Q8" s="14" t="str">
        <x:f xml:space="preserve">HYPERLINK("https://www.infonalia.es/licitaciones1225/2025174161.pdf","www.infonalia.es/licitaciones1225/2025174161.pdf")</x:f>
        <x:v>www.infonalia.es/licitaciones1225/2025174161.pdf</x:v>
      </x:c>
    </x:row>
    <x:row r="9">
      <x:c r="A9" s="6" t="s">
        <x:v>17</x:v>
      </x:c>
      <x:c r="B9" s="6" t="s">
        <x:v>18</x:v>
      </x:c>
      <x:c r="C9" s="7" t="s">
        <x:v>75</x:v>
      </x:c>
      <x:c r="D9" s="8" t="s">
        <x:v>76</x:v>
      </x:c>
      <x:c r="E9" s="9" t="s">
        <x:v>21</x:v>
      </x:c>
      <x:c r="F9" s="6" t="s">
        <x:v>77</x:v>
      </x:c>
      <x:c r="G9" s="6" t="s">
        <x:v>78</x:v>
      </x:c>
      <x:c r="H9" s="6" t="s">
        <x:v>79</x:v>
      </x:c>
      <x:c r="I9" s="10" t="n">
        <x:v>22471.00</x:v>
      </x:c>
      <x:c r="J9" s="11" t="s">
        <x:v>25</x:v>
      </x:c>
      <x:c r="K9" s="11" t="s">
        <x:v>26</x:v>
      </x:c>
      <x:c r="L9" s="12" t="str">
        <x:f xml:space="preserve">HYPERLINK("https://contrataciondelestado.es/wps/poc?uri=deeplink:detalle_licitacion&amp;idEvl=g%2BLMCzguZz3s%2BnLj3vAg5A%3D%3D","contrataciondelestado.es/wps/poc?uri=deeplink:detalle_licitacion&amp;idEvl=g%2BLMCzguZz3s%2BnLj3vAg5A%3D%3D")</x:f>
        <x:v>contrataciondelestado.es/wps/poc?uri=deeplink:detalle_licitacion&amp;idEvl=g%2BLMCzguZz3s%2BnLj3vAg5A%3D%3D</x:v>
      </x:c>
      <x:c r="M9" s="11" t="s">
        <x:v>27</x:v>
      </x:c>
      <x:c r="N9" s="13" t="s">
        <x:v>28</x:v>
      </x:c>
      <x:c r="O9" s="11" t="s">
        <x:v>80</x:v>
      </x:c>
      <x:c r="P9" s="11" t="s">
        <x:v>37</x:v>
      </x:c>
      <x:c r="Q9" s="14" t="str">
        <x:f xml:space="preserve">HYPERLINK("https://www.infonalia.es/licitaciones1225/2025174187.pdf","www.infonalia.es/licitaciones1225/2025174187.pdf")</x:f>
        <x:v>www.infonalia.es/licitaciones1225/2025174187.pdf</x:v>
      </x:c>
    </x:row>
    <x:row r="10">
      <x:c r="A10" s="6" t="s">
        <x:v>17</x:v>
      </x:c>
      <x:c r="B10" s="6" t="s">
        <x:v>18</x:v>
      </x:c>
      <x:c r="C10" s="7" t="s">
        <x:v>81</x:v>
      </x:c>
      <x:c r="D10" s="8" t="s">
        <x:v>82</x:v>
      </x:c>
      <x:c r="E10" s="9" t="s">
        <x:v>21</x:v>
      </x:c>
      <x:c r="F10" s="6" t="s">
        <x:v>83</x:v>
      </x:c>
      <x:c r="G10" s="6" t="s">
        <x:v>84</x:v>
      </x:c>
      <x:c r="H10" s="6" t="s">
        <x:v>85</x:v>
      </x:c>
      <x:c r="I10" s="10" t="n">
        <x:v>141539.59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HYPERLINK("https://contrataciondelestado.es/wps/poc?uri=deeplink:detalle_licitacion&amp;idEvl=YDfFUIuHB50ZDGvgaZEVxQ%3D%3D","contrataciondelestado.es/wps/poc?uri=deeplink:detalle_licitacion&amp;idEvl=YDfFUIuHB50ZDGvgaZEVxQ%3D%3D")</x:f>
        <x:v>contrataciondelestado.es/wps/poc?uri=deeplink:detalle_licitacion&amp;idEvl=YDfFUIuHB50ZDGvgaZEVxQ%3D%3D</x:v>
      </x:c>
      <x:c r="M10" s="11" t="s">
        <x:v>27</x:v>
      </x:c>
      <x:c r="N10" s="13" t="s">
        <x:v>21</x:v>
      </x:c>
      <x:c r="O10" s="11" t="s">
        <x:v>86</x:v>
      </x:c>
      <x:c r="P10" s="11" t="s">
        <x:v>37</x:v>
      </x:c>
      <x:c r="Q10" s="14" t="str">
        <x:f xml:space="preserve">HYPERLINK("https://www.infonalia.es/licitaciones1225/2025174321.pdf","www.infonalia.es/licitaciones1225/2025174321.pdf")</x:f>
        <x:v>www.infonalia.es/licitaciones1225/2025174321.pdf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