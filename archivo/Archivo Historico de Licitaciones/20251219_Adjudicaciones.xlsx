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<x:sst xmlns:x="http://schemas.openxmlformats.org/spreadsheetml/2006/main" count="11" uniqueCount="11">
  <x:si>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</x:si>
  <x:si>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</x:si>
  <x:si>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</x:si>
  <x:si>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</x:si>
  <x:si>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</x:si>
  <x:si>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</x:si>
  <x:si>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</x:si>
  <x:si>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</x:si>
  <x:si>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</x:si>
  <x:si>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</x:si>
  <x:si>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</x:si>
  <x:si>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</x:si>
  <x:si>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LOTE 1 EXLAND EXCAVACIONS I TRANSPORTS, S.L.</x:t>
  </x:si>
  <x:si>
    <x:t>19/12/2025 0:00:00</x:t>
  </x:si>
  <x:si>
    <x:t>25256018</x:t>
  </x:si>
  <x:si>
    <x:t>AYUNTAMIENTO DE NAVARCLES (BARCELONA)</x:t>
  </x:si>
  <x:si>
    <x:t>La ejecución de la obra de construcción de un conector fluvial en la esclusa de Cal Tàpies en el río Calders a su paso por el municipio de Navarcles y el servicio de divulgación y comunicación de la ejecución de la obra y de las actuaciones realizadas para sensibilizar a la ciudadanía sobre la importancia de la obra ejecutada. Lote 1 Conector fluvial esclusa Cal Tapies. Lote 2 Servicio divulgación y difusión obras.</x:t>
  </x:si>
  <x:si>
    <x:t>X2025001061</x:t>
  </x:si>
  <x:si>
    <x:t>Barcelona</x:t>
  </x:si>
  <x:si>
    <x:t>GSG METRICS S.L</x:t>
  </x:si>
  <x:si>
    <x:t>25256044</x:t>
  </x:si>
  <x:si>
    <x:t>ÁREA DE GOBIERNO DE VICEALCALDÍA, PORTAVOZ, SEGURIDAD Y EMERGENCIAS DEL AYUNTAMIENTO DE MADRID</x:t>
  </x:si>
  <x:si>
    <x:t>Prestación de servicios para el desarrollo de las pruebas psicotécnicas de un proceso selectivo en el ámbito la Dirección General de Policía Municipal de Madrid</x:t>
  </x:si>
  <x:si>
    <x:t>300/2025/02717</x:t>
  </x:si>
  <x:si>
    <x:t>Madrid</x:t>
  </x:si>
  <x:si>
    <x:t>PASEO DE GRACIA COMUNICACIÓN</x:t>
  </x:si>
  <x:si>
    <x:t>25256374</x:t>
  </x:si>
  <x:si>
    <x:t>INSTITUTO MUNICIPAL DE HACIENDA DE BARCELONA</x:t>
  </x:si>
  <x:si>
    <x:t>El objeto del contrato es la conceptualización y desarrollo creativo, diseño gráfico y producción hasta masters o artes finales para la comunicación de acciones y/o campañas del Instituto Municipal de Hacienda de Barcelona (IMHB).</x:t>
  </x:si>
  <x:si>
    <x:t>005_25000038</x:t>
  </x:si>
  <x:si>
    <x:t>SPORTMADNESS EVENTOS SL</x:t>
  </x:si>
  <x:si>
    <x:t>25256437</x:t>
  </x:si>
  <x:si>
    <x:t>FUNDACIÓN HOSPITAL UNIVERSITARIO VALL D'HEBRON - INSTITUTO DE INVESTIGACIÓN</x:t>
  </x:si>
  <x:si>
    <x:t>Servicio para la organización y ejecución técnica de la carrera valle de hebrón a cargo de la Fundación Hospital Universitario Vall Hebrón- instituto de investigación (VHIR)</x:t>
  </x:si>
  <x:si>
    <x:t>LICI 2025-052 ORGANITZACIÓ CURSA</x:t>
  </x:si>
  <x:si>
    <x:t>T.E.M.A., S.A</x:t>
  </x:si>
  <x:si>
    <x:t>25256464</x:t>
  </x:si>
  <x:si>
    <x:t>DIRECCIÓN DE LA FUNDACIÓN ICO</x:t>
  </x:si>
  <x:si>
    <x:t>El presente pliego tiene por objeto la contratación del servicio de montaje y desmontaje de la exposición Transitar el siglo XX. Dibujo y escultura en las Colecciones ICO, formada por 45 dibujos y 34 esculturas de mediano y gran formato.</x:t>
  </x:si>
  <x:si>
    <x:t>34/2025</x:t>
  </x:si>
  <x:si>
    <x:t>INTERIM SERVICES SOLUTIONS, S.L</x:t>
  </x:si>
  <x:si>
    <x:t>25256465</x:t>
  </x:si>
  <x:si>
    <x:t>JUNTA DE CONTRATACIÓN DEL MINISTERIO DE ECONOMÍA, COMERCIO Y EMPRESA</x:t>
  </x:si>
  <x:si>
    <x:t>Servicio de atención a visitas y reuniones en la sede central del Ministerio de Economía, Comercio y Empresa.</x:t>
  </x:si>
  <x:si>
    <x:t>202500000203</x:t>
  </x:si>
  <x:si>
    <x:t>Formalización</x:t>
  </x:si>
  <x:si>
    <x:t>XAVI PIRRETAS MARTÍ</x:t>
  </x:si>
  <x:si>
    <x:t>25256555</x:t>
  </x:si>
  <x:si>
    <x:t>UNIVERSITAT DE BARCELONA</x:t>
  </x:si>
  <x:si>
    <x:t>Provisión de servicios por las actividades de divulgación de la Unidad de Cultura Científica e Innovación (UCC+I) de la Universidad de Barcelona. Los lotes que se incluirían en este contrato son los siguientes: - Desayunos de pausas de jornadas y sesiones de formación, así como de reuniones de trabajo. - Desayunos del personal implicado en la realización de la Fiesta de la Ciencia de la Universidad de Barcelona. - Paella de la comida ofrecida al personal implicado en la realización de la Fiesta de la Ciencia de la Universidad de Barcelona. - Bebidas de la comida ofrecida al personal implicado en la realización de la Fiesta de la Ciencia de la Universidad de Barcelona. - Diseño gráfico y adaptaciones de los proyectos de la UCC+I. - Alquiler mobiliario de la Fiesta de la Ciencia. Lote 1 Desayunos de pausas de jornadas y sesiones de formación, así como de reuniones de trabajo. Lote 2 Desayunos del personal implicado en la realización de la Fiesta de la Ciencia. Lote 3 Paella de la comida ofrecida al personal implicado en la realización de la Fiesta de la Ciencia. Lote 4 Bebidas de la comida ofrecida al personal implicado en la realización de la Fiesta de la Ciencia. Lote 5 Diseño gráfico y adaptaciones de los proyectos de la UCC+I. Lote 6 Alquiler mobiliario de la Fiesta de la Ciencia</x:t>
  </x:si>
  <x:si>
    <x:t>2025/136</x:t>
  </x:si>
  <x:si>
    <x:t>Ver detalle de la adjudicación</x:t>
  </x:si>
  <x:si>
    <x:t>EVENTUAL SERVICES PRODUCCIÓN Y EVENTOS, S.L</x:t>
  </x:si>
  <x:si>
    <x:t>25256589</x:t>
  </x:si>
  <x:si>
    <x:t>AYUNTAMIENTO DE MADRID. DISTRITO DE MORATALAZ</x:t>
  </x:si>
  <x:si>
    <x:t>El objeto del presente contrato es regular las condiciones que han de regir la contratación del servicio de dotación de infraestructura para la organización de las fiestas del Distrito de Moratalaz para el año 2026.</x:t>
  </x:si>
  <x:si>
    <x:t>300/2025/02467</x:t>
  </x:si>
  <x:si>
    <x:t>ADSMURAI SL</x:t>
  </x:si>
  <x:si>
    <x:t>25256613</x:t>
  </x:si>
  <x:si>
    <x:t>FUNDACIÓ PER A LA UNIVERSITAT OBERTA DE CATALUNYA</x:t>
  </x:si>
  <x:si>
    <x:t>Servicio de planificación, gestión y ejecución de la planificación y pago de los consumos de search engine marketing en el mercado nacional e internacional (LATAM) de la Universitat Oberta de Catalunya.  • Desarrollar campañas de publicidad de pago por clic (CPC) en las plataformas de los Buscadores con el fin de cubrir todo el embudo de conversión (conocimiento de marca, tráfico y performance): • Optimizar las campañas, teniendo en cuenta los recursos disponibles, para que los anuncios de la UOC se presenten al usuario en la mejor posición posible. • Optimizar y rentabilizar la inversión, teniendo en cuenta los indicadores y KPIs marcados, para alcanzar los objetivos planteados por la UOC • Plantear campañas SEM con el fin de impactar al usuario con anuncios que sean adecuados y pertinentes, teniendo en cuenta sus necesidades y el punto del embudo en que se encuentra. • Servir de enlace entre la UOC y el equipo de Google asignado a la agencia, con el fin de aprovechar su conocimiento en las campañas de la UOC. • Realizar un seguimiento de la campaña y analizar sus resultados para detectar posibles mejoras, tendencias de comportamiento, y determinar qué está haciendo la competencia. • Trabajar de forma muy coordinada y proactiva con el equipo de Marketing de la UOC para generar sinergias y alcanzar los objetivos planteados.</x:t>
  </x:si>
  <x:si>
    <x:t>HSE00018/2025</x:t>
  </x:si>
  <x:si>
    <x:t>Catalunya</x:t>
  </x:si>
  <x:si>
    <x:t>SPAIN INVESTORS DAY, S.L</x:t>
  </x:si>
  <x:si>
    <x:t>25256643</x:t>
  </x:si>
  <x:si>
    <x:t>COMITÉ DE CONTRATACIÓN DEL INSTITUTO DE CRÉDITO OFICIAL (ICO)</x:t>
  </x:si>
  <x:si>
    <x:t>Patrocinio del evento Spain Investors Day (SID)</x:t>
  </x:si>
  <x:si>
    <x:t>ICO_2025_64</x:t>
  </x:si>
  <x:si>
    <x:t>AGENCIA EFE S.A.U. S.M.E</x:t>
  </x:si>
  <x:si>
    <x:t>25256673</x:t>
  </x:si>
  <x:si>
    <x:t>MESA DEL CONGRESO DE LOS DIPUTADOS</x:t>
  </x:si>
  <x:si>
    <x:t>Recepción del servicio de noticias de la Agencia Efe</x:t>
  </x:si>
  <x:si>
    <x:t>CON-P2025/0100012.0</x:t>
  </x:si>
  <x:si>
    <x:t>REED EXHIBITIONS LIMITED</x:t>
  </x:si>
  <x:si>
    <x:t>25256710</x:t>
  </x:si>
  <x:si>
    <x:t>CONSORCIO DEL INSTITUTO RAMON LLULL</x:t>
  </x:si>
  <x:si>
    <x:t>Alquiler del espacio del stand del Institut Ramon Llull en la Feria del Libro de Londres (London Book Fair), edición 2026, en la entidad organizadora del evento, Reed Exhibitions Ltd</x:t>
  </x:si>
  <x:si>
    <x:t>G0935 N-335/25</x:t>
  </x:si>
  <x:si>
    <x:t>Reino Unido</x:t>
  </x:si>
  <x:si>
    <x:t>JUAN NARANJO, SL</x:t>
  </x:si>
  <x:si>
    <x:t>25256805</x:t>
  </x:si>
  <x:si>
    <x:t>GENERALITAT DE CATALUNYA. DEPARTAMENTO DE CULTURA</x:t>
  </x:si>
  <x:si>
    <x:t>Adquisición del fondo del fotógrafo Eduard Olivella</x:t>
  </x:si>
  <x:si>
    <x:t>CU-2025-2130</x:t>
  </x:si>
  <x:si>
    <x:t>LOPEZINO CONSULTORES SL</x:t>
  </x:si>
  <x:si>
    <x:t>25256860</x:t>
  </x:si>
  <x:si>
    <x:t>MADRID DESTINO CULTURA TURISMO Y NEGOCIO, S.A.</x:t>
  </x:si>
  <x:si>
    <x:t>Contrato de servicios para la realización de la exposición denominada Abierto x Obras: Mónica Mays, para su exhibición pública en la Nave 0 de Matadero Madrid dentro del programa Abierto x Obras, a prestar por Lopezino Consultores, S.L., del 26 de febrero al 24 de mayo de 2026</x:t>
  </x:si>
  <x:si>
    <x:t>PR25-0325.2</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</x:si>
</x:sst>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HYPERLINK("https://www.infonalia.es/adjudicaciones1225/25256018.pdf","www.infonalia.es/adjudicaciones1225/25256018.pdf")</x:f>
        <x:v>www.infonalia.es/adjudicaciones1225/25256018.pdf</x:v>
      </x:c>
      <x:c r="E2" s="8" t="s">
        <x:v>14</x:v>
      </x:c>
      <x:c r="F2" s="6" t="s">
        <x:v>15</x:v>
      </x:c>
      <x:c r="G2" s="6" t="s">
        <x:v>16</x:v>
      </x:c>
      <x:c r="H2" s="6" t="s">
        <x:v>17</x:v>
      </x:c>
      <x:c r="I2" s="6" t="s">
        <x:v>18</x:v>
      </x:c>
      <x:c r="J2" s="9" t="n">
        <x:v>45760.00</x:v>
      </x:c>
      <x:c r="K2" s="9" t="n">
        <x:v>51563.30</x:v>
      </x:c>
    </x:row>
    <x:row r="3">
      <x:c r="A3" s="6" t="s">
        <x:v>11</x:v>
      </x:c>
      <x:c r="B3" s="6" t="s">
        <x:v>19</x:v>
      </x:c>
      <x:c r="C3" s="6" t="s">
        <x:v>13</x:v>
      </x:c>
      <x:c r="D3" s="7" t="str">
        <x:f xml:space="preserve">HYPERLINK("https://www.infonalia.es/adjudicaciones1225/25256044.pdf","www.infonalia.es/adjudicaciones1225/25256044.pdf")</x:f>
        <x:v>www.infonalia.es/adjudicaciones1225/25256044.pdf</x:v>
      </x:c>
      <x:c r="E3" s="8" t="s">
        <x:v>20</x:v>
      </x:c>
      <x:c r="F3" s="6" t="s">
        <x:v>21</x:v>
      </x:c>
      <x:c r="G3" s="6" t="s">
        <x:v>22</x:v>
      </x:c>
      <x:c r="H3" s="6" t="s">
        <x:v>23</x:v>
      </x:c>
      <x:c r="I3" s="6" t="s">
        <x:v>24</x:v>
      </x:c>
      <x:c r="J3" s="9" t="n">
        <x:v>17129.05</x:v>
      </x:c>
      <x:c r="K3" s="9" t="n">
        <x:v>24487.56</x:v>
      </x:c>
    </x:row>
    <x:row r="4">
      <x:c r="A4" s="6" t="s">
        <x:v>11</x:v>
      </x:c>
      <x:c r="B4" s="6" t="s">
        <x:v>25</x:v>
      </x:c>
      <x:c r="C4" s="6" t="s">
        <x:v>13</x:v>
      </x:c>
      <x:c r="D4" s="7" t="str">
        <x:f xml:space="preserve">HYPERLINK("https://www.infonalia.es/adjudicaciones1225/25256374.pdf","www.infonalia.es/adjudicaciones1225/25256374.pdf")</x:f>
        <x:v>www.infonalia.es/adjudicaciones1225/25256374.pdf</x:v>
      </x:c>
      <x:c r="E4" s="8" t="s">
        <x:v>26</x:v>
      </x:c>
      <x:c r="F4" s="6" t="s">
        <x:v>27</x:v>
      </x:c>
      <x:c r="G4" s="6" t="s">
        <x:v>28</x:v>
      </x:c>
      <x:c r="H4" s="6" t="s">
        <x:v>29</x:v>
      </x:c>
      <x:c r="I4" s="6" t="s">
        <x:v>18</x:v>
      </x:c>
      <x:c r="J4" s="9" t="n">
        <x:v>17504.78</x:v>
      </x:c>
      <x:c r="K4" s="9" t="n">
        <x:v>17504.78</x:v>
      </x:c>
    </x:row>
    <x:row r="5">
      <x:c r="A5" s="6" t="s">
        <x:v>11</x:v>
      </x:c>
      <x:c r="B5" s="6" t="s">
        <x:v>30</x:v>
      </x:c>
      <x:c r="C5" s="6" t="s">
        <x:v>13</x:v>
      </x:c>
      <x:c r="D5" s="7" t="str">
        <x:f xml:space="preserve">HYPERLINK("https://www.infonalia.es/adjudicaciones1225/25256437.pdf","www.infonalia.es/adjudicaciones1225/25256437.pdf")</x:f>
        <x:v>www.infonalia.es/adjudicaciones1225/25256437.pdf</x:v>
      </x:c>
      <x:c r="E5" s="8" t="s">
        <x:v>31</x:v>
      </x:c>
      <x:c r="F5" s="6" t="s">
        <x:v>32</x:v>
      </x:c>
      <x:c r="G5" s="6" t="s">
        <x:v>33</x:v>
      </x:c>
      <x:c r="H5" s="6" t="s">
        <x:v>34</x:v>
      </x:c>
      <x:c r="I5" s="6" t="s">
        <x:v>18</x:v>
      </x:c>
      <x:c r="J5" s="9" t="n">
        <x:v>35780.00</x:v>
      </x:c>
      <x:c r="K5" s="9" t="n">
        <x:v>41320.00</x:v>
      </x:c>
    </x:row>
    <x:row r="6">
      <x:c r="A6" s="6" t="s">
        <x:v>11</x:v>
      </x:c>
      <x:c r="B6" s="6" t="s">
        <x:v>35</x:v>
      </x:c>
      <x:c r="C6" s="6" t="s">
        <x:v>13</x:v>
      </x:c>
      <x:c r="D6" s="7" t="str">
        <x:f xml:space="preserve">HYPERLINK("https://www.infonalia.es/adjudicaciones1225/25256464.pdf","www.infonalia.es/adjudicaciones1225/25256464.pdf")</x:f>
        <x:v>www.infonalia.es/adjudicaciones1225/25256464.pdf</x:v>
      </x:c>
      <x:c r="E6" s="8" t="s">
        <x:v>36</x:v>
      </x:c>
      <x:c r="F6" s="6" t="s">
        <x:v>37</x:v>
      </x:c>
      <x:c r="G6" s="6" t="s">
        <x:v>38</x:v>
      </x:c>
      <x:c r="H6" s="6" t="s">
        <x:v>39</x:v>
      </x:c>
      <x:c r="I6" s="6" t="s">
        <x:v>24</x:v>
      </x:c>
      <x:c r="J6" s="9" t="n">
        <x:v>69830.00</x:v>
      </x:c>
      <x:c r="K6" s="9" t="n">
        <x:v>90000.00</x:v>
      </x:c>
    </x:row>
    <x:row r="7">
      <x:c r="A7" s="6" t="s">
        <x:v>11</x:v>
      </x:c>
      <x:c r="B7" s="6" t="s">
        <x:v>40</x:v>
      </x:c>
      <x:c r="C7" s="6" t="s">
        <x:v>13</x:v>
      </x:c>
      <x:c r="D7" s="7" t="str">
        <x:f xml:space="preserve">HYPERLINK("https://www.infonalia.es/adjudicaciones1225/25256465.pdf","www.infonalia.es/adjudicaciones1225/25256465.pdf")</x:f>
        <x:v>www.infonalia.es/adjudicaciones1225/25256465.pdf</x:v>
      </x:c>
      <x:c r="E7" s="8" t="s">
        <x:v>41</x:v>
      </x:c>
      <x:c r="F7" s="6" t="s">
        <x:v>42</x:v>
      </x:c>
      <x:c r="G7" s="6" t="s">
        <x:v>43</x:v>
      </x:c>
      <x:c r="H7" s="6" t="s">
        <x:v>44</x:v>
      </x:c>
      <x:c r="I7" s="6" t="s">
        <x:v>24</x:v>
      </x:c>
      <x:c r="J7" s="9" t="n">
        <x:v>86866.73</x:v>
      </x:c>
      <x:c r="K7" s="9" t="n">
        <x:v>107735.21</x:v>
      </x:c>
    </x:row>
    <x:row r="8">
      <x:c r="A8" s="6" t="s">
        <x:v>45</x:v>
      </x:c>
      <x:c r="B8" s="6" t="s">
        <x:v>46</x:v>
      </x:c>
      <x:c r="C8" s="6" t="s">
        <x:v>13</x:v>
      </x:c>
      <x:c r="D8" s="7" t="str">
        <x:f xml:space="preserve">HYPERLINK("https://www.infonalia.es/adjudicaciones1225/25256555.pdf","www.infonalia.es/adjudicaciones1225/25256555.pdf")</x:f>
        <x:v>www.infonalia.es/adjudicaciones1225/25256555.pdf</x:v>
      </x:c>
      <x:c r="E8" s="8" t="s">
        <x:v>47</x:v>
      </x:c>
      <x:c r="F8" s="6" t="s">
        <x:v>48</x:v>
      </x:c>
      <x:c r="G8" s="6" t="s">
        <x:v>49</x:v>
      </x:c>
      <x:c r="H8" s="6" t="s">
        <x:v>50</x:v>
      </x:c>
      <x:c r="I8" s="6" t="s">
        <x:v>18</x:v>
      </x:c>
      <x:c r="J8" s="9" t="s">
        <x:v>51</x:v>
      </x:c>
      <x:c r="K8" s="9" t="n">
        <x:v>26450.00</x:v>
      </x:c>
    </x:row>
    <x:row r="9">
      <x:c r="A9" s="6" t="s">
        <x:v>11</x:v>
      </x:c>
      <x:c r="B9" s="6" t="s">
        <x:v>52</x:v>
      </x:c>
      <x:c r="C9" s="6" t="s">
        <x:v>13</x:v>
      </x:c>
      <x:c r="D9" s="7" t="str">
        <x:f xml:space="preserve">HYPERLINK("https://www.infonalia.es/adjudicaciones1225/25256589.pdf","www.infonalia.es/adjudicaciones1225/25256589.pdf")</x:f>
        <x:v>www.infonalia.es/adjudicaciones1225/25256589.pdf</x:v>
      </x:c>
      <x:c r="E9" s="8" t="s">
        <x:v>53</x:v>
      </x:c>
      <x:c r="F9" s="6" t="s">
        <x:v>54</x:v>
      </x:c>
      <x:c r="G9" s="6" t="s">
        <x:v>55</x:v>
      </x:c>
      <x:c r="H9" s="6" t="s">
        <x:v>56</x:v>
      </x:c>
      <x:c r="I9" s="6" t="s">
        <x:v>24</x:v>
      </x:c>
      <x:c r="J9" s="9" t="n">
        <x:v>80006.31</x:v>
      </x:c>
      <x:c r="K9" s="9" t="n">
        <x:v>106106.31</x:v>
      </x:c>
    </x:row>
    <x:row r="10">
      <x:c r="A10" s="6" t="s">
        <x:v>11</x:v>
      </x:c>
      <x:c r="B10" s="6" t="s">
        <x:v>57</x:v>
      </x:c>
      <x:c r="C10" s="6" t="s">
        <x:v>13</x:v>
      </x:c>
      <x:c r="D10" s="7" t="str">
        <x:f xml:space="preserve">HYPERLINK("https://www.infonalia.es/adjudicaciones1225/25256613.pdf","www.infonalia.es/adjudicaciones1225/25256613.pdf")</x:f>
        <x:v>www.infonalia.es/adjudicaciones1225/25256613.pdf</x:v>
      </x:c>
      <x:c r="E10" s="8" t="s">
        <x:v>58</x:v>
      </x:c>
      <x:c r="F10" s="6" t="s">
        <x:v>59</x:v>
      </x:c>
      <x:c r="G10" s="6" t="s">
        <x:v>60</x:v>
      </x:c>
      <x:c r="H10" s="6" t="s">
        <x:v>61</x:v>
      </x:c>
      <x:c r="I10" s="6" t="s">
        <x:v>62</x:v>
      </x:c>
      <x:c r="J10" s="9" t="n">
        <x:v>5654945.71</x:v>
      </x:c>
      <x:c r="K10" s="9" t="n">
        <x:v>5654945.71</x:v>
      </x:c>
    </x:row>
    <x:row r="11">
      <x:c r="A11" s="6" t="s">
        <x:v>11</x:v>
      </x:c>
      <x:c r="B11" s="6" t="s">
        <x:v>63</x:v>
      </x:c>
      <x:c r="C11" s="6" t="s">
        <x:v>13</x:v>
      </x:c>
      <x:c r="D11" s="7" t="str">
        <x:f xml:space="preserve">HYPERLINK("https://www.infonalia.es/adjudicaciones1225/25256643.pdf","www.infonalia.es/adjudicaciones1225/25256643.pdf")</x:f>
        <x:v>www.infonalia.es/adjudicaciones1225/25256643.pdf</x:v>
      </x:c>
      <x:c r="E11" s="8" t="s">
        <x:v>64</x:v>
      </x:c>
      <x:c r="F11" s="6" t="s">
        <x:v>65</x:v>
      </x:c>
      <x:c r="G11" s="6" t="s">
        <x:v>66</x:v>
      </x:c>
      <x:c r="H11" s="6" t="s">
        <x:v>67</x:v>
      </x:c>
      <x:c r="I11" s="6" t="s">
        <x:v>24</x:v>
      </x:c>
      <x:c r="J11" s="9" t="n">
        <x:v>22471.00</x:v>
      </x:c>
      <x:c r="K11" s="9" t="n">
        <x:v>22471.00</x:v>
      </x:c>
    </x:row>
    <x:row r="12">
      <x:c r="A12" s="6" t="s">
        <x:v>11</x:v>
      </x:c>
      <x:c r="B12" s="6" t="s">
        <x:v>68</x:v>
      </x:c>
      <x:c r="C12" s="6" t="s">
        <x:v>13</x:v>
      </x:c>
      <x:c r="D12" s="7" t="str">
        <x:f xml:space="preserve">HYPERLINK("https://www.infonalia.es/adjudicaciones1225/25256673.pdf","www.infonalia.es/adjudicaciones1225/25256673.pdf")</x:f>
        <x:v>www.infonalia.es/adjudicaciones1225/25256673.pdf</x:v>
      </x:c>
      <x:c r="E12" s="8" t="s">
        <x:v>69</x:v>
      </x:c>
      <x:c r="F12" s="6" t="s">
        <x:v>70</x:v>
      </x:c>
      <x:c r="G12" s="6" t="s">
        <x:v>71</x:v>
      </x:c>
      <x:c r="H12" s="6" t="s">
        <x:v>72</x:v>
      </x:c>
      <x:c r="I12" s="6" t="s">
        <x:v>24</x:v>
      </x:c>
      <x:c r="J12" s="9" t="n">
        <x:v>81189.84</x:v>
      </x:c>
      <x:c r="K12" s="9" t="n">
        <x:v>98844.12</x:v>
      </x:c>
    </x:row>
    <x:row r="13">
      <x:c r="A13" s="6" t="s">
        <x:v>11</x:v>
      </x:c>
      <x:c r="B13" s="6" t="s">
        <x:v>73</x:v>
      </x:c>
      <x:c r="C13" s="6" t="s">
        <x:v>13</x:v>
      </x:c>
      <x:c r="D13" s="7" t="str">
        <x:f xml:space="preserve">HYPERLINK("https://www.infonalia.es/adjudicaciones1225/25256710.pdf","www.infonalia.es/adjudicaciones1225/25256710.pdf")</x:f>
        <x:v>www.infonalia.es/adjudicaciones1225/25256710.pdf</x:v>
      </x:c>
      <x:c r="E13" s="8" t="s">
        <x:v>74</x:v>
      </x:c>
      <x:c r="F13" s="6" t="s">
        <x:v>75</x:v>
      </x:c>
      <x:c r="G13" s="6" t="s">
        <x:v>76</x:v>
      </x:c>
      <x:c r="H13" s="6" t="s">
        <x:v>77</x:v>
      </x:c>
      <x:c r="I13" s="6" t="s">
        <x:v>78</x:v>
      </x:c>
      <x:c r="J13" s="9" t="n">
        <x:v>22539.69</x:v>
      </x:c>
      <x:c r="K13" s="9" t="n">
        <x:v>22539.69</x:v>
      </x:c>
    </x:row>
    <x:row r="14">
      <x:c r="A14" s="6" t="s">
        <x:v>11</x:v>
      </x:c>
      <x:c r="B14" s="6" t="s">
        <x:v>79</x:v>
      </x:c>
      <x:c r="C14" s="6" t="s">
        <x:v>13</x:v>
      </x:c>
      <x:c r="D14" s="7" t="str">
        <x:f xml:space="preserve">HYPERLINK("https://www.infonalia.es/adjudicaciones1225/25256805.pdf","www.infonalia.es/adjudicaciones1225/25256805.pdf")</x:f>
        <x:v>www.infonalia.es/adjudicaciones1225/25256805.pdf</x:v>
      </x:c>
      <x:c r="E14" s="8" t="s">
        <x:v>80</x:v>
      </x:c>
      <x:c r="F14" s="6" t="s">
        <x:v>81</x:v>
      </x:c>
      <x:c r="G14" s="6" t="s">
        <x:v>82</x:v>
      </x:c>
      <x:c r="H14" s="6" t="s">
        <x:v>83</x:v>
      </x:c>
      <x:c r="I14" s="6" t="s">
        <x:v>18</x:v>
      </x:c>
      <x:c r="J14" s="9" t="n">
        <x:v>36000.00</x:v>
      </x:c>
      <x:c r="K14" s="9" t="n">
        <x:v>36000.00</x:v>
      </x:c>
    </x:row>
    <x:row r="15">
      <x:c r="A15" s="6" t="s">
        <x:v>11</x:v>
      </x:c>
      <x:c r="B15" s="6" t="s">
        <x:v>84</x:v>
      </x:c>
      <x:c r="C15" s="6" t="s">
        <x:v>13</x:v>
      </x:c>
      <x:c r="D15" s="7" t="str">
        <x:f xml:space="preserve">HYPERLINK("https://www.infonalia.es/adjudicaciones1225/25256860.pdf","www.infonalia.es/adjudicaciones1225/25256860.pdf")</x:f>
        <x:v>www.infonalia.es/adjudicaciones1225/25256860.pdf</x:v>
      </x:c>
      <x:c r="E15" s="8" t="s">
        <x:v>85</x:v>
      </x:c>
      <x:c r="F15" s="6" t="s">
        <x:v>86</x:v>
      </x:c>
      <x:c r="G15" s="6" t="s">
        <x:v>87</x:v>
      </x:c>
      <x:c r="H15" s="6" t="s">
        <x:v>88</x:v>
      </x:c>
      <x:c r="I15" s="6" t="s">
        <x:v>24</x:v>
      </x:c>
      <x:c r="J15" s="9" t="n">
        <x:v>40625.00</x:v>
      </x:c>
      <x:c r="K15" s="9" t="n">
        <x:v>40625.00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