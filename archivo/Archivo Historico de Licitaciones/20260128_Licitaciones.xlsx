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<x:sst xmlns:x="http://schemas.openxmlformats.org/spreadsheetml/2006/main" count="17" uniqueCount="17">
  <x:si>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</x:si>
  <x:si>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</x:si>
  <x:si>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</x:si>
  <x:si>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</x:si>
  <x:si>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</x:si>
  <x:si>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</x:si>
  <x:si>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</x:si>
  <x:si>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</x:si>
  <x:si>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</x:si>
  <x:si>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</x:si>
  <x:si>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</x:si>
  <x:si>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</x:si>
  <x:si>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</x:si>
  <x:si>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</x:si>
  <x:si>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</x:si>
  <x:si>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</x:si>
  <x:si>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</x:si>
  <x:si>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</x:si>
  <x:si>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</x:si>
  <x:si>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11/02/2026</x:t>
  </x:si>
  <x:si>
    <x:t>2026008444</x:t>
  </x:si>
  <x:si>
    <x:t>28/01/2026</x:t>
  </x:si>
  <x:si>
    <x:t>JUNTA DE GOBIERNO DEL AYUNTAMIENTO DE TORREJÓN DE ARDOZ (MADRID)</x:t>
  </x:si>
  <x:si>
    <x:t>Servicio de proyección de "Jueves de cine Español" y "Cine en familia"</x:t>
  </x:si>
  <x:si>
    <x:t>PA 21/2026</x:t>
  </x:si>
  <x:si>
    <x:t>Importe sin impuestos</x:t>
  </x:si>
  <x:si>
    <x:t/>
  </x:si>
  <x:si>
    <x:t>-----</x:t>
  </x:si>
  <x:si>
    <x:t>27/01/2026</x:t>
  </x:si>
  <x:si>
    <x:t/>
  </x:si>
  <x:si>
    <x:t>Madrid</x:t>
  </x:si>
  <x:si>
    <x:t>Catalunya - Plataforma de Contratación</x:t>
  </x:si>
  <x:si>
    <x:t>04/02/2026</x:t>
  </x:si>
  <x:si>
    <x:t>2026008619</x:t>
  </x:si>
  <x:si>
    <x:t>AYUNTAMIENTO DE TARRAGONA. SECCIÓN DE CONTRATACIÓN, DE OBRAS Y SERVICIOS</x:t>
  </x:si>
  <x:si>
    <x:t>Creación y adaptación de folletos digitales interactivos de la Proyecto ConecTarragona, financiado con el Fondo NexT Generation EU en el marco del PRTR.</x:t>
  </x:si>
  <x:si>
    <x:t>2025/3987 G626_1</x:t>
  </x:si>
  <x:si>
    <x:t>IVA excluido</x:t>
  </x:si>
  <x:si>
    <x:t/>
  </x:si>
  <x:si>
    <x:t/>
  </x:si>
  <x:si>
    <x:t>Tarragona</x:t>
  </x:si>
  <x:si>
    <x:t>SEGIB - Secretaría General Iberoamericana</x:t>
  </x:si>
  <x:si>
    <x:t>10/02/2026</x:t>
  </x:si>
  <x:si>
    <x:t>2026008657</x:t>
  </x:si>
  <x:si>
    <x:t>SEGIB - SECRETARÍA GENERAL IBEROAMERICANA</x:t>
  </x:si>
  <x:si>
    <x:t>Licitación para la contratación de servicios profesionales para atender las funciones de coordinación de la unidad técnica del programa iberoamericano para la promoción de las artesanías (IBERARTESANÍAS)</x:t>
  </x:si>
  <x:si>
    <x:t>FPC: 01/2026</x:t>
  </x:si>
  <x:si>
    <x:t>Impuestos incluidos</x:t>
  </x:si>
  <x:si>
    <x:t/>
  </x:si>
  <x:si>
    <x:t/>
  </x:si>
  <x:si>
    <x:t>Ver pliegos</x:t>
  </x:si>
  <x:si>
    <x:t>01/02/2026</x:t>
  </x:si>
  <x:si>
    <x:t>2026008697</x:t>
  </x:si>
  <x:si>
    <x:t>JUNTA DE GOBIERNO DEL AYUNTAMIENTO DE MÓSTOLES (MADRID)</x:t>
  </x:si>
  <x:si>
    <x:t>Servicio de retransmisión audiovisual o streaming a través de internet del XXVII concurso de agrupaciones carnavalescas de Móstoles</x:t>
  </x:si>
  <x:si>
    <x:t>C074/CON/2026-039</x:t>
  </x:si>
  <x:si>
    <x:t/>
  </x:si>
  <x:si>
    <x:t>03/02/2026</x:t>
  </x:si>
  <x:si>
    <x:t>2026008702</x:t>
  </x:si>
  <x:si>
    <x:t>FUNDACIÓN PARA LA INVESTIGACIÓN BIOMÉDICA DEL HOSPITAL 12 DE OCTUBRE</x:t>
  </x:si>
  <x:si>
    <x:t>Mejora gráfica de las figuras de artículo científico [Servicios a un ilustrador para que realice las mejoras de las figuras que complementan al artículo científico para la revista “Dialogues in Health” titulado “A Visual Framework for Classifying Adaptive Design Clinical Trials Using the GATE Frame and PICO Terminology”, que responde a un objetivo del estudio]</x:t>
  </x:si>
  <x:si>
    <x:t>1-2026/45</x:t>
  </x:si>
  <x:si>
    <x:t/>
  </x:si>
  <x:si>
    <x:t>Madrid </x:t>
  </x:si>
  <x:si>
    <x:t>2026008705</x:t>
  </x:si>
  <x:si>
    <x:t>CONCEJAL DE CONTRATACIÓN DEL AYUNTAMIENTO DE TORREJÓN DE ARDOZ (MADRID)</x:t>
  </x:si>
  <x:si>
    <x:t>Impresión de fotografías para Exposición X Certamen de Fotografía que tendrá lugar del 5 al 21 de junio de 2026</x:t>
  </x:si>
  <x:si>
    <x:t>39.2026</x:t>
  </x:si>
  <x:si>
    <x:t/>
  </x:si>
  <x:si>
    <x:t>13/02/2026</x:t>
  </x:si>
  <x:si>
    <x:t>2026008715</x:t>
  </x:si>
  <x:si>
    <x:t>METRO DE MADRID, S.A.</x:t>
  </x:si>
  <x:si>
    <x:t>Servicio de soporte para acciones institucionales de Metro de Madrid</x:t>
  </x:si>
  <x:si>
    <x:t>6012600025</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</x:si>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</x:sst>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15000.00</x:v>
      </x:c>
      <x:c r="J2" s="11" t="s">
        <x:v>25</x:v>
      </x:c>
      <x:c r="K2" s="11" t="s">
        <x:v>26</x:v>
      </x:c>
      <x:c r="L2" s="12" t="str">
        <x:f xml:space="preserve">HYPERLINK("https://contrataciondelestado.es/wps/poc?uri=deeplink:detalle_licitacion&amp;idEvl=ZzVE4a9sG1S8ebB%2FXTwy0A%3D%3D","contrataciondelestado.es/wps/poc?uri=deeplink:detalle_licitacion&amp;idEvl=ZzVE4a9sG1S8ebB%2FXTwy0A%3D%3D")</x:f>
        <x:v>contrataciondelestado.es/wps/poc?uri=deeplink:detalle_licitacion&amp;idEvl=ZzVE4a9sG1S8ebB%2FXTwy0A%3D%3D</x:v>
      </x:c>
      <x:c r="M2" s="11" t="s">
        <x:v>27</x:v>
      </x:c>
      <x:c r="N2" s="13" t="s">
        <x:v>28</x:v>
      </x:c>
      <x:c r="O2" s="11" t="s">
        <x:v>29</x:v>
      </x:c>
      <x:c r="P2" s="11" t="s">
        <x:v>30</x:v>
      </x:c>
      <x:c r="Q2" s="14" t="str">
        <x:f xml:space="preserve">HYPERLINK("https://www.infonalia.es/licitaciones0126/2026008444.pdf","www.infonalia.es/licitaciones0126/2026008444.pdf")</x:f>
        <x:v>www.infonalia.es/licitaciones0126/2026008444.pdf</x:v>
      </x:c>
    </x:row>
    <x:row r="3">
      <x:c r="A3" s="6" t="s">
        <x:v>17</x:v>
      </x:c>
      <x:c r="B3" s="6" t="s">
        <x:v>31</x:v>
      </x:c>
      <x:c r="C3" s="7" t="s">
        <x:v>32</x:v>
      </x:c>
      <x:c r="D3" s="8" t="s">
        <x:v>33</x:v>
      </x:c>
      <x:c r="E3" s="9" t="s">
        <x:v>21</x:v>
      </x:c>
      <x:c r="F3" s="6" t="s">
        <x:v>34</x:v>
      </x:c>
      <x:c r="G3" s="6" t="s">
        <x:v>35</x:v>
      </x:c>
      <x:c r="H3" s="6" t="s">
        <x:v>36</x:v>
      </x:c>
      <x:c r="I3" s="10" t="n">
        <x:v>14950.00</x:v>
      </x:c>
      <x:c r="J3" s="11" t="s">
        <x:v>37</x:v>
      </x:c>
      <x:c r="K3" s="11" t="s">
        <x:v>38</x:v>
      </x:c>
      <x:c r="L3" s="12" t="str">
        <x:f xml:space="preserve">HYPERLINK("https://contractaciopublica.cat/es/detall-publicacio/300677002","contractaciopublica.cat/es/detall-publicacio/300677002")</x:f>
        <x:v>contractaciopublica.cat/es/detall-publicacio/300677002</x:v>
      </x:c>
      <x:c r="M3" s="11" t="s">
        <x:v>27</x:v>
      </x:c>
      <x:c r="N3" s="13" t="s">
        <x:v>28</x:v>
      </x:c>
      <x:c r="O3" s="11" t="s">
        <x:v>39</x:v>
      </x:c>
      <x:c r="P3" s="11" t="s">
        <x:v>40</x:v>
      </x:c>
      <x:c r="Q3" s="14" t="str">
        <x:f xml:space="preserve">HYPERLINK("https://www.infonalia.es/licitaciones0126/2026008619.pdf","www.infonalia.es/licitaciones0126/2026008619.pdf")</x:f>
        <x:v>www.infonalia.es/licitaciones0126/2026008619.pdf</x:v>
      </x:c>
    </x:row>
    <x:row r="4">
      <x:c r="A4" s="6" t="s">
        <x:v>17</x:v>
      </x:c>
      <x:c r="B4" s="6" t="s">
        <x:v>41</x:v>
      </x:c>
      <x:c r="C4" s="7" t="s">
        <x:v>42</x:v>
      </x:c>
      <x:c r="D4" s="8" t="s">
        <x:v>43</x:v>
      </x:c>
      <x:c r="E4" s="9" t="s">
        <x:v>21</x:v>
      </x:c>
      <x:c r="F4" s="6" t="s">
        <x:v>44</x:v>
      </x:c>
      <x:c r="G4" s="6" t="s">
        <x:v>45</x:v>
      </x:c>
      <x:c r="H4" s="6" t="s">
        <x:v>46</x:v>
      </x:c>
      <x:c r="I4" s="10" t="n">
        <x:v>35000.00</x:v>
      </x:c>
      <x:c r="J4" s="11" t="s">
        <x:v>47</x:v>
      </x:c>
      <x:c r="K4" s="11" t="s">
        <x:v>48</x:v>
      </x:c>
      <x:c r="L4" s="12" t="str">
        <x:f xml:space="preserve">HYPERLINK("https://segib.org/es/contrataciones/","segib.org/es/contrataciones/")</x:f>
        <x:v>segib.org/es/contrataciones/</x:v>
      </x:c>
      <x:c r="M4" s="11" t="s">
        <x:v>27</x:v>
      </x:c>
      <x:c r="N4" s="13" t="s">
        <x:v>28</x:v>
      </x:c>
      <x:c r="O4" s="11" t="s">
        <x:v>49</x:v>
      </x:c>
      <x:c r="P4" s="11" t="s">
        <x:v>50</x:v>
      </x:c>
      <x:c r="Q4" s="14" t="str">
        <x:f xml:space="preserve">HYPERLINK("https://www.infonalia.es/licitaciones0126/2026008657.pdf","www.infonalia.es/licitaciones0126/2026008657.pdf")</x:f>
        <x:v>www.infonalia.es/licitaciones0126/2026008657.pdf</x:v>
      </x:c>
    </x:row>
    <x:row r="5">
      <x:c r="A5" s="6" t="s">
        <x:v>17</x:v>
      </x:c>
      <x:c r="B5" s="6" t="s">
        <x:v>18</x:v>
      </x:c>
      <x:c r="C5" s="7" t="s">
        <x:v>51</x:v>
      </x:c>
      <x:c r="D5" s="8" t="s">
        <x:v>52</x:v>
      </x:c>
      <x:c r="E5" s="9" t="s">
        <x:v>21</x:v>
      </x:c>
      <x:c r="F5" s="6" t="s">
        <x:v>53</x:v>
      </x:c>
      <x:c r="G5" s="6" t="s">
        <x:v>54</x:v>
      </x:c>
      <x:c r="H5" s="6" t="s">
        <x:v>55</x:v>
      </x:c>
      <x:c r="I5" s="10" t="n">
        <x:v>3000.00</x:v>
      </x:c>
      <x:c r="J5" s="11" t="s">
        <x:v>25</x:v>
      </x:c>
      <x:c r="K5" s="11" t="s">
        <x:v>26</x:v>
      </x:c>
      <x:c r="L5" s="12" t="str">
        <x:f xml:space="preserve">HYPERLINK("https://contrataciondelestado.es/wps/poc?uri=deeplink:detalle_licitacion&amp;idEvl=zGClXkJb2MnECtSnloz%2BZQ%3D%3D","contrataciondelestado.es/wps/poc?uri=deeplink:detalle_licitacion&amp;idEvl=zGClXkJb2MnECtSnloz%2BZQ%3D%3D")</x:f>
        <x:v>contrataciondelestado.es/wps/poc?uri=deeplink:detalle_licitacion&amp;idEvl=zGClXkJb2MnECtSnloz%2BZQ%3D%3D</x:v>
      </x:c>
      <x:c r="M5" s="11" t="s">
        <x:v>27</x:v>
      </x:c>
      <x:c r="N5" s="13" t="s">
        <x:v>28</x:v>
      </x:c>
      <x:c r="O5" s="11" t="s">
        <x:v>56</x:v>
      </x:c>
      <x:c r="P5" s="11" t="s">
        <x:v>30</x:v>
      </x:c>
      <x:c r="Q5" s="14" t="str">
        <x:f xml:space="preserve">HYPERLINK("https://www.infonalia.es/licitaciones0126/2026008697.pdf","www.infonalia.es/licitaciones0126/2026008697.pdf")</x:f>
        <x:v>www.infonalia.es/licitaciones0126/2026008697.pdf</x:v>
      </x:c>
    </x:row>
    <x:row r="6">
      <x:c r="A6" s="6" t="s">
        <x:v>17</x:v>
      </x:c>
      <x:c r="B6" s="6" t="s">
        <x:v>18</x:v>
      </x:c>
      <x:c r="C6" s="7" t="s">
        <x:v>57</x:v>
      </x:c>
      <x:c r="D6" s="8" t="s">
        <x:v>58</x:v>
      </x:c>
      <x:c r="E6" s="9" t="s">
        <x:v>21</x:v>
      </x:c>
      <x:c r="F6" s="6" t="s">
        <x:v>59</x:v>
      </x:c>
      <x:c r="G6" s="6" t="s">
        <x:v>60</x:v>
      </x:c>
      <x:c r="H6" s="6" t="s">
        <x:v>61</x:v>
      </x:c>
      <x:c r="I6" s="10" t="n">
        <x:v>400.00</x:v>
      </x:c>
      <x:c r="J6" s="11" t="s">
        <x:v>25</x:v>
      </x:c>
      <x:c r="K6" s="11" t="s">
        <x:v>26</x:v>
      </x:c>
      <x:c r="L6" s="12" t="str">
        <x:f xml:space="preserve">HYPERLINK("https://contrataciondelestado.es/wps/poc?uri=deeplink:detalle_licitacion&amp;idEvl=qVmYd2AK%2FR%2BLAncw3qdZkA%3D%3D","contrataciondelestado.es/wps/poc?uri=deeplink:detalle_licitacion&amp;idEvl=qVmYd2AK%2FR%2BLAncw3qdZkA%3D%3D")</x:f>
        <x:v>contrataciondelestado.es/wps/poc?uri=deeplink:detalle_licitacion&amp;idEvl=qVmYd2AK%2FR%2BLAncw3qdZkA%3D%3D</x:v>
      </x:c>
      <x:c r="M6" s="11" t="s">
        <x:v>27</x:v>
      </x:c>
      <x:c r="N6" s="13" t="s">
        <x:v>28</x:v>
      </x:c>
      <x:c r="O6" s="11" t="s">
        <x:v>62</x:v>
      </x:c>
      <x:c r="P6" s="11" t="s">
        <x:v>63</x:v>
      </x:c>
      <x:c r="Q6" s="14" t="str">
        <x:f xml:space="preserve">HYPERLINK("https://www.infonalia.es/licitaciones0126/2026008702.pdf","www.infonalia.es/licitaciones0126/2026008702.pdf")</x:f>
        <x:v>www.infonalia.es/licitaciones0126/2026008702.pdf</x:v>
      </x:c>
    </x:row>
    <x:row r="7">
      <x:c r="A7" s="6" t="s">
        <x:v>17</x:v>
      </x:c>
      <x:c r="B7" s="6" t="s">
        <x:v>18</x:v>
      </x:c>
      <x:c r="C7" s="7" t="s">
        <x:v>57</x:v>
      </x:c>
      <x:c r="D7" s="8" t="s">
        <x:v>64</x:v>
      </x:c>
      <x:c r="E7" s="9" t="s">
        <x:v>21</x:v>
      </x:c>
      <x:c r="F7" s="6" t="s">
        <x:v>65</x:v>
      </x:c>
      <x:c r="G7" s="6" t="s">
        <x:v>66</x:v>
      </x:c>
      <x:c r="H7" s="6" t="s">
        <x:v>67</x:v>
      </x:c>
      <x:c r="I7" s="10" t="n">
        <x:v>660.00</x:v>
      </x:c>
      <x:c r="J7" s="11" t="s">
        <x:v>25</x:v>
      </x:c>
      <x:c r="K7" s="11" t="s">
        <x:v>26</x:v>
      </x:c>
      <x:c r="L7" s="12" t="str">
        <x:f xml:space="preserve">HYPERLINK("https://contrataciondelestado.es/wps/poc?uri=deeplink:detalle_licitacion&amp;idEvl=gKO6kFw0lgqcCF8sV%2BqtYA%3D%3D","contrataciondelestado.es/wps/poc?uri=deeplink:detalle_licitacion&amp;idEvl=gKO6kFw0lgqcCF8sV%2BqtYA%3D%3D")</x:f>
        <x:v>contrataciondelestado.es/wps/poc?uri=deeplink:detalle_licitacion&amp;idEvl=gKO6kFw0lgqcCF8sV%2BqtYA%3D%3D</x:v>
      </x:c>
      <x:c r="M7" s="11" t="s">
        <x:v>27</x:v>
      </x:c>
      <x:c r="N7" s="13" t="s">
        <x:v>28</x:v>
      </x:c>
      <x:c r="O7" s="11" t="s">
        <x:v>68</x:v>
      </x:c>
      <x:c r="P7" s="11" t="s">
        <x:v>30</x:v>
      </x:c>
      <x:c r="Q7" s="14" t="str">
        <x:f xml:space="preserve">HYPERLINK("https://www.infonalia.es/licitaciones0126/2026008705.pdf","www.infonalia.es/licitaciones0126/2026008705.pdf")</x:f>
        <x:v>www.infonalia.es/licitaciones0126/2026008705.pdf</x:v>
      </x:c>
    </x:row>
    <x:row r="8">
      <x:c r="A8" s="6" t="s">
        <x:v>17</x:v>
      </x:c>
      <x:c r="B8" s="6" t="s">
        <x:v>18</x:v>
      </x:c>
      <x:c r="C8" s="7" t="s">
        <x:v>69</x:v>
      </x:c>
      <x:c r="D8" s="8" t="s">
        <x:v>70</x:v>
      </x:c>
      <x:c r="E8" s="9" t="s">
        <x:v>21</x:v>
      </x:c>
      <x:c r="F8" s="6" t="s">
        <x:v>71</x:v>
      </x:c>
      <x:c r="G8" s="6" t="s">
        <x:v>72</x:v>
      </x:c>
      <x:c r="H8" s="6" t="s">
        <x:v>73</x:v>
      </x:c>
      <x:c r="I8" s="10" t="n">
        <x:v>125000.00</x:v>
      </x:c>
      <x:c r="J8" s="11" t="s">
        <x:v>25</x:v>
      </x:c>
      <x:c r="K8" s="11" t="s">
        <x:v>26</x:v>
      </x:c>
      <x:c r="L8" s="12" t="str">
        <x:f xml:space="preserve">HYPERLINK("https://contratos-publicos.comunidad.madrid/contrato-publico/servicio-soporte-acciones-institucionales-metro-madrid","contratos-publicos.comunidad.madrid/contrato-publico/servicio-soporte-acciones-institucionales-metro-madrid")</x:f>
        <x:v>contratos-publicos.comunidad.madrid/contrato-publico/servicio-soporte-acciones-institucionales-metro-madrid</x:v>
      </x:c>
      <x:c r="M8" s="11" t="s">
        <x:v>27</x:v>
      </x:c>
      <x:c r="N8" s="13" t="s">
        <x:v>21</x:v>
      </x:c>
      <x:c r="O8" s="11" t="s">
        <x:v>74</x:v>
      </x:c>
      <x:c r="P8" s="11" t="s">
        <x:v>30</x:v>
      </x:c>
      <x:c r="Q8" s="14" t="str">
        <x:f xml:space="preserve">HYPERLINK("https://www.infonalia.es/licitaciones0126/2026008715.pdf","www.infonalia.es/licitaciones0126/2026008715.pdf")</x:f>
        <x:v>www.infonalia.es/licitaciones0126/2026008715.pdf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