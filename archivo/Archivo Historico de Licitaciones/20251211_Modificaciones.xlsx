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<x:sst xmlns:x="http://schemas.openxmlformats.org/spreadsheetml/2006/main" count="6" uniqueCount="6">
  <x:si>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</x:si>
  <x:si>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</x:si>
  <x:si>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</x:si>
  <x:si>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</x:si>
  <x:si>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</x:si>
  <x:si>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</x:si>
  <x:si>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2025147353</x:t>
  </x:si>
  <x:si>
    <x:t>Aclaración / Ampliación de pliegos</x:t>
  </x:si>
  <x:si>
    <x:t>INSTITUTO DE ESTADÍSTICA DE CATALUNYA (IDESCAT)</x:t>
  </x:si>
  <x:si>
    <x:t>Asistencia técnica para las XXII Jornadas de Estadística CCAA.</x:t>
  </x:si>
  <x:si>
    <x:t>2025166532</x:t>
  </x:si>
  <x:si>
    <x:t>AYUNTAMIENTO DE VILADECANS (BARCELONA)</x:t>
  </x:si>
  <x:si>
    <x:t>Servicio de gestión y organización general de la comida de la gente mayor de Viladecans para los años 2026 y 2027.</x:t>
  </x:si>
  <x:si>
    <x:t>2025171200</x:t>
  </x:si>
  <x:si>
    <x:t>BARCELONA DE SERVEIS MUNICIPALS SA</x:t>
  </x:si>
  <x:si>
    <x:t>Concurso de proyectos en una sola fase para la contratación de los servicios de conceptualización conjunta, diseño, definición y producción de contenidos y experiencias para los visitantes en el marco del desarrollo del futuro del Zoo de Barcelona</x:t>
  </x:si>
  <x:si>
    <x:t>2025172837</x:t>
  </x:si>
  <x:si>
    <x:t>HAZI DESARROLLO RURAL LITORAL Y ALIMENTARIO-DIRECTOR/A </x:t>
  </x:si>
  <x:si>
    <x:t>Prestación de los servicios para la ejecución de una campaña de promoción y sensibilización de productos europeos con denominación de origen en los mercados de Japón y Corea del Sur durante 3 años, en el marco del programa CAPRICE II</x:t>
  </x:si>
  <x:si>
    <x:t>2025175336</x:t>
  </x:si>
  <x:si>
    <x:t>DIPUTACIÓN DE GIRONA</x:t>
  </x:si>
  <x:si>
    <x:t>El objeto del contrato es el servicio de creación y producción de contenidos audiovisuales destinados a apoyar la difusión de contenidos institucionales y campañas de divulgación y publicidad vinculadas a los proyectos de la Oficina de Difusión de la Diputación de Girona</x:t>
  </x:si>
  <x:si>
    <x:t>2025175565</x:t>
  </x:si>
  <x:si>
    <x:t>PROMOTORA D'EXPORTACIONS CATALANES, SA (PRODECA)</x:t>
  </x:si>
  <x:si>
    <x:t>Acuerdo Marco para homologar un conjunto de profesionales y/o empresas para prestar los servicios de marketing y promoción comercial internacional de Prodeca en los mercados de África en el norte del Sáhara (Lote 1), África en el Sur del Sáhara (Lote 2), América Latina (Lote 3), Asia Oriental (Lote 4), Estados Unidos y Canadá (Lote 5), Gran China (Lote 6), India y Pakistán (Lote 7), Mercados europeos (Lote 8), Oriente Medio (Lote 9) y sureste asiático (Lote 10).</x:t>
  </x:si>
  <x:si>
    <x:t>2025175566</x:t>
  </x:si>
  <x:si>
    <x:t>AYUNTAMIENTO DE FIGUERES (GIRONA)</x:t>
  </x:si>
  <x:si>
    <x:t>Servicio de marketing digital de la Casa Natal Salvador Dalí que consta de la planificación, ejecución, seguimiento y control de las campañas de marketing digital de la Casa Natal Salvador Dalí y del servicio de abono de gasto directo en medios publicitarios (Google, Meta y posts patrocinados en redes sociales) para la promoción de la Casa Natal Salvador Dalí, de acuerdo con la descripción (PPT)</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</x:si>
</x:sst>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HYPERLINK("https://www.infonalia.es/modificaciones1225/2025147353.pdf","www.infonalia.es/modificaciones1225/2025147353.pdf")</x:f>
        <x:v>www.infonalia.es/modificaciones1225/2025147353.pdf</x:v>
      </x:c>
      <x:c r="F2" s="5" t="str">
        <x:f xml:space="preserve">HYPERLINK("https://www.infonalia.es/licitaciones1025/2025147353.pdf","www.infonalia.es/licitaciones1025/2025147353.pdf")</x:f>
        <x:v>www.infonalia.es/licitaciones1025/2025147353.pdf</x:v>
      </x:c>
    </x:row>
    <x:row r="3">
      <x:c r="A3" s="3" t="s">
        <x:v>10</x:v>
      </x:c>
      <x:c r="B3" s="4" t="s">
        <x:v>7</x:v>
      </x:c>
      <x:c r="C3" s="4" t="s">
        <x:v>11</x:v>
      </x:c>
      <x:c r="D3" s="4" t="s">
        <x:v>12</x:v>
      </x:c>
      <x:c r="E3" s="5" t="str">
        <x:f xml:space="preserve">HYPERLINK("https://www.infonalia.es/modificaciones1225/2025166532.pdf","www.infonalia.es/modificaciones1225/2025166532.pdf")</x:f>
        <x:v>www.infonalia.es/modificaciones1225/2025166532.pdf</x:v>
      </x:c>
      <x:c r="F3" s="5" t="str">
        <x:f xml:space="preserve">HYPERLINK("https://www.infonalia.es/licitaciones1125/2025166532.pdf","www.infonalia.es/licitaciones1125/2025166532.pdf")</x:f>
        <x:v>www.infonalia.es/licitaciones1125/2025166532.pdf</x:v>
      </x:c>
    </x:row>
    <x:row r="4">
      <x:c r="A4" s="3" t="s">
        <x:v>13</x:v>
      </x:c>
      <x:c r="B4" s="4" t="s">
        <x:v>7</x:v>
      </x:c>
      <x:c r="C4" s="4" t="s">
        <x:v>14</x:v>
      </x:c>
      <x:c r="D4" s="4" t="s">
        <x:v>15</x:v>
      </x:c>
      <x:c r="E4" s="5" t="str">
        <x:f xml:space="preserve">HYPERLINK("https://www.infonalia.es/modificaciones1225/2025171200.pdf","www.infonalia.es/modificaciones1225/2025171200.pdf")</x:f>
        <x:v>www.infonalia.es/modificaciones1225/2025171200.pdf</x:v>
      </x:c>
      <x:c r="F4" s="5" t="str">
        <x:f xml:space="preserve">HYPERLINK("https://www.infonalia.es/licitaciones1225/2025171200.pdf","www.infonalia.es/licitaciones1225/2025171200.pdf")</x:f>
        <x:v>www.infonalia.es/licitaciones1225/2025171200.pdf</x:v>
      </x:c>
    </x:row>
    <x:row r="5">
      <x:c r="A5" s="3" t="s">
        <x:v>16</x:v>
      </x:c>
      <x:c r="B5" s="4" t="s">
        <x:v>7</x:v>
      </x:c>
      <x:c r="C5" s="4" t="s">
        <x:v>17</x:v>
      </x:c>
      <x:c r="D5" s="4" t="s">
        <x:v>18</x:v>
      </x:c>
      <x:c r="E5" s="5" t="str">
        <x:f xml:space="preserve">HYPERLINK("https://www.infonalia.es/modificaciones1225/2025172837.pdf","www.infonalia.es/modificaciones1225/2025172837.pdf")</x:f>
        <x:v>www.infonalia.es/modificaciones1225/2025172837.pdf</x:v>
      </x:c>
      <x:c r="F5" s="5" t="str">
        <x:f xml:space="preserve">HYPERLINK("https://www.infonalia.es/licitaciones1225/2025172837.pdf","www.infonalia.es/licitaciones1225/2025172837.pdf")</x:f>
        <x:v>www.infonalia.es/licitaciones1225/2025172837.pdf</x:v>
      </x:c>
    </x:row>
    <x:row r="6">
      <x:c r="A6" s="3" t="s">
        <x:v>19</x:v>
      </x:c>
      <x:c r="B6" s="4" t="s">
        <x:v>7</x:v>
      </x:c>
      <x:c r="C6" s="4" t="s">
        <x:v>20</x:v>
      </x:c>
      <x:c r="D6" s="4" t="s">
        <x:v>21</x:v>
      </x:c>
      <x:c r="E6" s="5" t="str">
        <x:f xml:space="preserve">HYPERLINK("https://www.infonalia.es/modificaciones1225/2025175336.pdf","www.infonalia.es/modificaciones1225/2025175336.pdf")</x:f>
        <x:v>www.infonalia.es/modificaciones1225/2025175336.pdf</x:v>
      </x:c>
      <x:c r="F6" s="5" t="str">
        <x:f xml:space="preserve">HYPERLINK("https://www.infonalia.es/licitaciones1225/2025175336.pdf","www.infonalia.es/licitaciones1225/2025175336.pdf")</x:f>
        <x:v>www.infonalia.es/licitaciones1225/2025175336.pdf</x:v>
      </x:c>
    </x:row>
    <x:row r="7">
      <x:c r="A7" s="3" t="s">
        <x:v>22</x:v>
      </x:c>
      <x:c r="B7" s="4" t="s">
        <x:v>7</x:v>
      </x:c>
      <x:c r="C7" s="4" t="s">
        <x:v>23</x:v>
      </x:c>
      <x:c r="D7" s="4" t="s">
        <x:v>24</x:v>
      </x:c>
      <x:c r="E7" s="5" t="str">
        <x:f xml:space="preserve">HYPERLINK("https://www.infonalia.es/modificaciones1225/2025175565.pdf","www.infonalia.es/modificaciones1225/2025175565.pdf")</x:f>
        <x:v>www.infonalia.es/modificaciones1225/2025175565.pdf</x:v>
      </x:c>
      <x:c r="F7" s="5" t="str">
        <x:f xml:space="preserve">HYPERLINK("https://www.infonalia.es/licitaciones1225/2025175565.pdf","www.infonalia.es/licitaciones1225/2025175565.pdf")</x:f>
        <x:v>www.infonalia.es/licitaciones1225/2025175565.pdf</x:v>
      </x:c>
    </x:row>
    <x:row r="8">
      <x:c r="A8" s="3" t="s">
        <x:v>25</x:v>
      </x:c>
      <x:c r="B8" s="4" t="s">
        <x:v>7</x:v>
      </x:c>
      <x:c r="C8" s="4" t="s">
        <x:v>26</x:v>
      </x:c>
      <x:c r="D8" s="4" t="s">
        <x:v>27</x:v>
      </x:c>
      <x:c r="E8" s="5" t="str">
        <x:f xml:space="preserve">HYPERLINK("https://www.infonalia.es/modificaciones1225/2025175566.pdf","www.infonalia.es/modificaciones1225/2025175566.pdf")</x:f>
        <x:v>www.infonalia.es/modificaciones1225/2025175566.pdf</x:v>
      </x:c>
      <x:c r="F8" s="5" t="str">
        <x:f xml:space="preserve">HYPERLINK("https://www.infonalia.es/licitaciones1225/2025175566.pdf","www.infonalia.es/licitaciones1225/2025175566.pdf")</x:f>
        <x:v>www.infonalia.es/licitaciones1225/2025175566.pdf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