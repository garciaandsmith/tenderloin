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<x:sst xmlns:x="http://schemas.openxmlformats.org/spreadsheetml/2006/main" count="11" uniqueCount="11">
  <x:si>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</x:si>
  <x:si>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</x:si>
  <x:si>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</x:si>
  <x:si>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</x:si>
  <x:si>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</x:si>
  <x:si>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</x:si>
  <x:si>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</x:si>
  <x:si>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</x:si>
  <x:si>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</x:si>
  <x:si>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</x:si>
  <x:si>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</x:si>
  <x:si>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</x:si>
  <x:si>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1 IURBAN DIGITAL TOURISM, S.L.; LOTE 2 AUTONOMO; LOTE 3 AUTORITAS CONSULTING S.A. </x:t>
  </x:si>
  <x:si>
    <x:t>18/11/2025 0:00:00</x:t>
  </x:si>
  <x:si>
    <x:t>25226819</x:t>
  </x:si>
  <x:si>
    <x:t>ALCALDÍA DEL AYUNTAMIENTO DE BUITRAGO DEL LOZOYA (MADRID)</x:t>
  </x:si>
  <x:si>
    <x:t>El Objeto del contrato es el diseño, puesta en marcha y soporte de plataforma digital basada en inteligencia artificial , instalación de soportes TOTEM, creación de videos de contenido turístico y formación en el ámbito turístico del municipio de Buitrago del Lozoya (Madrid). 3 LOTES.</x:t>
  </x:si>
  <x:si>
    <x:t>6/2024.INTELIGENCIA TURISTICA . PSTD BUITRAGO</x:t>
  </x:si>
  <x:si>
    <x:t>Madrid</x:t>
  </x:si>
  <x:si>
    <x:t>Ver detalle de la adjudicación</x:t>
  </x:si>
  <x:si>
    <x:t>DATAINFO CONSULTORÍA Y ASESORÍA, S.L</x:t>
  </x:si>
  <x:si>
    <x:t>25226823</x:t>
  </x:si>
  <x:si>
    <x:t>JUNTA DE GOBIERNO DE LA MANCOMUNIDAD DE SERVICIOS DEL SUROESTE DE MADRID</x:t>
  </x:si>
  <x:si>
    <x:t>Talleres, Charlas, Ponencias, Cursos de Formación y otras actuaciones diversas enmarcadas en las actuaciones correspondientes a los Programas contra la Violencia de Género y de Promoción de la Igualdad de Oportunidades entre Mujeres y Hombres, así como el diseño, difusión y evaluación del Plan de Igualdad de Oportunidades de la Mancomunidad de Servicios del Suroeste de Madrid.</x:t>
  </x:si>
  <x:si>
    <x:t>554/2025</x:t>
  </x:si>
  <x:si>
    <x:t>ATOS IT SOLUTIONS AND SERVICES IBERIA, S.L</x:t>
  </x:si>
  <x:si>
    <x:t>25226899</x:t>
  </x:si>
  <x:si>
    <x:t>PARADORES DE TURISMO DE ESPAÑA, S.M.E., S.A.</x:t>
  </x:si>
  <x:si>
    <x:t>Contratación de los servicios de gestión operativa, mantenimiento y evolución de la plataforma digital "Descubre Paradores", en entorno cloud hiperescalar para Paradores de Turismo de España, S.M.E., S.A</x:t>
  </x:si>
  <x:si>
    <x:t>2025-0444</x:t>
  </x:si>
  <x:si>
    <x:t>BALDRICK &amp; MUNITZ SL</x:t>
  </x:si>
  <x:si>
    <x:t>25227058</x:t>
  </x:si>
  <x:si>
    <x:t>PRESIDENCIA DE LA ASOCIACIÓN CENTRO PARA EL DESARROLLO DE LA COMARCA OSCOS-EO (CEDER OSCOS-EO)</x:t>
  </x:si>
  <x:si>
    <x:t>Formación para dinamización económica y creación de producto turístico en la Comarca Oscos-Eo.</x:t>
  </x:si>
  <x:si>
    <x:t>6/2025</x:t>
  </x:si>
  <x:si>
    <x:t>Asturias</x:t>
  </x:si>
  <x:si>
    <x:t>CONSULTORÍA DE EVENTOS MTGLOBAL</x:t>
  </x:si>
  <x:si>
    <x:t>25227129</x:t>
  </x:si>
  <x:si>
    <x:t>PRESIDENTE DE LA ASOCIACIÓN DE DESARROLLO SIERRA DE GUADARRAMA</x:t>
  </x:si>
  <x:si>
    <x:t>Prestación de los servicios:"diseño, gestión, montaje y desmontaje del stand, información turística y promoción de los productos de proximidad de los territorios rurales que representarán a madrural en fitur 2026"</x:t>
  </x:si>
  <x:si>
    <x:t>73/2025</x:t>
  </x:si>
  <x:si>
    <x:t>A PLUS FIELD MARKETING SL</x:t>
  </x:si>
  <x:si>
    <x:t>25227133</x:t>
  </x:si>
  <x:si>
    <x:t>ORGANISMO AUTÓNOMO AGENCIA PARA EL EMPLEO DE MADRID</x:t>
  </x:si>
  <x:si>
    <x:t>Contrato de servicios de organización y desarrollo de actos, reuniones y conferencias con productos de comercio justo de la Agencia para el Empleo de Madrid</x:t>
  </x:si>
  <x:si>
    <x:t>300/2025/00073</x:t>
  </x:si>
  <x:si>
    <x:t>CRONISTAR, S.L</x:t>
  </x:si>
  <x:si>
    <x:t>25227202</x:t>
  </x:si>
  <x:si>
    <x:t>JUNTA DE GOBIERNO DEL AYUNTAMIENTO DE OVIEDO (ASTURIAS)</x:t>
  </x:si>
  <x:si>
    <x:t>Servicios de creatividad, diseño y gestión de la estrategia en materia de comunicación y promoción turística de la concejalía de Hostelería Turismo y Congresos.</x:t>
  </x:si>
  <x:si>
    <x:t>CC2025/153</x:t>
  </x:si>
  <x:si>
    <x:t>UTE EVENTORGA - CIAL MAMES</x:t>
  </x:si>
  <x:si>
    <x:t>25227231</x:t>
  </x:si>
  <x:si>
    <x:t>SOCIEDAD PÚBLICA DE GESTIÓN Y PROMOCIÓN TURÍSTICA Y CULTURAL DEL PRINCIPADO DE ASTURIAS S.A.U.</x:t>
  </x:si>
  <x:si>
    <x:t>Servicio de diseño, construcción, montaje, desmontaje de un stand para la asistencia de la SPGP a Madrid Fusión y San Sebastián Gastronomika en 2026</x:t>
  </x:si>
  <x:si>
    <x:t>CM 64/25</x:t>
  </x:si>
  <x:si>
    <x:t>VIAJES EL CORTE INGLES</x:t>
  </x:si>
  <x:si>
    <x:t>25227264</x:t>
  </x:si>
  <x:si>
    <x:t>Diseño, construcción, montaje, desmontaje, traslados, mantenimiento y almacenaje de stand para la asistencia a FITUR 2026 y su adaptación a otros stand para las ferias turísticas nacionales 2026</x:t>
  </x:si>
  <x:si>
    <x:t>CM 63/25</x:t>
  </x:si>
  <x:si>
    <x:t>RETEVISIÓN I, S.A</x:t>
  </x:si>
  <x:si>
    <x:t>25227333</x:t>
  </x:si>
  <x:si>
    <x:t>COMUNIDAD DE MADRID. CONSEJERÍA DE DIGITALIZACIÓN</x:t>
  </x:si>
  <x:si>
    <x:t>Prestación del servicio de televisión digital en zonas remotas y menos urbanizadas de la Comunidad de Madrid, de conformidad con el principio de neutralidad tecnológica.</x:t>
  </x:si>
  <x:si>
    <x:t>A/SER-028617/2025</x:t>
  </x:si>
  <x:si>
    <x:t>APLICA INVESTIGACIÓN Y TRASLACIÓN SOCIEDAD COOPERATIVA MADRILEÑA</x:t>
  </x:si>
  <x:si>
    <x:t>25227383</x:t>
  </x:si>
  <x:si>
    <x:t>COMUNIDAD DE MADRID. CONSEJERÍA DE SANIDAD</x:t>
  </x:si>
  <x:si>
    <x:t>El contrato tiene por objeto el servicio de apoyo técnico a la coordinación de la red de centros sanitarios sin humo que lidera la Dirección General de Salud Pública, la propuesta de actualización del procedimiento de reconocimiento como espacios sin humo a centros sanitarios y otros espacios, su visibilización, difusión, la elaboración de materiales formativos e informativos y la organización de una Jornada que permita el intercambio de buenas prácticas y la entrega de los reconocimientos alcanzados.</x:t>
  </x:si>
  <x:si>
    <x:t>A/SER-023253/2025</x:t>
  </x:si>
  <x:si>
    <x:t>GLOBAL AKTOS S.L.U</x:t>
  </x:si>
  <x:si>
    <x:t>25227401</x:t>
  </x:si>
  <x:si>
    <x:t>JUNTA DE GOBIERNO LOCAL DEL AYUNTAMIENTO DE GRIÑÓN (MADRID)</x:t>
  </x:si>
  <x:si>
    <x:t>Contrato mixto de suministro, en régimen de alquiler, así como de los servicios de diseño, instalación, mantenimiento y desmontaje de iluminación, ornamentación y ambientación musical navideña en edificios y calles del municipio de Griñón</x:t>
  </x:si>
  <x:si>
    <x:t>3332/2025</x:t>
  </x:si>
  <x:si>
    <x:t>IRISMEDIA AGENCIA DE MEDIOS S.L</x:t>
  </x:si>
  <x:si>
    <x:t>25227612</x:t>
  </x:si>
  <x:si>
    <x:t>ÁREA DE GOBIERNO DE VICEALCALDÍA, PORTAVOZ, SEGURIDAD Y EMERGENCIAS DEL AYUNTAMIENTO DE MADRID</x:t>
  </x:si>
  <x:si>
    <x:t>Prevención adicción a sustancias. Fase 2</x:t>
  </x:si>
  <x:si>
    <x:t>511/2024/09993.1.53</x:t>
  </x:si>
  <x:si>
    <x:t>Desierto</x:t>
  </x:si>
  <x:si>
    <x:t>DESIERTO</x:t>
  </x:si>
  <x:si>
    <x:t>25227671</x:t>
  </x:si>
  <x:si>
    <x:t>MINISTERIO DE TRANSPORTES Y MOVILIDAD SOSTENIBLE. PRESIDENCIA DEL CONSEJO DE ADMINISTRACIÓN DE LA AUTORIDAD PORTUARIA DE BARCELONA (PORT DE BARCELONA)</x:t>
  </x:si>
  <x:si>
    <x:t>Organizacion de la jornada de portes obertes 2026 del port de Barcelona. clave de expediente: 2025P040051</x:t>
  </x:si>
  <x:si>
    <x:t>2025-00338</x:t>
  </x:si>
  <x:si>
    <x:t>Barcelona</x:t>
  </x:si>
  <x:si>
    <x:t>Formalizado</x:t>
  </x:si>
  <x:si>
    <x:t>CANON ESPAÑA, S. A. U</x:t>
  </x:si>
  <x:si>
    <x:t>25227903</x:t>
  </x:si>
  <x:si>
    <x:t>SERVICIO MADRILEÑO DE SALUD. HOSPITAL UNIVERSITARIO “LA PAZ”</x:t>
  </x:si>
  <x:si>
    <x:t>Servicio integral de equipos de impresión multifunción y del servicio de reprografía, fotocopiado, edición, impresión y procesamiento digital del Hospital Universitario La Paz-Carlos III-Cantoblanco y de los Centros de Especialidades y Centros de Salud Mental adscritos a su Gerencia</x:t>
  </x:si>
  <x:si>
    <x:t>5ª Prórroga P.A. 31/2020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</x:si>
</x:sst>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HYPERLINK("https://www.infonalia.es/adjudicaciones1125/25226819.pdf","www.infonalia.es/adjudicaciones1125/25226819.pdf")</x:f>
        <x:v>www.infonalia.es/adjudicaciones1125/25226819.pdf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174380.17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HYPERLINK("https://www.infonalia.es/adjudicaciones1125/25226823.pdf","www.infonalia.es/adjudicaciones1125/25226823.pdf")</x:f>
        <x:v>www.infonalia.es/adjudicaciones1125/25226823.pdf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18</x:v>
      </x:c>
      <x:c r="J3" s="9" t="n">
        <x:v>49044.00</x:v>
      </x:c>
      <x:c r="K3" s="9" t="n">
        <x:v>67052.00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HYPERLINK("https://www.infonalia.es/adjudicaciones1125/25226899.pdf","www.infonalia.es/adjudicaciones1125/25226899.pdf")</x:f>
        <x:v>www.infonalia.es/adjudicaciones1125/25226899.pdf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18</x:v>
      </x:c>
      <x:c r="J4" s="9" t="n">
        <x:v>17991.00</x:v>
      </x:c>
      <x:c r="K4" s="9" t="n">
        <x:v>20920.00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HYPERLINK("https://www.infonalia.es/adjudicaciones1125/25227058.pdf","www.infonalia.es/adjudicaciones1125/25227058.pdf")</x:f>
        <x:v>www.infonalia.es/adjudicaciones1125/25227058.pdf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9" t="n">
        <x:v>89950.00</x:v>
      </x:c>
      <x:c r="K5" s="9" t="n">
        <x:v>123966.94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HYPERLINK("https://www.infonalia.es/adjudicaciones1125/25227129.pdf","www.infonalia.es/adjudicaciones1125/25227129.pdf")</x:f>
        <x:v>www.infonalia.es/adjudicaciones1125/25227129.pdf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18</x:v>
      </x:c>
      <x:c r="J6" s="9" t="n">
        <x:v>47510.85</x:v>
      </x:c>
      <x:c r="K6" s="9" t="n">
        <x:v>50545.20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HYPERLINK("https://www.infonalia.es/adjudicaciones1125/25227133.pdf","www.infonalia.es/adjudicaciones1125/25227133.pdf")</x:f>
        <x:v>www.infonalia.es/adjudicaciones1125/25227133.pdf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18</x:v>
      </x:c>
      <x:c r="J7" s="9" t="n">
        <x:v>102043.17</x:v>
      </x:c>
      <x:c r="K7" s="9" t="n">
        <x:v>116620.76</x:v>
      </x:c>
    </x:row>
    <x:row r="8">
      <x:c r="A8" s="6" t="s">
        <x:v>11</x:v>
      </x:c>
      <x:c r="B8" s="6" t="s">
        <x:v>46</x:v>
      </x:c>
      <x:c r="C8" s="6" t="s">
        <x:v>13</x:v>
      </x:c>
      <x:c r="D8" s="7" t="str">
        <x:f xml:space="preserve">HYPERLINK("https://www.infonalia.es/adjudicaciones1125/25227202.pdf","www.infonalia.es/adjudicaciones1125/25227202.pdf")</x:f>
        <x:v>www.infonalia.es/adjudicaciones1125/25227202.pdf</x:v>
      </x:c>
      <x:c r="E8" s="8" t="s">
        <x:v>47</x:v>
      </x:c>
      <x:c r="F8" s="6" t="s">
        <x:v>48</x:v>
      </x:c>
      <x:c r="G8" s="6" t="s">
        <x:v>49</x:v>
      </x:c>
      <x:c r="H8" s="6" t="s">
        <x:v>50</x:v>
      </x:c>
      <x:c r="I8" s="6" t="s">
        <x:v>35</x:v>
      </x:c>
      <x:c r="J8" s="9" t="n">
        <x:v>31128.00</x:v>
      </x:c>
      <x:c r="K8" s="9" t="n">
        <x:v>32766.53</x:v>
      </x:c>
    </x:row>
    <x:row r="9">
      <x:c r="A9" s="6" t="s">
        <x:v>11</x:v>
      </x:c>
      <x:c r="B9" s="6" t="s">
        <x:v>51</x:v>
      </x:c>
      <x:c r="C9" s="6" t="s">
        <x:v>13</x:v>
      </x:c>
      <x:c r="D9" s="7" t="str">
        <x:f xml:space="preserve">HYPERLINK("https://www.infonalia.es/adjudicaciones1125/25227231.pdf","www.infonalia.es/adjudicaciones1125/25227231.pdf")</x:f>
        <x:v>www.infonalia.es/adjudicaciones1125/25227231.pdf</x:v>
      </x:c>
      <x:c r="E9" s="8" t="s">
        <x:v>52</x:v>
      </x:c>
      <x:c r="F9" s="6" t="s">
        <x:v>53</x:v>
      </x:c>
      <x:c r="G9" s="6" t="s">
        <x:v>54</x:v>
      </x:c>
      <x:c r="H9" s="6" t="s">
        <x:v>55</x:v>
      </x:c>
      <x:c r="I9" s="6" t="s">
        <x:v>35</x:v>
      </x:c>
      <x:c r="J9" s="9" t="n">
        <x:v>167900.00</x:v>
      </x:c>
      <x:c r="K9" s="9" t="n">
        <x:v>182500.00</x:v>
      </x:c>
    </x:row>
    <x:row r="10">
      <x:c r="A10" s="6" t="s">
        <x:v>11</x:v>
      </x:c>
      <x:c r="B10" s="6" t="s">
        <x:v>56</x:v>
      </x:c>
      <x:c r="C10" s="6" t="s">
        <x:v>13</x:v>
      </x:c>
      <x:c r="D10" s="7" t="str">
        <x:f xml:space="preserve">HYPERLINK("https://www.infonalia.es/adjudicaciones1125/25227264.pdf","www.infonalia.es/adjudicaciones1125/25227264.pdf")</x:f>
        <x:v>www.infonalia.es/adjudicaciones1125/25227264.pdf</x:v>
      </x:c>
      <x:c r="E10" s="8" t="s">
        <x:v>57</x:v>
      </x:c>
      <x:c r="F10" s="6" t="s">
        <x:v>53</x:v>
      </x:c>
      <x:c r="G10" s="6" t="s">
        <x:v>58</x:v>
      </x:c>
      <x:c r="H10" s="6" t="s">
        <x:v>59</x:v>
      </x:c>
      <x:c r="I10" s="6" t="s">
        <x:v>35</x:v>
      </x:c>
      <x:c r="J10" s="9" t="n">
        <x:v>525236.25</x:v>
      </x:c>
      <x:c r="K10" s="9" t="n">
        <x:v>617925.00</x:v>
      </x:c>
    </x:row>
    <x:row r="11">
      <x:c r="A11" s="6" t="s">
        <x:v>11</x:v>
      </x:c>
      <x:c r="B11" s="6" t="s">
        <x:v>60</x:v>
      </x:c>
      <x:c r="C11" s="6" t="s">
        <x:v>13</x:v>
      </x:c>
      <x:c r="D11" s="7" t="str">
        <x:f xml:space="preserve">HYPERLINK("https://www.infonalia.es/adjudicaciones1125/25227333.pdf","www.infonalia.es/adjudicaciones1125/25227333.pdf")</x:f>
        <x:v>www.infonalia.es/adjudicaciones1125/25227333.pdf</x:v>
      </x:c>
      <x:c r="E11" s="8" t="s">
        <x:v>61</x:v>
      </x:c>
      <x:c r="F11" s="6" t="s">
        <x:v>62</x:v>
      </x:c>
      <x:c r="G11" s="6" t="s">
        <x:v>63</x:v>
      </x:c>
      <x:c r="H11" s="6" t="s">
        <x:v>64</x:v>
      </x:c>
      <x:c r="I11" s="6" t="s">
        <x:v>18</x:v>
      </x:c>
      <x:c r="J11" s="9" t="s">
        <x:v>19</x:v>
      </x:c>
      <x:c r="K11" s="9" t="n">
        <x:v>10571590.07</x:v>
      </x:c>
    </x:row>
    <x:row r="12">
      <x:c r="A12" s="6" t="s">
        <x:v>11</x:v>
      </x:c>
      <x:c r="B12" s="6" t="s">
        <x:v>65</x:v>
      </x:c>
      <x:c r="C12" s="6" t="s">
        <x:v>13</x:v>
      </x:c>
      <x:c r="D12" s="7" t="str">
        <x:f xml:space="preserve">HYPERLINK("https://www.infonalia.es/adjudicaciones1125/25227383.pdf","www.infonalia.es/adjudicaciones1125/25227383.pdf")</x:f>
        <x:v>www.infonalia.es/adjudicaciones1125/25227383.pdf</x:v>
      </x:c>
      <x:c r="E12" s="8" t="s">
        <x:v>66</x:v>
      </x:c>
      <x:c r="F12" s="6" t="s">
        <x:v>67</x:v>
      </x:c>
      <x:c r="G12" s="6" t="s">
        <x:v>68</x:v>
      </x:c>
      <x:c r="H12" s="6" t="s">
        <x:v>69</x:v>
      </x:c>
      <x:c r="I12" s="6" t="s">
        <x:v>18</x:v>
      </x:c>
      <x:c r="J12" s="9" t="s">
        <x:v>19</x:v>
      </x:c>
      <x:c r="K12" s="9" t="n">
        <x:v>60024.58</x:v>
      </x:c>
    </x:row>
    <x:row r="13">
      <x:c r="A13" s="6" t="s">
        <x:v>11</x:v>
      </x:c>
      <x:c r="B13" s="6" t="s">
        <x:v>70</x:v>
      </x:c>
      <x:c r="C13" s="6" t="s">
        <x:v>13</x:v>
      </x:c>
      <x:c r="D13" s="7" t="str">
        <x:f xml:space="preserve">HYPERLINK("https://www.infonalia.es/adjudicaciones1125/25227401.pdf","www.infonalia.es/adjudicaciones1125/25227401.pdf")</x:f>
        <x:v>www.infonalia.es/adjudicaciones1125/25227401.pdf</x:v>
      </x:c>
      <x:c r="E13" s="8" t="s">
        <x:v>71</x:v>
      </x:c>
      <x:c r="F13" s="6" t="s">
        <x:v>72</x:v>
      </x:c>
      <x:c r="G13" s="6" t="s">
        <x:v>73</x:v>
      </x:c>
      <x:c r="H13" s="6" t="s">
        <x:v>74</x:v>
      </x:c>
      <x:c r="I13" s="6" t="s">
        <x:v>18</x:v>
      </x:c>
      <x:c r="J13" s="9" t="n">
        <x:v>26000.00</x:v>
      </x:c>
      <x:c r="K13" s="9" t="n">
        <x:v>26250.00</x:v>
      </x:c>
    </x:row>
    <x:row r="14">
      <x:c r="A14" s="6" t="s">
        <x:v>11</x:v>
      </x:c>
      <x:c r="B14" s="6" t="s">
        <x:v>75</x:v>
      </x:c>
      <x:c r="C14" s="6" t="s">
        <x:v>13</x:v>
      </x:c>
      <x:c r="D14" s="7" t="str">
        <x:f xml:space="preserve">HYPERLINK("https://www.infonalia.es/adjudicaciones1125/25227612.pdf","www.infonalia.es/adjudicaciones1125/25227612.pdf")</x:f>
        <x:v>www.infonalia.es/adjudicaciones1125/25227612.pdf</x:v>
      </x:c>
      <x:c r="E14" s="8" t="s">
        <x:v>76</x:v>
      </x:c>
      <x:c r="F14" s="6" t="s">
        <x:v>77</x:v>
      </x:c>
      <x:c r="G14" s="6" t="s">
        <x:v>78</x:v>
      </x:c>
      <x:c r="H14" s="6" t="s">
        <x:v>79</x:v>
      </x:c>
      <x:c r="I14" s="6" t="s">
        <x:v>18</x:v>
      </x:c>
      <x:c r="J14" s="9" t="n">
        <x:v>165289.26</x:v>
      </x:c>
      <x:c r="K14" s="9" t="n">
        <x:v>165289.26</x:v>
      </x:c>
    </x:row>
    <x:row r="15">
      <x:c r="A15" s="6" t="s">
        <x:v>80</x:v>
      </x:c>
      <x:c r="B15" s="6" t="s">
        <x:v>81</x:v>
      </x:c>
      <x:c r="C15" s="6" t="s">
        <x:v>13</x:v>
      </x:c>
      <x:c r="D15" s="7" t="str">
        <x:f xml:space="preserve">HYPERLINK("https://www.infonalia.es/adjudicaciones1125/25227671.pdf","www.infonalia.es/adjudicaciones1125/25227671.pdf")</x:f>
        <x:v>www.infonalia.es/adjudicaciones1125/25227671.pdf</x:v>
      </x:c>
      <x:c r="E15" s="8" t="s">
        <x:v>82</x:v>
      </x:c>
      <x:c r="F15" s="6" t="s">
        <x:v>83</x:v>
      </x:c>
      <x:c r="G15" s="6" t="s">
        <x:v>84</x:v>
      </x:c>
      <x:c r="H15" s="6" t="s">
        <x:v>85</x:v>
      </x:c>
      <x:c r="I15" s="6" t="s">
        <x:v>86</x:v>
      </x:c>
      <x:c r="J15" s="9" t="s">
        <x:v>19</x:v>
      </x:c>
      <x:c r="K15" s="9" t="n">
        <x:v>98500.00</x:v>
      </x:c>
    </x:row>
    <x:row r="16">
      <x:c r="A16" s="6" t="s">
        <x:v>87</x:v>
      </x:c>
      <x:c r="B16" s="6" t="s">
        <x:v>88</x:v>
      </x:c>
      <x:c r="C16" s="6" t="s">
        <x:v>13</x:v>
      </x:c>
      <x:c r="D16" s="7" t="str">
        <x:f xml:space="preserve">HYPERLINK("https://www.infonalia.es/adjudicaciones1125/25227903.pdf","www.infonalia.es/adjudicaciones1125/25227903.pdf")</x:f>
        <x:v>www.infonalia.es/adjudicaciones1125/25227903.pdf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18</x:v>
      </x:c>
      <x:c r="J16" s="9" t="n">
        <x:v>41292.11</x:v>
      </x:c>
      <x:c r="K16" s="9" t="n">
        <x:v>574910.81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