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<x:sst xmlns:x="http://schemas.openxmlformats.org/spreadsheetml/2006/main" count="11" uniqueCount="11">
  <x:si>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</x:si>
  <x:si>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</x:si>
  <x:si>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</x:si>
  <x:si>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</x:si>
  <x:si>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</x:si>
  <x:si>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</x:si>
  <x:si>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</x:si>
  <x:si>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</x:si>
  <x:si>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</x:si>
  <x:si>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</x:si>
  <x:si>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</x:si>
  <x:si>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</x:si>
  <x:si>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INICIATIVES EVENTS SL</x:t>
  </x:si>
  <x:si>
    <x:t>17/11/2025 0:00:00</x:t>
  </x:si>
  <x:si>
    <x:t>25225280</x:t>
  </x:si>
  <x:si>
    <x:t>FUNDACIÓN UNIVERSIDAD OBERTA DE CATALUNYA</x:t>
  </x:si>
  <x:si>
    <x:t>HSE00019/2024 Servicio de soporte logístico y audiovisual para la Universidad Abierta de Cataluña (UOC)</x:t>
  </x:si>
  <x:si>
    <x:t>HSE00019/2024</x:t>
  </x:si>
  <x:si>
    <x:t>Barcelona</x:t>
  </x:si>
  <x:si>
    <x:t>Ver detalle de la adjudicación</x:t>
  </x:si>
  <x:si>
    <x:t>GENYSAN MEDIA SL</x:t>
  </x:si>
  <x:si>
    <x:t>25225569</x:t>
  </x:si>
  <x:si>
    <x:t>MADRID DESTINO CULTURA TURISMO Y NEGOCIO, S.A.</x:t>
  </x:si>
  <x:si>
    <x:t>Servicios de apoyo y asistencia técnica a Madrid Destino en la realización de un vídeo de promoción turística de la Ciudad y de la Comunidad de Madrid para su estreno en la Feria Internacional de Turismo (FITUR) 2026 y su posterior difusión nacional e internacional</x:t>
  </x:si>
  <x:si>
    <x:t>PR25-0211.2</x:t>
  </x:si>
  <x:si>
    <x:t>Madrid</x:t>
  </x:si>
  <x:si>
    <x:t>NOTHINGAD COMUNICACIÓ SL</x:t>
  </x:si>
  <x:si>
    <x:t>25225648</x:t>
  </x:si>
  <x:si>
    <x:t>PATRONAT INTERCOMARCAL TURISME TERRES DE LLEIDA</x:t>
  </x:si>
  <x:si>
    <x:t>Prestación de los servicios de asesoramiento, planificación, negociación e inserción de publicidad y contenidos en los medios de comunicación de las campañas promocionales del Patronato de Turismo de la Diputació de Lleida</x:t>
  </x:si>
  <x:si>
    <x:t>2024/159-9</x:t>
  </x:si>
  <x:si>
    <x:t>Lleida</x:t>
  </x:si>
  <x:si>
    <x:t>LIDERA SPORT CONSULTING SOCIEDAD LIMITADA</x:t>
  </x:si>
  <x:si>
    <x:t>25225649</x:t>
  </x:si>
  <x:si>
    <x:t>AYUNTAMIENTO DE SABADELL (BARCELONA)</x:t>
  </x:si>
  <x:si>
    <x:t>El objeto del contrato es el servicio de auditoría de patrocinio, de todos los activos incluidos en los contratos de patrocinio vigentes entre este Ayuntamiento de Sabadell y el Centro de Deportes Sabadell FC SAE, y la cuantificación del retorno generado por las marcas 'Ayuntamiento de Sabadell' y 'VisitSabadell', o la marca que en cada momento determine. Este informe de auditoría debe concluir cuál es el retorno económico para el Ayuntamiento de Sabadell de la inversión del patrocinio deportivo en el CE Sabadell FC, SAD, para cada una de las anualidades auditadas. Así, el primero de estos informes de auditoría para cuantificar el retorno económico de patrocinio para el Ayuntamiento de Sabadell, se hará al inicio del año 2026 y las eventuales prórrogas corresponderán a los años 2027, 2028 y 2029. Si durante el período de vigencia de este contrato Sabadell'' o la marca que en cada momento determine el Ayuntamiento de Sabadell evoluciona hacia otras versiones acordadas entre el club deportivo y el Ayuntamiento, la marca resultante también deberá valorarse</x:t>
  </x:si>
  <x:si>
    <x:t>ESP/2025/337</x:t>
  </x:si>
  <x:si>
    <x:t>2015 LEMON S.L</x:t>
  </x:si>
  <x:si>
    <x:t>25225650</x:t>
  </x:si>
  <x:si>
    <x:t>AYUNTAMIENTO DE BARCELONA</x:t>
  </x:si>
  <x:si>
    <x:t>Servicio de la Oficina Técnica de apoyo a la estrategia de difusión digital y la producción de las fotografías y materiales audiovisuales para los Departamentos de Comunicación y Participación de las Gerencias MISUUH.</x:t>
  </x:si>
  <x:si>
    <x:t>001_24004330</x:t>
  </x:si>
  <x:si>
    <x:t>SIGNE, S.A</x:t>
  </x:si>
  <x:si>
    <x:t>25225662</x:t>
  </x:si>
  <x:si>
    <x:t>UNIVERSITAT DE BARCELONA</x:t>
  </x:si>
  <x:si>
    <x:t>Prestación del servicio de edición y personalización de títulos universitarios oficiales y propios, suplementos europeos al título, otros certificados y diplomas, así como otros títulos que se definan a expedir por la Universidad de Barcelona, de acuerdo con las indicaciones del pliego de prescripciones técnicas (PPT). El objeto comprende: o Títulos universitarios oficiales o Suplemento europeo al título (SET) o Títulos propios o Emblemas de otras universidades en títulos oficiales interuniversitarios o Diplomas propios y credenciales de equivalencia a título de doctor o Certificados de aprovechamiento o Etiquetas Erasmus Mundus por diligencias a los títulos</x:t>
  </x:si>
  <x:si>
    <x:t>2025/97</x:t>
  </x:si>
  <x:si>
    <x:t>LOTE 1 JOAN CARBONELL RODRIGUEZ; LOTE 2 CHALLENGE SPAIN EVENTS SL; LOTE 3 GIMNASTIC DE TARRAGONA SAD; LOTE 4 RPM RACING, SLU; LOTE 5 TELECYL, SA; LOTE 6 FEDERACIÓ CATALANA DE TENNIS TAULA; LOTE 7 RUNNING SOLUTIONS, SL; LOTE 8 CLUB TENNIS TAULA GANXETS DE REUS; LOTE 10 CLUB TENNIS REUS MONTEROLS     </x:t>
  </x:si>
  <x:si>
    <x:t>25225874</x:t>
  </x:si>
  <x:si>
    <x:t>PATRONAT DE TURISME DE LA DIPUTACIÓ DE TARRAGONA</x:t>
  </x:si>
  <x:si>
    <x:t>Patrocinio de eventos deportivos y equipos deportivos para visibilizar y difundir las marcas “Costa Daurada” y/o “Terres de l'Ebre” y de los valores asociados a las mismas. 15 Lotes</x:t>
  </x:si>
  <x:si>
    <x:t>8004330048-2025-0000139</x:t>
  </x:si>
  <x:si>
    <x:t>Tarragona</x:t>
  </x:si>
  <x:si>
    <x:t>R.C.K. AGENCIA DE PROMOCIONES Y EVENTOS ESPECIALES, S.L</x:t>
  </x:si>
  <x:si>
    <x:t>25226077</x:t>
  </x:si>
  <x:si>
    <x:t>DIRECCIÓN GENERAL DEL CENTRO PARA EL DESARROLLO TECNOLÓGICO Y LA INNOVACIÓN, E.P.E</x:t>
  </x:si>
  <x:si>
    <x:t>Servicios de diseño, producción, montaje y desmontaje de una exposición de stands en el “VII Foro Iberoamericano de Compra Pública de Innovación e Innovación Abierta”</x:t>
  </x:si>
  <x:si>
    <x:t>15/2025 NEG (DG/DC)</x:t>
  </x:si>
  <x:si>
    <x:t>MESSE BERLIN GMBH</x:t>
  </x:si>
  <x:si>
    <x:t>25226157</x:t>
  </x:si>
  <x:si>
    <x:t>PRESIDENCIA DEL CONSEJO DE ADMINISTRACIÓN DE LA AUTORIDAD PORTUARIA DE BARCELONA (PORT DE BARCELONA)</x:t>
  </x:si>
  <x:si>
    <x:t>Alquiler de espacio de la feria fruto logística que se celebrará en Berlín del 4 al 6 de febrero de 2026. Código de expediente: 2025C290070. Ref. Servicio de Contratación: 2025-00327</x:t>
  </x:si>
  <x:si>
    <x:t>2025-00327</x:t>
  </x:si>
  <x:si>
    <x:t>ORTHOAMG, S.L</x:t>
  </x:si>
  <x:si>
    <x:t>25226175</x:t>
  </x:si>
  <x:si>
    <x:t>COMUNIDAD DE MADRID. CONSEJERÍA DE CULTURA, TURISMO Y DEPORTE</x:t>
  </x:si>
  <x:si>
    <x:t>Patrocinio por parte de la Comunidad de Madrid de la “Carrera de la Primavera" 2026, Año del Caballo”.</x:t>
  </x:si>
  <x:si>
    <x:t>C-336A/032-25 (P/SER-040173/2025)</x:t>
  </x:si>
  <x:si>
    <x:t>CLUB DE BALONMANO FEMENINO MALAGA COSTA DEL SOL</x:t>
  </x:si>
  <x:si>
    <x:t>25226271</x:t>
  </x:si>
  <x:si>
    <x:t>EMPRESA PÚBLICA PARA LA GESTIÓN DEL TURISMO Y EL DEPORTE DE ANDALUCÍA, S.A</x:t>
  </x:si>
  <x:si>
    <x:t>patrocinio club balonmano costa del sol - temporada 2025-26</x:t>
  </x:si>
  <x:si>
    <x:t>C2N06-05JC-1025-0181</x:t>
  </x:si>
  <x:si>
    <x:t>España</x:t>
  </x:si>
  <x:si>
    <x:t>DRESDEN FRANKFURT DANCE COMPANY</x:t>
  </x:si>
  <x:si>
    <x:t>25226304</x:t>
  </x:si>
  <x:si>
    <x:t>CONSORCI MERCAT DE LES FLORS DEL AYUNTAMIENTO DE BARCELONA</x:t>
  </x:si>
  <x:si>
    <x:t>El objeto del contrato es la exhibición del espectáculo "Double Bill" de la Dresde Frankfut Dance Company, en el marco de la temporada 2025/2026 del MERCADO DE LAS FLORES</x:t>
  </x:si>
  <x:si>
    <x:t>F25-200</x:t>
  </x:si>
  <x:si>
    <x:t>LOTE 1 LINCE COMUNICACION SL</x:t>
  </x:si>
  <x:si>
    <x:t>25226489</x:t>
  </x:si>
  <x:si>
    <x:t>MINISTERIO DE CULTURA. DIRECCIÓN GENERAL DEL INSTITUTO DE CINEMATOGRAFÍA Y DE LAS ARTES AUDIOVISUALES</x:t>
  </x:si>
  <x:si>
    <x:t>Servicio de asistencia para la edición del programa del Cine Doré y de los contenidos gráficos de Filmoteca Española. Lote 1: Investigación, gestión de derechos y localización de copias en apoyo a la programación y proyección de ciclos cinematográficos. Lote 2: Edición y diseño del programa mensual del Cine Doré y desarrollo de contenidos gráficos de Filmoteca Española.</x:t>
  </x:si>
  <x:si>
    <x:t>M250002</x:t>
  </x:si>
  <x:si>
    <x:t>25226498</x:t>
  </x:si>
  <x:si>
    <x:t>AYUNTAMIENTO DE MADRID. DISTRITO DE CHAMARTÍN</x:t>
  </x:si>
  <x:si>
    <x:t>Contrato para la prestación del servicio de actividades culturales y de ocio en el Distrito de Chamartín (3 lotes). Lote 1: Programacion en centros culturales y espacios abiertos. Lote 2: Simultanea internacional de ajedrez y ajedrez en en los parques. Lote 3: Actividades conmemorativas, puntuales o extraordinarias.</x:t>
  </x:si>
  <x:si>
    <x:t>300/2025/00928</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</x:si>
</x:sst>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HYPERLINK("https://www.infonalia.es/adjudicaciones1125/25225280.pdf","www.infonalia.es/adjudicaciones1125/25225280.pdf")</x:f>
        <x:v>www.infonalia.es/adjudicaciones1125/25225280.pdf</x:v>
      </x:c>
      <x:c r="E2" s="8" t="s">
        <x:v>14</x:v>
      </x:c>
      <x:c r="F2" s="6" t="s">
        <x:v>15</x:v>
      </x:c>
      <x:c r="G2" s="6" t="s">
        <x:v>16</x:v>
      </x:c>
      <x:c r="H2" s="6" t="s">
        <x:v>17</x:v>
      </x:c>
      <x:c r="I2" s="6" t="s">
        <x:v>18</x:v>
      </x:c>
      <x:c r="J2" s="9" t="s">
        <x:v>19</x:v>
      </x:c>
      <x:c r="K2" s="9" t="n">
        <x:v>217954.77</x:v>
      </x:c>
    </x:row>
    <x:row r="3">
      <x:c r="A3" s="6" t="s">
        <x:v>11</x:v>
      </x:c>
      <x:c r="B3" s="6" t="s">
        <x:v>20</x:v>
      </x:c>
      <x:c r="C3" s="6" t="s">
        <x:v>13</x:v>
      </x:c>
      <x:c r="D3" s="7" t="str">
        <x:f xml:space="preserve">HYPERLINK("https://www.infonalia.es/adjudicaciones1125/25225569.pdf","www.infonalia.es/adjudicaciones1125/25225569.pdf")</x:f>
        <x:v>www.infonalia.es/adjudicaciones1125/25225569.pdf</x:v>
      </x:c>
      <x:c r="E3" s="8" t="s">
        <x:v>21</x:v>
      </x:c>
      <x:c r="F3" s="6" t="s">
        <x:v>22</x:v>
      </x:c>
      <x:c r="G3" s="6" t="s">
        <x:v>23</x:v>
      </x:c>
      <x:c r="H3" s="6" t="s">
        <x:v>24</x:v>
      </x:c>
      <x:c r="I3" s="6" t="s">
        <x:v>25</x:v>
      </x:c>
      <x:c r="J3" s="9" t="n">
        <x:v>85806.60</x:v>
      </x:c>
      <x:c r="K3" s="9" t="n">
        <x:v>120000.00</x:v>
      </x:c>
    </x:row>
    <x:row r="4">
      <x:c r="A4" s="6" t="s">
        <x:v>11</x:v>
      </x:c>
      <x:c r="B4" s="6" t="s">
        <x:v>26</x:v>
      </x:c>
      <x:c r="C4" s="6" t="s">
        <x:v>13</x:v>
      </x:c>
      <x:c r="D4" s="7" t="str">
        <x:f xml:space="preserve">HYPERLINK("https://www.infonalia.es/adjudicaciones1125/25225648.pdf","www.infonalia.es/adjudicaciones1125/25225648.pdf")</x:f>
        <x:v>www.infonalia.es/adjudicaciones1125/25225648.pdf</x:v>
      </x:c>
      <x:c r="E4" s="8" t="s">
        <x:v>27</x:v>
      </x:c>
      <x:c r="F4" s="6" t="s">
        <x:v>28</x:v>
      </x:c>
      <x:c r="G4" s="6" t="s">
        <x:v>29</x:v>
      </x:c>
      <x:c r="H4" s="6" t="s">
        <x:v>30</x:v>
      </x:c>
      <x:c r="I4" s="6" t="s">
        <x:v>31</x:v>
      </x:c>
      <x:c r="J4" s="9" t="s">
        <x:v>19</x:v>
      </x:c>
      <x:c r="K4" s="9" t="n">
        <x:v>3000000.00</x:v>
      </x:c>
    </x:row>
    <x:row r="5">
      <x:c r="A5" s="6" t="s">
        <x:v>11</x:v>
      </x:c>
      <x:c r="B5" s="6" t="s">
        <x:v>32</x:v>
      </x:c>
      <x:c r="C5" s="6" t="s">
        <x:v>13</x:v>
      </x:c>
      <x:c r="D5" s="7" t="str">
        <x:f xml:space="preserve">HYPERLINK("https://www.infonalia.es/adjudicaciones1125/25225649.pdf","www.infonalia.es/adjudicaciones1125/25225649.pdf")</x:f>
        <x:v>www.infonalia.es/adjudicaciones1125/25225649.pdf</x:v>
      </x:c>
      <x:c r="E5" s="8" t="s">
        <x:v>33</x:v>
      </x:c>
      <x:c r="F5" s="6" t="s">
        <x:v>34</x:v>
      </x:c>
      <x:c r="G5" s="6" t="s">
        <x:v>35</x:v>
      </x:c>
      <x:c r="H5" s="6" t="s">
        <x:v>36</x:v>
      </x:c>
      <x:c r="I5" s="6" t="s">
        <x:v>18</x:v>
      </x:c>
      <x:c r="J5" s="9" t="s">
        <x:v>19</x:v>
      </x:c>
      <x:c r="K5" s="9" t="n">
        <x:v>7942.52</x:v>
      </x:c>
    </x:row>
    <x:row r="6">
      <x:c r="A6" s="6" t="s">
        <x:v>11</x:v>
      </x:c>
      <x:c r="B6" s="6" t="s">
        <x:v>37</x:v>
      </x:c>
      <x:c r="C6" s="6" t="s">
        <x:v>13</x:v>
      </x:c>
      <x:c r="D6" s="7" t="str">
        <x:f xml:space="preserve">HYPERLINK("https://www.infonalia.es/adjudicaciones1125/25225650.pdf","www.infonalia.es/adjudicaciones1125/25225650.pdf")</x:f>
        <x:v>www.infonalia.es/adjudicaciones1125/25225650.pdf</x:v>
      </x:c>
      <x:c r="E6" s="8" t="s">
        <x:v>38</x:v>
      </x:c>
      <x:c r="F6" s="6" t="s">
        <x:v>39</x:v>
      </x:c>
      <x:c r="G6" s="6" t="s">
        <x:v>40</x:v>
      </x:c>
      <x:c r="H6" s="6" t="s">
        <x:v>41</x:v>
      </x:c>
      <x:c r="I6" s="6" t="s">
        <x:v>18</x:v>
      </x:c>
      <x:c r="J6" s="9" t="s">
        <x:v>19</x:v>
      </x:c>
      <x:c r="K6" s="9" t="n">
        <x:v>575356.00</x:v>
      </x:c>
    </x:row>
    <x:row r="7">
      <x:c r="A7" s="6" t="s">
        <x:v>11</x:v>
      </x:c>
      <x:c r="B7" s="6" t="s">
        <x:v>42</x:v>
      </x:c>
      <x:c r="C7" s="6" t="s">
        <x:v>13</x:v>
      </x:c>
      <x:c r="D7" s="7" t="str">
        <x:f xml:space="preserve">HYPERLINK("https://www.infonalia.es/adjudicaciones1125/25225662.pdf","www.infonalia.es/adjudicaciones1125/25225662.pdf")</x:f>
        <x:v>www.infonalia.es/adjudicaciones1125/25225662.pdf</x:v>
      </x:c>
      <x:c r="E7" s="8" t="s">
        <x:v>43</x:v>
      </x:c>
      <x:c r="F7" s="6" t="s">
        <x:v>44</x:v>
      </x:c>
      <x:c r="G7" s="6" t="s">
        <x:v>45</x:v>
      </x:c>
      <x:c r="H7" s="6" t="s">
        <x:v>46</x:v>
      </x:c>
      <x:c r="I7" s="6" t="s">
        <x:v>18</x:v>
      </x:c>
      <x:c r="J7" s="9" t="s">
        <x:v>19</x:v>
      </x:c>
      <x:c r="K7" s="9" t="n">
        <x:v>704170.00</x:v>
      </x:c>
    </x:row>
    <x:row r="8">
      <x:c r="A8" s="6" t="s">
        <x:v>11</x:v>
      </x:c>
      <x:c r="B8" s="6" t="s">
        <x:v>47</x:v>
      </x:c>
      <x:c r="C8" s="6" t="s">
        <x:v>13</x:v>
      </x:c>
      <x:c r="D8" s="7" t="str">
        <x:f xml:space="preserve">HYPERLINK("https://www.infonalia.es/adjudicaciones1125/25225874.pdf","www.infonalia.es/adjudicaciones1125/25225874.pdf")</x:f>
        <x:v>www.infonalia.es/adjudicaciones1125/25225874.pdf</x:v>
      </x:c>
      <x:c r="E8" s="8" t="s">
        <x:v>48</x:v>
      </x:c>
      <x:c r="F8" s="6" t="s">
        <x:v>49</x:v>
      </x:c>
      <x:c r="G8" s="6" t="s">
        <x:v>50</x:v>
      </x:c>
      <x:c r="H8" s="6" t="s">
        <x:v>51</x:v>
      </x:c>
      <x:c r="I8" s="6" t="s">
        <x:v>52</x:v>
      </x:c>
      <x:c r="J8" s="9" t="s">
        <x:v>19</x:v>
      </x:c>
      <x:c r="K8" s="9" t="n">
        <x:v>960000.00</x:v>
      </x:c>
    </x:row>
    <x:row r="9">
      <x:c r="A9" s="6" t="s">
        <x:v>11</x:v>
      </x:c>
      <x:c r="B9" s="6" t="s">
        <x:v>53</x:v>
      </x:c>
      <x:c r="C9" s="6" t="s">
        <x:v>13</x:v>
      </x:c>
      <x:c r="D9" s="7" t="str">
        <x:f xml:space="preserve">HYPERLINK("https://www.infonalia.es/adjudicaciones1125/25226077.pdf","www.infonalia.es/adjudicaciones1125/25226077.pdf")</x:f>
        <x:v>www.infonalia.es/adjudicaciones1125/25226077.pdf</x:v>
      </x:c>
      <x:c r="E9" s="8" t="s">
        <x:v>54</x:v>
      </x:c>
      <x:c r="F9" s="6" t="s">
        <x:v>55</x:v>
      </x:c>
      <x:c r="G9" s="6" t="s">
        <x:v>56</x:v>
      </x:c>
      <x:c r="H9" s="6" t="s">
        <x:v>57</x:v>
      </x:c>
      <x:c r="I9" s="6" t="s">
        <x:v>25</x:v>
      </x:c>
      <x:c r="J9" s="9" t="n">
        <x:v>122960.30</x:v>
      </x:c>
      <x:c r="K9" s="9" t="n">
        <x:v>134223.30</x:v>
      </x:c>
    </x:row>
    <x:row r="10">
      <x:c r="A10" s="6" t="s">
        <x:v>11</x:v>
      </x:c>
      <x:c r="B10" s="6" t="s">
        <x:v>58</x:v>
      </x:c>
      <x:c r="C10" s="6" t="s">
        <x:v>13</x:v>
      </x:c>
      <x:c r="D10" s="7" t="str">
        <x:f xml:space="preserve">HYPERLINK("https://www.infonalia.es/adjudicaciones1125/25226157.pdf","www.infonalia.es/adjudicaciones1125/25226157.pdf")</x:f>
        <x:v>www.infonalia.es/adjudicaciones1125/25226157.pdf</x:v>
      </x:c>
      <x:c r="E10" s="8" t="s">
        <x:v>59</x:v>
      </x:c>
      <x:c r="F10" s="6" t="s">
        <x:v>60</x:v>
      </x:c>
      <x:c r="G10" s="6" t="s">
        <x:v>61</x:v>
      </x:c>
      <x:c r="H10" s="6" t="s">
        <x:v>62</x:v>
      </x:c>
      <x:c r="I10" s="6" t="s">
        <x:v>18</x:v>
      </x:c>
      <x:c r="J10" s="9" t="n">
        <x:v>11929.60</x:v>
      </x:c>
      <x:c r="K10" s="9" t="n">
        <x:v>11929.60</x:v>
      </x:c>
    </x:row>
    <x:row r="11">
      <x:c r="A11" s="6" t="s">
        <x:v>11</x:v>
      </x:c>
      <x:c r="B11" s="6" t="s">
        <x:v>63</x:v>
      </x:c>
      <x:c r="C11" s="6" t="s">
        <x:v>13</x:v>
      </x:c>
      <x:c r="D11" s="7" t="str">
        <x:f xml:space="preserve">HYPERLINK("https://www.infonalia.es/adjudicaciones1125/25226175.pdf","www.infonalia.es/adjudicaciones1125/25226175.pdf")</x:f>
        <x:v>www.infonalia.es/adjudicaciones1125/25226175.pdf</x:v>
      </x:c>
      <x:c r="E11" s="8" t="s">
        <x:v>64</x:v>
      </x:c>
      <x:c r="F11" s="6" t="s">
        <x:v>65</x:v>
      </x:c>
      <x:c r="G11" s="6" t="s">
        <x:v>66</x:v>
      </x:c>
      <x:c r="H11" s="6" t="s">
        <x:v>67</x:v>
      </x:c>
      <x:c r="I11" s="6" t="s">
        <x:v>25</x:v>
      </x:c>
      <x:c r="J11" s="9" t="n">
        <x:v>26000.00</x:v>
      </x:c>
      <x:c r="K11" s="9" t="n">
        <x:v>26000.00</x:v>
      </x:c>
    </x:row>
    <x:row r="12">
      <x:c r="A12" s="6" t="s">
        <x:v>11</x:v>
      </x:c>
      <x:c r="B12" s="6" t="s">
        <x:v>68</x:v>
      </x:c>
      <x:c r="C12" s="6" t="s">
        <x:v>13</x:v>
      </x:c>
      <x:c r="D12" s="7" t="str">
        <x:f xml:space="preserve">HYPERLINK("https://www.infonalia.es/adjudicaciones1125/25226271.pdf","www.infonalia.es/adjudicaciones1125/25226271.pdf")</x:f>
        <x:v>www.infonalia.es/adjudicaciones1125/25226271.pdf</x:v>
      </x:c>
      <x:c r="E12" s="8" t="s">
        <x:v>69</x:v>
      </x:c>
      <x:c r="F12" s="6" t="s">
        <x:v>70</x:v>
      </x:c>
      <x:c r="G12" s="6" t="s">
        <x:v>71</x:v>
      </x:c>
      <x:c r="H12" s="6" t="s">
        <x:v>72</x:v>
      </x:c>
      <x:c r="I12" s="6" t="s">
        <x:v>73</x:v>
      </x:c>
      <x:c r="J12" s="9" t="s">
        <x:v>19</x:v>
      </x:c>
      <x:c r="K12" s="9" t="n">
        <x:v>135123.96</x:v>
      </x:c>
    </x:row>
    <x:row r="13">
      <x:c r="A13" s="6" t="s">
        <x:v>11</x:v>
      </x:c>
      <x:c r="B13" s="6" t="s">
        <x:v>74</x:v>
      </x:c>
      <x:c r="C13" s="6" t="s">
        <x:v>13</x:v>
      </x:c>
      <x:c r="D13" s="7" t="str">
        <x:f xml:space="preserve">HYPERLINK("https://www.infonalia.es/adjudicaciones1125/25226304.pdf","www.infonalia.es/adjudicaciones1125/25226304.pdf")</x:f>
        <x:v>www.infonalia.es/adjudicaciones1125/25226304.pdf</x:v>
      </x:c>
      <x:c r="E13" s="8" t="s">
        <x:v>75</x:v>
      </x:c>
      <x:c r="F13" s="6" t="s">
        <x:v>76</x:v>
      </x:c>
      <x:c r="G13" s="6" t="s">
        <x:v>77</x:v>
      </x:c>
      <x:c r="H13" s="6" t="s">
        <x:v>78</x:v>
      </x:c>
      <x:c r="I13" s="6" t="s">
        <x:v>18</x:v>
      </x:c>
      <x:c r="J13" s="9" t="s">
        <x:v>19</x:v>
      </x:c>
      <x:c r="K13" s="9" t="n">
        <x:v>49307.41</x:v>
      </x:c>
    </x:row>
    <x:row r="14">
      <x:c r="A14" s="6" t="s">
        <x:v>11</x:v>
      </x:c>
      <x:c r="B14" s="6" t="s">
        <x:v>79</x:v>
      </x:c>
      <x:c r="C14" s="6" t="s">
        <x:v>13</x:v>
      </x:c>
      <x:c r="D14" s="7" t="str">
        <x:f xml:space="preserve">HYPERLINK("https://www.infonalia.es/adjudicaciones1125/25226489.pdf","www.infonalia.es/adjudicaciones1125/25226489.pdf")</x:f>
        <x:v>www.infonalia.es/adjudicaciones1125/25226489.pdf</x:v>
      </x:c>
      <x:c r="E14" s="8" t="s">
        <x:v>80</x:v>
      </x:c>
      <x:c r="F14" s="6" t="s">
        <x:v>81</x:v>
      </x:c>
      <x:c r="G14" s="6" t="s">
        <x:v>82</x:v>
      </x:c>
      <x:c r="H14" s="6" t="s">
        <x:v>83</x:v>
      </x:c>
      <x:c r="I14" s="6" t="s">
        <x:v>25</x:v>
      </x:c>
      <x:c r="J14" s="9" t="n">
        <x:v>69800.00</x:v>
      </x:c>
      <x:c r="K14" s="9" t="n">
        <x:v>70250.00</x:v>
      </x:c>
    </x:row>
    <x:row r="15">
      <x:c r="A15" s="6" t="s">
        <x:v>11</x:v>
      </x:c>
      <x:c r="B15" s="6" t="s">
        <x:v>79</x:v>
      </x:c>
      <x:c r="C15" s="6" t="s">
        <x:v>13</x:v>
      </x:c>
      <x:c r="D15" s="7" t="str">
        <x:f xml:space="preserve">HYPERLINK("https://www.infonalia.es/adjudicaciones1125/25226498.pdf","www.infonalia.es/adjudicaciones1125/25226498.pdf")</x:f>
        <x:v>www.infonalia.es/adjudicaciones1125/25226498.pdf</x:v>
      </x:c>
      <x:c r="E15" s="8" t="s">
        <x:v>84</x:v>
      </x:c>
      <x:c r="F15" s="6" t="s">
        <x:v>85</x:v>
      </x:c>
      <x:c r="G15" s="6" t="s">
        <x:v>86</x:v>
      </x:c>
      <x:c r="H15" s="6" t="s">
        <x:v>87</x:v>
      </x:c>
      <x:c r="I15" s="6" t="s">
        <x:v>25</x:v>
      </x:c>
      <x:c r="J15" s="9" t="n">
        <x:v>104490.00</x:v>
      </x:c>
      <x:c r="K15" s="9" t="n">
        <x:v>139855.46</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