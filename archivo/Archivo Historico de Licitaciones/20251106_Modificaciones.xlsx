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<x:sst xmlns:x="http://schemas.openxmlformats.org/spreadsheetml/2006/main" count="6" uniqueCount="6">
  <x:si>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</x:si>
  <x:si>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</x:si>
  <x:si>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</x:si>
  <x:si>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</x:si>
  <x:si>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</x:si>
  <x:si>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</x:si>
  <x:si>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2025144449</x:t>
  </x:si>
  <x:si>
    <x:t>Aclaración / Ampliación de pliegos</x:t>
  </x:si>
  <x:si>
    <x:t>BARCELONA DE SERVEIS MUNICIPALS SA</x:t>
  </x:si>
  <x:si>
    <x:t>El objeto del presente contrato es el servicio de soporte organizativo y técnico para los eventos que se promueven desde cualquiera de las unidades, divisiones y/o departamentos de BSM. Estos eventos se realizan en recintos, en su mayoría, cerrados en sus dependencias ubicadas en la ciudad de Barcelona y generalmente cuentan con un número aproximado de entre 50 y 400 asistentes, en jornadas puntuales no superiores a 6 horas en horario diurno. Lote 1 Soporte técnico audiovisual para eventos de pequeño formato, lote 2 Soporte técnico audiovisual para eventos de medio y gran formato.</x:t>
  </x:si>
  <x:si>
    <x:t>2025148809</x:t>
  </x:si>
  <x:si>
    <x:t>COMUNIDAD DE MADRID. CONSEJERÍA DE DIGITALIZACIÓN</x:t>
  </x:si>
  <x:si>
    <x:t>Puesta en marcha y desarrollo de la II Edición de la Liga
Intermunicipal de MINECRAFT en la Comunidad de Madrid</x:t>
  </x:si>
  <x:si>
    <x:t>2025153617</x:t>
  </x:si>
  <x:si>
    <x:t>Corrección de errores</x:t>
  </x:si>
  <x:si>
    <x:t>MADRID DESTINO CULTURA TURISMO Y NEGOCIO, S.A</x:t>
  </x:si>
  <x:si>
    <x:t>Servicios de edición de textos, corrección ortotipográfica en castellano e inglés; maquetación y generación de artes finales; impresión y encuadernación de catálogos de exposiciones; producción de vinilos de corte y otros materiales de producción gráfica, relacionados con la programación de CentroCentro. Lote 1. Servicios de edición de textos, corrección ortotipográfica en castellano e inglés y revisión de maquetas y artes finales. Lote 2. Servicios de maquetación y generación de artes finales. Lote 3. Servicio de impresión y encuadernación de los catálogos de las exposiciones programadas en CentroCentro. Lote 4. Servicio de producción e instalación de vinilos de corte y otros materiales de producción gráfica relacionados con la programación de CentroCentro</x:t>
  </x:si>
  <x:si>
    <x:t>2025154837</x:t>
  </x:si>
  <x:si>
    <x:t>Servicio de construcción museográfica, montaje y desmontaje de obra de arte (Lote 1) y Suministro en régimen de alquiler, instalación, mantenimiento y desmontaje de material audiovisual (Lote 2) para la exposición Ana Juan. Wunderkammer que se exhibirá en CentroCentro</x:t>
  </x:si>
  <x:si>
    <x:t>2025155305</x:t>
  </x:si>
  <x:si>
    <x:t>AYUNTAMIENTO DE LLEIDA</x:t>
  </x:si>
  <x:si>
    <x:t>Contratación de un servicio de fotografía y vídeo profesional por el Ayuntamiento de Lleida y establecimiento de un mecanismo de trabajo profesional audiovisual en relación con los actos oficiales y actividades municipales que dependen de la Sección de Comunicación. Organizar un sistema de trabajo para la realización, retoque y archivo de las fotografías y vídeos solicitadas por la Sección de Comunicación.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</x:si>
</x:sst>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HYPERLINK("https://www.infonalia.es/modificaciones1125/2025144449.pdf","www.infonalia.es/modificaciones1125/2025144449.pdf")</x:f>
        <x:v>www.infonalia.es/modificaciones1125/2025144449.pdf</x:v>
      </x:c>
      <x:c r="F2" s="5" t="str">
        <x:f xml:space="preserve">HYPERLINK("https://www.infonalia.es/licitaciones1025/2025144449.pdf","www.infonalia.es/licitaciones1025/2025144449.pdf")</x:f>
        <x:v>www.infonalia.es/licitaciones1025/2025144449.pdf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HYPERLINK("https://www.infonalia.es/modificaciones1125/2025148809.pdf","www.infonalia.es/modificaciones1125/2025148809.pdf")</x:f>
        <x:v>www.infonalia.es/modificaciones1125/2025148809.pdf</x:v>
      </x:c>
      <x:c r="F3" s="5" t="str">
        <x:f xml:space="preserve">HYPERLINK("https://www.infonalia.es/licitaciones1025/2025148809.pdf","www.infonalia.es/licitaciones1025/2025148809.pdf")</x:f>
        <x:v>www.infonalia.es/licitaciones1025/2025148809.pdf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HYPERLINK("https://www.infonalia.es/modificaciones1125/2025153617.pdf","www.infonalia.es/modificaciones1125/2025153617.pdf")</x:f>
        <x:v>www.infonalia.es/modificaciones1125/2025153617.pdf</x:v>
      </x:c>
      <x:c r="F4" s="5" t="str">
        <x:f xml:space="preserve">HYPERLINK("https://www.infonalia.es/licitaciones1025/2025153617.pdf","www.infonalia.es/licitaciones1025/2025153617.pdf")</x:f>
        <x:v>www.infonalia.es/licitaciones1025/2025153617.pdf</x:v>
      </x:c>
    </x:row>
    <x:row r="5">
      <x:c r="A5" s="3" t="s">
        <x:v>17</x:v>
      </x:c>
      <x:c r="B5" s="4" t="s">
        <x:v>14</x:v>
      </x:c>
      <x:c r="C5" s="4" t="s">
        <x:v>15</x:v>
      </x:c>
      <x:c r="D5" s="4" t="s">
        <x:v>18</x:v>
      </x:c>
      <x:c r="E5" s="5" t="str">
        <x:f xml:space="preserve">HYPERLINK("https://www.infonalia.es/modificaciones1125/2025154837.pdf","www.infonalia.es/modificaciones1125/2025154837.pdf")</x:f>
        <x:v>www.infonalia.es/modificaciones1125/2025154837.pdf</x:v>
      </x:c>
      <x:c r="F5" s="5" t="str">
        <x:f xml:space="preserve">HYPERLINK("https://www.infonalia.es/licitaciones1125/2025154837.pdf","www.infonalia.es/licitaciones1125/2025154837.pdf")</x:f>
        <x:v>www.infonalia.es/licitaciones1125/2025154837.pdf</x:v>
      </x:c>
    </x:row>
    <x:row r="6">
      <x:c r="A6" s="3" t="s">
        <x:v>19</x:v>
      </x:c>
      <x:c r="B6" s="4" t="s">
        <x:v>7</x:v>
      </x:c>
      <x:c r="C6" s="4" t="s">
        <x:v>20</x:v>
      </x:c>
      <x:c r="D6" s="4" t="s">
        <x:v>21</x:v>
      </x:c>
      <x:c r="E6" s="5" t="str">
        <x:f xml:space="preserve">HYPERLINK("https://www.infonalia.es/modificaciones1125/2025155305.pdf","www.infonalia.es/modificaciones1125/2025155305.pdf")</x:f>
        <x:v>www.infonalia.es/modificaciones1125/2025155305.pdf</x:v>
      </x:c>
      <x:c r="F6" s="5" t="str">
        <x:f xml:space="preserve">HYPERLINK("https://www.infonalia.es/licitaciones1125/2025155305.pdf","www.infonalia.es/licitaciones1125/2025155305.pdf")</x:f>
        <x:v>www.infonalia.es/licitaciones1125/2025155305.pdf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