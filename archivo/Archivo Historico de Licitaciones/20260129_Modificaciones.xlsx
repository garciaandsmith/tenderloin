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<x:sst xmlns:x="http://schemas.openxmlformats.org/spreadsheetml/2006/main" count="6" uniqueCount="6">
  <x:si>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</x:si>
  <x:si>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</x:si>
  <x:si>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</x:si>
  <x:si>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</x:si>
  <x:si>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</x:si>
  <x:si>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</x:si>
  <x:si>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2025179689</x:t>
  </x:si>
  <x:si>
    <x:t>Aclaración / Ampliación de pliegos</x:t>
  </x:si>
  <x:si>
    <x:t>AGÈNCIA DE RESIDUS DE CATALUNYA</x:t>
  </x:si>
  <x:si>
    <x:t>Contratación del servicio de diseño y organización de eventos de la Semana Internacional del Compuesto. Lote 1 Organización de dos eventos notorios en Cataluña. Lote 2 Producción y reparto de kits del compost: Organización de puntos informativos y de autoservicio del compost.</x:t>
  </x:si>
  <x:si>
    <x:t>2026002928</x:t>
  </x:si>
  <x:si>
    <x:t>FERROCARRIL METROPOLITA DE BARCELONA, SA</x:t>
  </x:si>
  <x:si>
    <x:t>Servicio para la gestión, ejecución y optimización del programa de marqueting de afiliación para los productos Hola Barcelona</x:t>
  </x:si>
  <x:si>
    <x:t>2026003870</x:t>
  </x:si>
  <x:si>
    <x:t>Corrección de errores</x:t>
  </x:si>
  <x:si>
    <x:t>INSTITUTO DE TURISMO DE ESPAÑA (TURESPAÑA)</x:t>
  </x:si>
  <x:si>
    <x:t>El objeto del contrato son los servicios de organización y desarrollo de las jornadas inversas del mercado europeo que tendrán lugar los días 14 a 18 de septiembre de 2026 en Pamplona, así como la coordinación de las actividades relacionadas con el mismo, en los términos establecidos en el pliego de prescripciones técnicas</x:t>
  </x:si>
  <x:si>
    <x:t>2026008130</x:t>
  </x:si>
  <x:si>
    <x:t>AYUNTAMIENTO DE CALAFELL (TARRAGONA)</x:t>
  </x:si>
  <x:si>
    <x:t>Contratación relativa al suministro y servicio de colocación y retirada de distinto material publicitario de las campañas comerciales de promoción económica hasta el 31 de julio de 2026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</x:si>
</x:sst>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HYPERLINK("https://www.infonalia.es/modificaciones0126/2025179689.pdf","www.infonalia.es/modificaciones0126/2025179689.pdf")</x:f>
        <x:v>www.infonalia.es/modificaciones0126/2025179689.pdf</x:v>
      </x:c>
      <x:c r="F2" s="5" t="str">
        <x:f xml:space="preserve">HYPERLINK("https://www.infonalia.es/licitaciones1225/2025179689.pdf","www.infonalia.es/licitaciones1225/2025179689.pdf")</x:f>
        <x:v>www.infonalia.es/licitaciones1225/2025179689.pdf</x:v>
      </x:c>
    </x:row>
    <x:row r="3">
      <x:c r="A3" s="3" t="s">
        <x:v>10</x:v>
      </x:c>
      <x:c r="B3" s="4" t="s">
        <x:v>7</x:v>
      </x:c>
      <x:c r="C3" s="4" t="s">
        <x:v>11</x:v>
      </x:c>
      <x:c r="D3" s="4" t="s">
        <x:v>12</x:v>
      </x:c>
      <x:c r="E3" s="5" t="str">
        <x:f xml:space="preserve">HYPERLINK("https://www.infonalia.es/modificaciones0126/2026002928.pdf","www.infonalia.es/modificaciones0126/2026002928.pdf")</x:f>
        <x:v>www.infonalia.es/modificaciones0126/2026002928.pdf</x:v>
      </x:c>
      <x:c r="F3" s="5" t="str">
        <x:f xml:space="preserve">HYPERLINK("https://www.infonalia.es/licitaciones0126/2026002928.pdf","www.infonalia.es/licitaciones0126/2026002928.pdf")</x:f>
        <x:v>www.infonalia.es/licitaciones0126/2026002928.pdf</x:v>
      </x:c>
    </x:row>
    <x:row r="4">
      <x:c r="A4" s="3" t="s">
        <x:v>13</x:v>
      </x:c>
      <x:c r="B4" s="4" t="s">
        <x:v>14</x:v>
      </x:c>
      <x:c r="C4" s="4" t="s">
        <x:v>15</x:v>
      </x:c>
      <x:c r="D4" s="4" t="s">
        <x:v>16</x:v>
      </x:c>
      <x:c r="E4" s="5" t="str">
        <x:f xml:space="preserve">HYPERLINK("https://www.infonalia.es/modificaciones0126/2026003870.pdf","www.infonalia.es/modificaciones0126/2026003870.pdf")</x:f>
        <x:v>www.infonalia.es/modificaciones0126/2026003870.pdf</x:v>
      </x:c>
      <x:c r="F4" s="5" t="str">
        <x:f xml:space="preserve">HYPERLINK("https://www.infonalia.es/licitaciones0126/2026003870.pdf","www.infonalia.es/licitaciones0126/2026003870.pdf")</x:f>
        <x:v>www.infonalia.es/licitaciones0126/2026003870.pdf</x:v>
      </x:c>
    </x:row>
    <x:row r="5">
      <x:c r="A5" s="3" t="s">
        <x:v>17</x:v>
      </x:c>
      <x:c r="B5" s="4" t="s">
        <x:v>7</x:v>
      </x:c>
      <x:c r="C5" s="4" t="s">
        <x:v>18</x:v>
      </x:c>
      <x:c r="D5" s="4" t="s">
        <x:v>19</x:v>
      </x:c>
      <x:c r="E5" s="5" t="str">
        <x:f xml:space="preserve">HYPERLINK("https://www.infonalia.es/modificaciones0126/2026008130.pdf","www.infonalia.es/modificaciones0126/2026008130.pdf")</x:f>
        <x:v>www.infonalia.es/modificaciones0126/2026008130.pdf</x:v>
      </x:c>
      <x:c r="F5" s="5" t="str">
        <x:f xml:space="preserve">HYPERLINK("https://www.infonalia.es/licitaciones0126/2026008130.pdf","www.infonalia.es/licitaciones0126/2026008130.pdf")</x:f>
        <x:v>www.infonalia.es/licitaciones0126/2026008130.pdf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