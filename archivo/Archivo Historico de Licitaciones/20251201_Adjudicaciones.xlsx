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<x:sst xmlns:x="http://schemas.openxmlformats.org/spreadsheetml/2006/main" count="11" uniqueCount="11">
  <x:si>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</x:si>
  <x:si>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</x:si>
  <x:si>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</x:si>
  <x:si>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</x:si>
  <x:si>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</x:si>
  <x:si>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</x:si>
  <x:si>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</x:si>
  <x:si>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</x:si>
  <x:si>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</x:si>
  <x:si>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</x:si>
  <x:si>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</x:si>
  <x:si>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</x:si>
  <x:si>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NARCIS RIGALL RUIZ</x:t>
  </x:si>
  <x:si>
    <x:t>01/12/2025 0:00:00</x:t>
  </x:si>
  <x:si>
    <x:t>25238544</x:t>
  </x:si>
  <x:si>
    <x:t>AYUNTAMIENTO DE BARBERÀ DEL VALLÈS (BARCELONA)</x:t>
  </x:si>
  <x:si>
    <x:t>Servicio de organización y desarrollo integral de la Feria de Navidad en la Plaza de la Villa del municipio de Barberà del Vallès, año 2025.</x:t>
  </x:si>
  <x:si>
    <x:t>N774250059</x:t>
  </x:si>
  <x:si>
    <x:t>Barcelona</x:t>
  </x:si>
  <x:si>
    <x:t>Ver detalle de la adjudicación</x:t>
  </x:si>
  <x:si>
    <x:t>ARTUR RIBERA</x:t>
  </x:si>
  <x:si>
    <x:t>25238743</x:t>
  </x:si>
  <x:si>
    <x:t>ORGANISMO AUTÓNOMO MUNICIPAL CENTRO CULTURAL SANT CUGAT</x:t>
  </x:si>
  <x:si>
    <x:t>El objeto de este contrato es la contratación de un/a fotógrafo/a profesional para la realización de reportajes fotográficos de los espectáculos y actividades programadas y/o organizadas por el Teatro-Auditorio Sant Cugat, adscrito al OAMCCSC. El objetivo de este servicio es obtener imágenes de alta calidad que reflejen la esencia y emoción de cada evento, garantizando una cobertura visual óptima tanto para la difusión como para la creación de un archivo fotográfico institucional</x:t>
  </x:si>
  <x:si>
    <x:t>37671/2024</x:t>
  </x:si>
  <x:si>
    <x:t>EXTERNA COMUNICACIÓ SL</x:t>
  </x:si>
  <x:si>
    <x:t>25238748</x:t>
  </x:si>
  <x:si>
    <x:t>GENERALITAT DE CATALUNYA. DEPARTAMENTO DE INTERIOR Y SEGURIDAD PÚBLICA</x:t>
  </x:si>
  <x:si>
    <x:t>Servicio de conceptualización, diseño y producción de una campaña de publicidad institucional informativa sobre el riesgo de inundaciones y fuertes lluvias en Cataluña</x:t>
  </x:si>
  <x:si>
    <x:t>IT-2025-929</x:t>
  </x:si>
  <x:si>
    <x:t>Catalunya</x:t>
  </x:si>
  <x:si>
    <x:t>CUATRO TUERCAS SL</x:t>
  </x:si>
  <x:si>
    <x:t>25238811</x:t>
  </x:si>
  <x:si>
    <x:t>PRESIDENCIA DE LA ASOCIACIÓN PARA EL DESARROLLO INTEGRAL DE LA SIERRA OESTE DE MADRID</x:t>
  </x:si>
  <x:si>
    <x:t>El objeto de esta actuación es la creación, puesta en marcha, gestión y mantenimiento de un canal propio de podcasts geolocalizados de MadRural, concebido como herramienta de promoción innovadora del territorio y sus recursos turísticos, culturales y naturales, alineada con los objetivos estratégicos de digitalización, promoción y cohesión del destino</x:t>
  </x:si>
  <x:si>
    <x:t>82/2025</x:t>
  </x:si>
  <x:si>
    <x:t>Madrid</x:t>
  </x:si>
  <x:si>
    <x:t>HAVAS MEDIA GROUP SPAIN S.A</x:t>
  </x:si>
  <x:si>
    <x:t>25238881</x:t>
  </x:si>
  <x:si>
    <x:t>INSTITUTO DE TURISMO DE ESPAÑA (TURESPAÑA)</x:t>
  </x:si>
  <x:si>
    <x:t>Contratación, por procedimiento abierto conforme al artículo 156 al 158 de la LCSP, de servicios de gestión y compra de medios para el marketing turístico de España en mercados internacionales, para el Instituto de Turismo de España (Turespaña)</x:t>
  </x:si>
  <x:si>
    <x:t>020024C00115</x:t>
  </x:si>
  <x:si>
    <x:t>LT2 AI SERVICES SL</x:t>
  </x:si>
  <x:si>
    <x:t>25238894</x:t>
  </x:si>
  <x:si>
    <x:t>CONSEJERO DELEGADO DE INGENIERÍA DE SISTEMAS PARA LA DEFENSA DE ESPAÑA S.A., S.M.E. Y M.P.</x:t>
  </x:si>
  <x:si>
    <x:t>Contratación del servicio de infraestructura tecnológica y soporte especializado para el lanzamiento y dinamización de una comunidad de inteligencia artificial en torno a la iniciativa de modelos de lenguaje abiertos ALIA.</x:t>
  </x:si>
  <x:si>
    <x:t>2025-01512</x:t>
  </x:si>
  <x:si>
    <x:t>PLUGIN MEDIA INTERACTIVE SL</x:t>
  </x:si>
  <x:si>
    <x:t>25239085</x:t>
  </x:si>
  <x:si>
    <x:t>AYUNTAMIENTO DE SANT VICENÇ DE CASTELLET (BARCELONA)</x:t>
  </x:si>
  <x:si>
    <x:t>El objeto del contrato es la licitación de la fase 2 del “Proyecto museográfico del Conjunto Monumental de Castellet”, del municipio de Sant Vicenç de Castellet redactado por la empresa Intervento 2, S.L.i aprobado definitivamente por el Pleno de la Corporación de fecha 15 de mayo de 2024</x:t>
  </x:si>
  <x:si>
    <x:t>X2025004187</x:t>
  </x:si>
  <x:si>
    <x:t>SALES MARKETING CATALONIA SL</x:t>
  </x:si>
  <x:si>
    <x:t>25239086</x:t>
  </x:si>
  <x:si>
    <x:t>AGENCIA DE RESIDUOS DE CATALUNYA</x:t>
  </x:si>
  <x:si>
    <x:t>Contratación del servicio para la organización y gestión logística de las Jornadas Técnicas de Suelos Contaminados 2026.</x:t>
  </x:si>
  <x:si>
    <x:t>ARC-2025-307</x:t>
  </x:si>
  <x:si>
    <x:t>LEADING SOLUTIONS SALES &amp; SERVICES SL</x:t>
  </x:si>
  <x:si>
    <x:t>25239177</x:t>
  </x:si>
  <x:si>
    <x:t>JUNTA DE GOBIERNO DEL AYUNTAMIENTO DE SIERO (ASTURIAS)</x:t>
  </x:si>
  <x:si>
    <x:t>Contrato del servicio complementario de atención al público en los equipamientos dependientes de la Fundación Municipal de Cultura de Siero</x:t>
  </x:si>
  <x:si>
    <x:t>107193004</x:t>
  </x:si>
  <x:si>
    <x:t>Asturias</x:t>
  </x:si>
  <x:si>
    <x:t>LAST LAP, S.L.U</x:t>
  </x:si>
  <x:si>
    <x:t>25239213</x:t>
  </x:si>
  <x:si>
    <x:t>JUNTA DE GOBIERNO DEL AYUNTAMIENTO DE ALCALÁ DE HENARES (MADRID)</x:t>
  </x:si>
  <x:si>
    <x:t>Servicio integral de la exposición de motos “Made in Spain, en el espacio de la antigua Fábrica Gal, 2025-2026 del Ayuntamiento de Alcalá de Henares</x:t>
  </x:si>
  <x:si>
    <x:t>6799</x:t>
  </x:si>
  <x:si>
    <x:t>TALENTUM SERVICIOS PROMOCIONALES, S.L.</x:t>
  </x:si>
  <x:si>
    <x:t>25239316</x:t>
  </x:si>
  <x:si>
    <x:t>METRO DE MADRID, S.A.</x:t>
  </x:si>
  <x:si>
    <x:t>Diseño personalizado, producción y suministro de diversos regalos para su entrega en las actividades realizadas por Metro de Madrid S.A para promover la imagen de marca de la compañía.</x:t>
  </x:si>
  <x:si>
    <x:t>6012500222</x:t>
  </x:si>
  <x:si>
    <x:t>Formalizado</x:t>
  </x:si>
  <x:si>
    <x:t>LOTE 2 AYESA IBERMÁTICA,SAU</x:t>
  </x:si>
  <x:si>
    <x:t>25239475</x:t>
  </x:si>
  <x:si>
    <x:t>AYUNTAMIENTO DE MADRID. DISTRITO DE CHAMARTÍN</x:t>
  </x:si>
  <x:si>
    <x:t>Contrato para la prestación del servicio de actividades culturales y de ocio en el Distrito de Chamartín (3 lotes). Lote 1: Programacion en centros culturales y espacios abiertos. Lote 2: Simultanea internacional de ajedrez y ajedrez en en los parques. Lote 3: Actividades conmemorativas, puntuales o extraordinarias.</x:t>
  </x:si>
  <x:si>
    <x:t>300/2025/00928</x:t>
  </x:si>
  <x:si>
    <x:t>ROMUALDO MANUEL FAURA BERNABÉ</x:t>
  </x:si>
  <x:si>
    <x:t>25239688</x:t>
  </x:si>
  <x:si>
    <x:t>ÁREA DE GOBIERNO DE VICEALCALDÍA, PORTAVOZ, SEGURIDAD Y EMERGENCIAS DEL AYUNTAMIENTO DE MADRID</x:t>
  </x:si>
  <x:si>
    <x:t>Programación navideña 25/26 del Distrito de Tetuán</x:t>
  </x:si>
  <x:si>
    <x:t>145/2023/00612.2.68</x:t>
  </x:si>
  <x:si>
    <x:t>UTE GESEIN – SOLUTIA SDA 25/2022</x:t>
  </x:si>
  <x:si>
    <x:t>25239738</x:t>
  </x:si>
  <x:si>
    <x:t>MINISTERIO DE HACIENDA. D.G. DE RACIONALIZACIÓN Y CENTRALIZACIÓN DE LA CONTRATACIÓN</x:t>
  </x:si>
  <x:si>
    <x:t>Adquisición De Licencias Y Creación De Flujos De Trabajo Para La Gestión Del Soporte A Usuarios De Aplicaciones Con Destino A La Intervención General De La Administración Del Estado. (Oficina De Informática Presupuestaria (O.I.P.))</x:t>
  </x:si>
  <x:si>
    <x:t>CEA5620/2025</x:t>
  </x:si>
  <x:si>
    <x:t>INETUM ESPAÑA, S.A.</x:t>
  </x:si>
  <x:si>
    <x:t>25239767</x:t>
  </x:si>
  <x:si>
    <x:t>Suministro De Licencias Software De Gestión De Base De Datos De Propósito General Para El Ministerio De Industria Y Turismo (Subdirección General Tecnologías De La Información Y Las Comunicaciones. Mincotu)</x:t>
  </x:si>
  <x:si>
    <x:t>CEA5558/2025</x:t>
  </x:si>
  <x:si>
    <x:t>Adjudicación</x:t>
  </x:si>
  <x:si>
    <x:t>INICIATIVAS DE MEDIOS, S.A</x:t>
  </x:si>
  <x:si>
    <x:t>25239823</x:t>
  </x:si>
  <x:si>
    <x:t>ENDESA S.A</x:t>
  </x:si>
  <x:si>
    <x:t>Servicio agencia de medios</x:t>
  </x:si>
  <x:si>
    <x:t>No consta</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</x:si>
</x:sst>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HYPERLINK("https://www.infonalia.es/adjudicaciones1225/25238544.pdf","www.infonalia.es/adjudicaciones1225/25238544.pdf")</x:f>
        <x:v>www.infonalia.es/adjudicaciones1225/25238544.pdf</x:v>
      </x:c>
      <x:c r="E2" s="8" t="s">
        <x:v>14</x:v>
      </x:c>
      <x:c r="F2" s="6" t="s">
        <x:v>15</x:v>
      </x:c>
      <x:c r="G2" s="6" t="s">
        <x:v>16</x:v>
      </x:c>
      <x:c r="H2" s="6" t="s">
        <x:v>17</x:v>
      </x:c>
      <x:c r="I2" s="6" t="s">
        <x:v>18</x:v>
      </x:c>
      <x:c r="J2" s="9" t="s">
        <x:v>19</x:v>
      </x:c>
      <x:c r="K2" s="9" t="n">
        <x:v>23966.94</x:v>
      </x:c>
    </x:row>
    <x:row r="3">
      <x:c r="A3" s="6" t="s">
        <x:v>11</x:v>
      </x:c>
      <x:c r="B3" s="6" t="s">
        <x:v>20</x:v>
      </x:c>
      <x:c r="C3" s="6" t="s">
        <x:v>13</x:v>
      </x:c>
      <x:c r="D3" s="7" t="str">
        <x:f xml:space="preserve">HYPERLINK("https://www.infonalia.es/adjudicaciones1225/25238743.pdf","www.infonalia.es/adjudicaciones1225/25238743.pdf")</x:f>
        <x:v>www.infonalia.es/adjudicaciones1225/25238743.pdf</x:v>
      </x:c>
      <x:c r="E3" s="8" t="s">
        <x:v>21</x:v>
      </x:c>
      <x:c r="F3" s="6" t="s">
        <x:v>22</x:v>
      </x:c>
      <x:c r="G3" s="6" t="s">
        <x:v>23</x:v>
      </x:c>
      <x:c r="H3" s="6" t="s">
        <x:v>24</x:v>
      </x:c>
      <x:c r="I3" s="6" t="s">
        <x:v>18</x:v>
      </x:c>
      <x:c r="J3" s="9" t="s">
        <x:v>19</x:v>
      </x:c>
      <x:c r="K3" s="9" t="n">
        <x:v>16900.00</x:v>
      </x:c>
    </x:row>
    <x:row r="4">
      <x:c r="A4" s="6" t="s">
        <x:v>11</x:v>
      </x:c>
      <x:c r="B4" s="6" t="s">
        <x:v>25</x:v>
      </x:c>
      <x:c r="C4" s="6" t="s">
        <x:v>13</x:v>
      </x:c>
      <x:c r="D4" s="7" t="str">
        <x:f xml:space="preserve">HYPERLINK("https://www.infonalia.es/adjudicaciones1225/25238748.pdf","www.infonalia.es/adjudicaciones1225/25238748.pdf")</x:f>
        <x:v>www.infonalia.es/adjudicaciones1225/25238748.pdf</x:v>
      </x:c>
      <x:c r="E4" s="8" t="s">
        <x:v>26</x:v>
      </x:c>
      <x:c r="F4" s="6" t="s">
        <x:v>27</x:v>
      </x:c>
      <x:c r="G4" s="6" t="s">
        <x:v>28</x:v>
      </x:c>
      <x:c r="H4" s="6" t="s">
        <x:v>29</x:v>
      </x:c>
      <x:c r="I4" s="6" t="s">
        <x:v>30</x:v>
      </x:c>
      <x:c r="J4" s="9" t="s">
        <x:v>19</x:v>
      </x:c>
      <x:c r="K4" s="9" t="n">
        <x:v>121380.00</x:v>
      </x:c>
    </x:row>
    <x:row r="5">
      <x:c r="A5" s="6" t="s">
        <x:v>11</x:v>
      </x:c>
      <x:c r="B5" s="6" t="s">
        <x:v>31</x:v>
      </x:c>
      <x:c r="C5" s="6" t="s">
        <x:v>13</x:v>
      </x:c>
      <x:c r="D5" s="7" t="str">
        <x:f xml:space="preserve">HYPERLINK("https://www.infonalia.es/adjudicaciones1225/25238811.pdf","www.infonalia.es/adjudicaciones1225/25238811.pdf")</x:f>
        <x:v>www.infonalia.es/adjudicaciones1225/25238811.pdf</x:v>
      </x:c>
      <x:c r="E5" s="8" t="s">
        <x:v>32</x:v>
      </x:c>
      <x:c r="F5" s="6" t="s">
        <x:v>33</x:v>
      </x:c>
      <x:c r="G5" s="6" t="s">
        <x:v>34</x:v>
      </x:c>
      <x:c r="H5" s="6" t="s">
        <x:v>35</x:v>
      </x:c>
      <x:c r="I5" s="6" t="s">
        <x:v>36</x:v>
      </x:c>
      <x:c r="J5" s="9" t="n">
        <x:v>36363.63</x:v>
      </x:c>
      <x:c r="K5" s="9" t="n">
        <x:v>41322.31</x:v>
      </x:c>
    </x:row>
    <x:row r="6">
      <x:c r="A6" s="6" t="s">
        <x:v>11</x:v>
      </x:c>
      <x:c r="B6" s="6" t="s">
        <x:v>37</x:v>
      </x:c>
      <x:c r="C6" s="6" t="s">
        <x:v>13</x:v>
      </x:c>
      <x:c r="D6" s="7" t="str">
        <x:f xml:space="preserve">HYPERLINK("https://www.infonalia.es/adjudicaciones1225/25238881.pdf","www.infonalia.es/adjudicaciones1225/25238881.pdf")</x:f>
        <x:v>www.infonalia.es/adjudicaciones1225/25238881.pdf</x:v>
      </x:c>
      <x:c r="E6" s="8" t="s">
        <x:v>38</x:v>
      </x:c>
      <x:c r="F6" s="6" t="s">
        <x:v>39</x:v>
      </x:c>
      <x:c r="G6" s="6" t="s">
        <x:v>40</x:v>
      </x:c>
      <x:c r="H6" s="6" t="s">
        <x:v>41</x:v>
      </x:c>
      <x:c r="I6" s="6" t="s">
        <x:v>36</x:v>
      </x:c>
      <x:c r="J6" s="9" t="s">
        <x:v>19</x:v>
      </x:c>
      <x:c r="K6" s="9" t="n">
        <x:v>14879809.61</x:v>
      </x:c>
    </x:row>
    <x:row r="7">
      <x:c r="A7" s="6" t="s">
        <x:v>11</x:v>
      </x:c>
      <x:c r="B7" s="6" t="s">
        <x:v>42</x:v>
      </x:c>
      <x:c r="C7" s="6" t="s">
        <x:v>13</x:v>
      </x:c>
      <x:c r="D7" s="7" t="str">
        <x:f xml:space="preserve">HYPERLINK("https://www.infonalia.es/adjudicaciones1225/25238894.pdf","www.infonalia.es/adjudicaciones1225/25238894.pdf")</x:f>
        <x:v>www.infonalia.es/adjudicaciones1225/25238894.pdf</x:v>
      </x:c>
      <x:c r="E7" s="8" t="s">
        <x:v>43</x:v>
      </x:c>
      <x:c r="F7" s="6" t="s">
        <x:v>44</x:v>
      </x:c>
      <x:c r="G7" s="6" t="s">
        <x:v>45</x:v>
      </x:c>
      <x:c r="H7" s="6" t="s">
        <x:v>46</x:v>
      </x:c>
      <x:c r="I7" s="6" t="s">
        <x:v>36</x:v>
      </x:c>
      <x:c r="J7" s="9" t="n">
        <x:v>148420.00</x:v>
      </x:c>
      <x:c r="K7" s="9" t="n">
        <x:v>166000.00</x:v>
      </x:c>
    </x:row>
    <x:row r="8">
      <x:c r="A8" s="6" t="s">
        <x:v>11</x:v>
      </x:c>
      <x:c r="B8" s="6" t="s">
        <x:v>47</x:v>
      </x:c>
      <x:c r="C8" s="6" t="s">
        <x:v>13</x:v>
      </x:c>
      <x:c r="D8" s="7" t="str">
        <x:f xml:space="preserve">HYPERLINK("https://www.infonalia.es/adjudicaciones1225/25239085.pdf","www.infonalia.es/adjudicaciones1225/25239085.pdf")</x:f>
        <x:v>www.infonalia.es/adjudicaciones1225/25239085.pdf</x:v>
      </x:c>
      <x:c r="E8" s="8" t="s">
        <x:v>48</x:v>
      </x:c>
      <x:c r="F8" s="6" t="s">
        <x:v>49</x:v>
      </x:c>
      <x:c r="G8" s="6" t="s">
        <x:v>50</x:v>
      </x:c>
      <x:c r="H8" s="6" t="s">
        <x:v>51</x:v>
      </x:c>
      <x:c r="I8" s="6" t="s">
        <x:v>18</x:v>
      </x:c>
      <x:c r="J8" s="9" t="s">
        <x:v>19</x:v>
      </x:c>
      <x:c r="K8" s="9" t="n">
        <x:v>35002.49</x:v>
      </x:c>
    </x:row>
    <x:row r="9">
      <x:c r="A9" s="6" t="s">
        <x:v>11</x:v>
      </x:c>
      <x:c r="B9" s="6" t="s">
        <x:v>52</x:v>
      </x:c>
      <x:c r="C9" s="6" t="s">
        <x:v>13</x:v>
      </x:c>
      <x:c r="D9" s="7" t="str">
        <x:f xml:space="preserve">HYPERLINK("https://www.infonalia.es/adjudicaciones1225/25239086.pdf","www.infonalia.es/adjudicaciones1225/25239086.pdf")</x:f>
        <x:v>www.infonalia.es/adjudicaciones1225/25239086.pdf</x:v>
      </x:c>
      <x:c r="E9" s="8" t="s">
        <x:v>53</x:v>
      </x:c>
      <x:c r="F9" s="6" t="s">
        <x:v>54</x:v>
      </x:c>
      <x:c r="G9" s="6" t="s">
        <x:v>55</x:v>
      </x:c>
      <x:c r="H9" s="6" t="s">
        <x:v>56</x:v>
      </x:c>
      <x:c r="I9" s="6" t="s">
        <x:v>30</x:v>
      </x:c>
      <x:c r="J9" s="9" t="s">
        <x:v>19</x:v>
      </x:c>
      <x:c r="K9" s="9" t="n">
        <x:v>122000.00</x:v>
      </x:c>
    </x:row>
    <x:row r="10">
      <x:c r="A10" s="6" t="s">
        <x:v>11</x:v>
      </x:c>
      <x:c r="B10" s="6" t="s">
        <x:v>57</x:v>
      </x:c>
      <x:c r="C10" s="6" t="s">
        <x:v>13</x:v>
      </x:c>
      <x:c r="D10" s="7" t="str">
        <x:f xml:space="preserve">HYPERLINK("https://www.infonalia.es/adjudicaciones1225/25239177.pdf","www.infonalia.es/adjudicaciones1225/25239177.pdf")</x:f>
        <x:v>www.infonalia.es/adjudicaciones1225/25239177.pdf</x:v>
      </x:c>
      <x:c r="E10" s="8" t="s">
        <x:v>58</x:v>
      </x:c>
      <x:c r="F10" s="6" t="s">
        <x:v>59</x:v>
      </x:c>
      <x:c r="G10" s="6" t="s">
        <x:v>60</x:v>
      </x:c>
      <x:c r="H10" s="6" t="s">
        <x:v>61</x:v>
      </x:c>
      <x:c r="I10" s="6" t="s">
        <x:v>62</x:v>
      </x:c>
      <x:c r="J10" s="9" t="n">
        <x:v>96571.20</x:v>
      </x:c>
      <x:c r="K10" s="9" t="n">
        <x:v>105009.12</x:v>
      </x:c>
    </x:row>
    <x:row r="11">
      <x:c r="A11" s="6" t="s">
        <x:v>11</x:v>
      </x:c>
      <x:c r="B11" s="6" t="s">
        <x:v>63</x:v>
      </x:c>
      <x:c r="C11" s="6" t="s">
        <x:v>13</x:v>
      </x:c>
      <x:c r="D11" s="7" t="str">
        <x:f xml:space="preserve">HYPERLINK("https://www.infonalia.es/adjudicaciones1225/25239213.pdf","www.infonalia.es/adjudicaciones1225/25239213.pdf")</x:f>
        <x:v>www.infonalia.es/adjudicaciones1225/25239213.pdf</x:v>
      </x:c>
      <x:c r="E11" s="8" t="s">
        <x:v>64</x:v>
      </x:c>
      <x:c r="F11" s="6" t="s">
        <x:v>65</x:v>
      </x:c>
      <x:c r="G11" s="6" t="s">
        <x:v>66</x:v>
      </x:c>
      <x:c r="H11" s="6" t="s">
        <x:v>67</x:v>
      </x:c>
      <x:c r="I11" s="6" t="s">
        <x:v>36</x:v>
      </x:c>
      <x:c r="J11" s="9" t="n">
        <x:v>41314.05</x:v>
      </x:c>
      <x:c r="K11" s="9" t="n">
        <x:v>41322.31</x:v>
      </x:c>
    </x:row>
    <x:row r="12">
      <x:c r="A12" s="6" t="s">
        <x:v>11</x:v>
      </x:c>
      <x:c r="B12" s="6" t="s">
        <x:v>68</x:v>
      </x:c>
      <x:c r="C12" s="6" t="s">
        <x:v>13</x:v>
      </x:c>
      <x:c r="D12" s="7" t="str">
        <x:f xml:space="preserve">HYPERLINK("https://www.infonalia.es/adjudicaciones1225/25239316.pdf","www.infonalia.es/adjudicaciones1225/25239316.pdf")</x:f>
        <x:v>www.infonalia.es/adjudicaciones1225/25239316.pdf</x:v>
      </x:c>
      <x:c r="E12" s="8" t="s">
        <x:v>69</x:v>
      </x:c>
      <x:c r="F12" s="6" t="s">
        <x:v>70</x:v>
      </x:c>
      <x:c r="G12" s="6" t="s">
        <x:v>71</x:v>
      </x:c>
      <x:c r="H12" s="6" t="s">
        <x:v>72</x:v>
      </x:c>
      <x:c r="I12" s="6" t="s">
        <x:v>36</x:v>
      </x:c>
      <x:c r="J12" s="9" t="s">
        <x:v>19</x:v>
      </x:c>
      <x:c r="K12" s="9" t="n">
        <x:v>160000.00</x:v>
      </x:c>
    </x:row>
    <x:row r="13">
      <x:c r="A13" s="6" t="s">
        <x:v>73</x:v>
      </x:c>
      <x:c r="B13" s="6" t="s">
        <x:v>74</x:v>
      </x:c>
      <x:c r="C13" s="6" t="s">
        <x:v>13</x:v>
      </x:c>
      <x:c r="D13" s="7" t="str">
        <x:f xml:space="preserve">HYPERLINK("https://www.infonalia.es/adjudicaciones1225/25239475.pdf","www.infonalia.es/adjudicaciones1225/25239475.pdf")</x:f>
        <x:v>www.infonalia.es/adjudicaciones1225/25239475.pdf</x:v>
      </x:c>
      <x:c r="E13" s="8" t="s">
        <x:v>75</x:v>
      </x:c>
      <x:c r="F13" s="6" t="s">
        <x:v>76</x:v>
      </x:c>
      <x:c r="G13" s="6" t="s">
        <x:v>77</x:v>
      </x:c>
      <x:c r="H13" s="6" t="s">
        <x:v>78</x:v>
      </x:c>
      <x:c r="I13" s="6" t="s">
        <x:v>36</x:v>
      </x:c>
      <x:c r="J13" s="9" t="n">
        <x:v>578015.23</x:v>
      </x:c>
      <x:c r="K13" s="9" t="n">
        <x:v>722519.04</x:v>
      </x:c>
    </x:row>
    <x:row r="14">
      <x:c r="A14" s="6" t="s">
        <x:v>11</x:v>
      </x:c>
      <x:c r="B14" s="6" t="s">
        <x:v>79</x:v>
      </x:c>
      <x:c r="C14" s="6" t="s">
        <x:v>13</x:v>
      </x:c>
      <x:c r="D14" s="7" t="str">
        <x:f xml:space="preserve">HYPERLINK("https://www.infonalia.es/adjudicaciones1225/25239688.pdf","www.infonalia.es/adjudicaciones1225/25239688.pdf")</x:f>
        <x:v>www.infonalia.es/adjudicaciones1225/25239688.pdf</x:v>
      </x:c>
      <x:c r="E14" s="8" t="s">
        <x:v>80</x:v>
      </x:c>
      <x:c r="F14" s="6" t="s">
        <x:v>81</x:v>
      </x:c>
      <x:c r="G14" s="6" t="s">
        <x:v>82</x:v>
      </x:c>
      <x:c r="H14" s="6" t="s">
        <x:v>83</x:v>
      </x:c>
      <x:c r="I14" s="6" t="s">
        <x:v>36</x:v>
      </x:c>
      <x:c r="J14" s="9" t="n">
        <x:v>1095.60</x:v>
      </x:c>
      <x:c r="K14" s="9" t="n">
        <x:v>1095.60</x:v>
      </x:c>
    </x:row>
    <x:row r="15">
      <x:c r="A15" s="6" t="s">
        <x:v>11</x:v>
      </x:c>
      <x:c r="B15" s="6" t="s">
        <x:v>84</x:v>
      </x:c>
      <x:c r="C15" s="6" t="s">
        <x:v>13</x:v>
      </x:c>
      <x:c r="D15" s="7" t="str">
        <x:f xml:space="preserve">HYPERLINK("https://www.infonalia.es/adjudicaciones1225/25239738.pdf","www.infonalia.es/adjudicaciones1225/25239738.pdf")</x:f>
        <x:v>www.infonalia.es/adjudicaciones1225/25239738.pdf</x:v>
      </x:c>
      <x:c r="E15" s="8" t="s">
        <x:v>85</x:v>
      </x:c>
      <x:c r="F15" s="6" t="s">
        <x:v>86</x:v>
      </x:c>
      <x:c r="G15" s="6" t="s">
        <x:v>87</x:v>
      </x:c>
      <x:c r="H15" s="6" t="s">
        <x:v>88</x:v>
      </x:c>
      <x:c r="I15" s="6" t="s">
        <x:v>36</x:v>
      </x:c>
      <x:c r="J15" s="9" t="n">
        <x:v>177000.00</x:v>
      </x:c>
      <x:c r="K15" s="9" t="n">
        <x:v>188540.00</x:v>
      </x:c>
    </x:row>
    <x:row r="16">
      <x:c r="A16" s="6" t="s">
        <x:v>11</x:v>
      </x:c>
      <x:c r="B16" s="6" t="s">
        <x:v>89</x:v>
      </x:c>
      <x:c r="C16" s="6" t="s">
        <x:v>13</x:v>
      </x:c>
      <x:c r="D16" s="7" t="str">
        <x:f xml:space="preserve">HYPERLINK("https://www.infonalia.es/adjudicaciones1225/25239767.pdf","www.infonalia.es/adjudicaciones1225/25239767.pdf")</x:f>
        <x:v>www.infonalia.es/adjudicaciones1225/25239767.pdf</x:v>
      </x:c>
      <x:c r="E16" s="8" t="s">
        <x:v>90</x:v>
      </x:c>
      <x:c r="F16" s="6" t="s">
        <x:v>86</x:v>
      </x:c>
      <x:c r="G16" s="6" t="s">
        <x:v>91</x:v>
      </x:c>
      <x:c r="H16" s="6" t="s">
        <x:v>92</x:v>
      </x:c>
      <x:c r="I16" s="6" t="s">
        <x:v>36</x:v>
      </x:c>
      <x:c r="J16" s="9" t="n">
        <x:v>184130.00</x:v>
      </x:c>
      <x:c r="K16" s="9" t="n">
        <x:v>198500.00</x:v>
      </x:c>
    </x:row>
    <x:row r="17">
      <x:c r="A17" s="6" t="s">
        <x:v>93</x:v>
      </x:c>
      <x:c r="B17" s="6" t="s">
        <x:v>94</x:v>
      </x:c>
      <x:c r="C17" s="6" t="s">
        <x:v>13</x:v>
      </x:c>
      <x:c r="D17" s="7" t="str">
        <x:f xml:space="preserve">HYPERLINK("https://www.infonalia.es/adjudicaciones1225/25239823.pdf","www.infonalia.es/adjudicaciones1225/25239823.pdf")</x:f>
        <x:v>www.infonalia.es/adjudicaciones1225/25239823.pdf</x:v>
      </x:c>
      <x:c r="E17" s="8" t="s">
        <x:v>95</x:v>
      </x:c>
      <x:c r="F17" s="6" t="s">
        <x:v>96</x:v>
      </x:c>
      <x:c r="G17" s="6" t="s">
        <x:v>97</x:v>
      </x:c>
      <x:c r="H17" s="6" t="s">
        <x:v>98</x:v>
      </x:c>
      <x:c r="I17" s="6" t="s">
        <x:v>36</x:v>
      </x:c>
      <x:c r="J17" s="9" t="n">
        <x:v>62329685.90</x:v>
      </x:c>
      <x:c r="K17" s="9" t="s">
        <x:v>19</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