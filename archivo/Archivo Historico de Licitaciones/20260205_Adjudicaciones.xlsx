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<x:sst xmlns:x="http://schemas.openxmlformats.org/spreadsheetml/2006/main" count="11" uniqueCount="11">
  <x:si>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</x:si>
  <x:si>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</x:si>
  <x:si>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</x:si>
  <x:si>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</x:si>
  <x:si>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</x:si>
  <x:si>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</x:si>
  <x:si>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</x:si>
  <x:si>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</x:si>
  <x:si>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</x:si>
  <x:si>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</x:si>
  <x:si>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</x:si>
  <x:si>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</x:si>
  <x:si>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LOTE 1 MADRID PRODUCE SCENICS AND DESIGNS S.L ; LOTE 2 MADRID PRODUCE SCENICS AND DESIGNS S.L </x:t>
  </x:si>
  <x:si>
    <x:t>05/02/2026 0:00:00</x:t>
  </x:si>
  <x:si>
    <x:t>26017442</x:t>
  </x:si>
  <x:si>
    <x:t>MADRID DESTINO CULTURA TURISMO Y NEGOCIO, S.A</x:t>
  </x:si>
  <x:si>
    <x:t>Servicios de refuerzo de coordinación de infraestructuras y logística del montaje, desarrollo y desmontaje (Lote 1) y refuerzo de coordinación de producción y organización (Lote 2) con motivo de la actividad cultural III Festival Internacional de Luz de Madrid</x:t>
  </x:si>
  <x:si>
    <x:t>PR25-0231.2 / PR25-0231.3</x:t>
  </x:si>
  <x:si>
    <x:t>Madrid</x:t>
  </x:si>
  <x:si>
    <x:t>Ver detalle de la adjudicación</x:t>
  </x:si>
  <x:si>
    <x:t>SIBILARE, S.L</x:t>
  </x:si>
  <x:si>
    <x:t>26017455</x:t>
  </x:si>
  <x:si>
    <x:t>AGÈNCIA PER A LA COMPETITIVITAT DE L'EMPRESA, ACCIÓ</x:t>
  </x:si>
  <x:si>
    <x:t>Servicios de soporte especializado para el Gabinete Técnico</x:t>
  </x:si>
  <x:si>
    <x:t>ACCIO-2026-22</x:t>
  </x:si>
  <x:si>
    <x:t>Barcelona</x:t>
  </x:si>
  <x:si>
    <x:t>LOTE 3  CULTPROJECT COMUNICACION S.L; LOTE 4 LA TRINCHERA Y COMUNICACION EVENTOS S.L</x:t>
  </x:si>
  <x:si>
    <x:t>26017487</x:t>
  </x:si>
  <x:si>
    <x:t>MADRID CULTURA Y TURISMO, S.A.U</x:t>
  </x:si>
  <x:si>
    <x:t>Servicios Agencia de Comunicación 2025</x:t>
  </x:si>
  <x:si>
    <x:t>4/2025 CM</x:t>
  </x:si>
  <x:si>
    <x:t>LOTE 1 TRANSFERÈNCIA DE RECURSOS AVANÇATS I NOUS SERVEIS, S.L. MEXCAT INNOVATION IN LEARNING SL; LOTE 2 RTM FORMACIÓN Y CALIDAD SL,TRANSFERÈNCIA DE RECURSOS AVANÇATS I NOUS SERVEIS, S.L., IMAGINA DIGITAL SOLUTIONS, SL </x:t>
  </x:si>
  <x:si>
    <x:t>26017544</x:t>
  </x:si>
  <x:si>
    <x:t>FUNDACIÓ PER A LA UNIVERSITAT OBERTA DE CATALUNYA</x:t>
  </x:si>
  <x:si>
    <x:t>Servicio especializado en la producción de materiales formativos online a medida, capaz de llevar a cabo de forma autónoma, integrada y paralela las diferentes fases del proceso: diseño instruccional, creación de contenidos, desarrollo multimedia y técnico, siguiendo el modelo pedagógico de la UOC y garantizando la calidad y la eficiencia en la ejecución[Lote 1 Virtualización integral de un proyecto formativo para el entorno digital - Lote 2 Generación de productos específicos: tipos infografía interactiva, videotutoriales vídeos dinámicos.]</x:t>
  </x:si>
  <x:si>
    <x:t>OSE00023/2025</x:t>
  </x:si>
  <x:si>
    <x:t>Catalunya</x:t>
  </x:si>
  <x:si>
    <x:t>ÁGORA RED STUDIO</x:t>
  </x:si>
  <x:si>
    <x:t>26017661</x:t>
  </x:si>
  <x:si>
    <x:t>JUNTA DE CONTRATACIÓN DEL MINISTERIO DE EDUCACIÓN, FORMACIÓN PROFESIONAL Y DEPORTES</x:t>
  </x:si>
  <x:si>
    <x:t>Servicios necesarios para la participación del Ministerio de Educación, Formación Profesional y Deportes en la Semana de la Educación, Feria Aula 2026</x:t>
  </x:si>
  <x:si>
    <x:t>J250026S</x:t>
  </x:si>
  <x:si>
    <x:t>CLICKSOUND SL</x:t>
  </x:si>
  <x:si>
    <x:t>26017689</x:t>
  </x:si>
  <x:si>
    <x:t>INSTITUT D'ESTUDIS ESPACIALS DE CATALUNYA</x:t>
  </x:si>
  <x:si>
    <x:t>El contrato tiene por objeto los servicios de grabación, montaje y edición de vídeos sobre los actos y eventos organizados por el IEEC en Cataluña, así como sobre los proyectos, servicios, actos, eventos e iniciativas en los que el Instituto tiene una participación destacada</x:t>
  </x:si>
  <x:si>
    <x:t>IEEC/45/2025</x:t>
  </x:si>
  <x:si>
    <x:t>PRODUCCIONES MIC S.L</x:t>
  </x:si>
  <x:si>
    <x:t>26017708</x:t>
  </x:si>
  <x:si>
    <x:t>LA FARGA, GESTIÓ D'EQUIPAMENTS MUNICIPALS DE L'HOSPITALET DE LLOBREGAT, SA</x:t>
  </x:si>
  <x:si>
    <x:t>Contratación del servicio de edición, impresión, manipulación y entrega de la publicación municipal Diario de L'Hospitalet de Llobregat gestionados por La Farga, GEM,S.A</x:t>
  </x:si>
  <x:si>
    <x:t>X2025000241</x:t>
  </x:si>
  <x:si>
    <x:t>BEIJING SHI DAI YI FENG INFORMATION TECHNOLOGY CO., LTD</x:t>
  </x:si>
  <x:si>
    <x:t>26017715</x:t>
  </x:si>
  <x:si>
    <x:t>PRESIDENCIA Y DIRECCIÓN DE ADMINISTRACIÓN Y FINANZAS DE LA DE LA SOCIEDAD MERCANTIL ESTATAL PARA LA GESTIÓN DE LA INNOVACIÓN Y LAS TECNOLOGÍAS TURÍSTICAS, S.A.M.P. (SEGITTUR)</x:t>
  </x:si>
  <x:si>
    <x:t>Servicios de hosting y apoyo al mantenimiento del portal oficial de promoción turística de España específico para el mercado chino en China Continental para SEGITTUR. Las necesidades a satisfacer se especifican con mayor detalle en el “PLIEGO DE PRESCRIPCIONES TÉCNICAS UE RIGEN LA CONTRATACIÓN"</x:t>
  </x:si>
  <x:si>
    <x:t>412025</x:t>
  </x:si>
  <x:si>
    <x:t>ATERA STUDIO SL</x:t>
  </x:si>
  <x:si>
    <x:t>26017748</x:t>
  </x:si>
  <x:si>
    <x:t>MINISTERIO DE TRANSPORTES Y MOVILIDAD SOSTENIBLE. PRESIDENCIA DEL CONSEJO DE ADMINISTRACIÓN DE LA AUTORIDAD PORTUARIA DE BARCELONA (PORT DE BARCELONA)</x:t>
  </x:si>
  <x:si>
    <x:t>Diseño, construcción, montaje y desmontaje y transporte de materiales del estand del Port de Barcelona en la feria de la Fruit Logística 2026</x:t>
  </x:si>
  <x:si>
    <x:t>2025-00430</x:t>
  </x:si>
  <x:si>
    <x:t>TACTICS EUROPE SA</x:t>
  </x:si>
  <x:si>
    <x:t>26017794</x:t>
  </x:si>
  <x:si>
    <x:t>JUNTA DE ANDALUCÍA. AGENCIA EMPRESARIAL PARA LA TRANSFORMACIÓN Y EL DESARROLLO ECONÓMICO</x:t>
  </x:si>
  <x:si>
    <x:t>Servicio de planificación y compra de medios (tv) para una campaña en India</x:t>
  </x:si>
  <x:si>
    <x:t>CONTR 2025 0000243351</x:t>
  </x:si>
  <x:si>
    <x:t>India</x:t>
  </x:si>
  <x:si>
    <x:t>DATAPLANNING ESPAÑA, S.L</x:t>
  </x:si>
  <x:si>
    <x:t>26017801</x:t>
  </x:si>
  <x:si>
    <x:t>FERROCARRILS DE LA GENERALITAT DE CATALUNYA</x:t>
  </x:si>
  <x:si>
    <x:t>Servicios para la inserción de publicidad multimedia en los medios de comunicación para la difusión de información de los equipamientos turísticos gestionados por la división turística de Ferrocarriles de la Generalidad de Cataluña (Ref: POS126/25)</x:t>
  </x:si>
  <x:si>
    <x:t>CONTR/2025/0000000765</x:t>
  </x:si>
  <x:si>
    <x:t>TELECYL S.A</x:t>
  </x:si>
  <x:si>
    <x:t>26017802</x:t>
  </x:si>
  <x:si>
    <x:t>DIRECCIÓN GENERAL DE RENFE VIAJEROS SOCIEDAD MERCANTIL ESTATAL, S.A.</x:t>
  </x:si>
  <x:si>
    <x:t>Servicio de artes finales y prototipos de distintos folletos y campañas de la dirección de cercanías de Madrid.</x:t>
  </x:si>
  <x:si>
    <x:t>2025-03438</x:t>
  </x:si>
  <x:si>
    <x:t>INTERVENTO 2 S.L</x:t>
  </x:si>
  <x:si>
    <x:t>26017853</x:t>
  </x:si>
  <x:si>
    <x:t>MINISTERIO DE CULTURA. DIRECCIÓN DEL MUSEO NACIONAL DEL PRADO</x:t>
  </x:si>
  <x:si>
    <x:t>Servicio de montaje y desmontaje de la exposición "El Prado del siglo XXI"</x:t>
  </x:si>
  <x:si>
    <x:t>25CA0360</x:t>
  </x:si>
  <x:si>
    <x:t>ARTES VIVAS CULTURA S.L</x:t>
  </x:si>
  <x:si>
    <x:t>26017931</x:t>
  </x:si>
  <x:si>
    <x:t>Servicio de comisariado, diseño y contratación de la programación de la Actividad Cultural "Carnaval de Madrid 2026", a prestar para la sociedad mercantil municipal Madrid Destino Cultura Turismo y Negocio S.A. a adjudicar mediante procedimiento negociado sin publicidad</x:t>
  </x:si>
  <x:si>
    <x:t>PR25-0373.2</x:t>
  </x:si>
  <x:si>
    <x:t>TARAREATE SL</x:t>
  </x:si>
  <x:si>
    <x:t>26018011</x:t>
  </x:si>
  <x:si>
    <x:t>ALCALDÍA DEL AYUNTAMIENTO DE AVILÉS (ASTURIAS)</x:t>
  </x:si>
  <x:si>
    <x:t>El patrocinio por parte del Ayuntamiento de Avilés de la actuación de la artista "Amaral" en el Pabellón de La Magdalena</x:t>
  </x:si>
  <x:si>
    <x:t>AYT/14170/2025</x:t>
  </x:si>
  <x:si>
    <x:t>Asturias</x:t>
  </x:si>
  <x:si>
    <x:t>LUIS CARLOS MOLINA CUEVAS</x:t>
  </x:si>
  <x:si>
    <x:t>26018042</x:t>
  </x:si>
  <x:si>
    <x:t>Contratación de los servicios de fotografía artística escénica de la programación del Fernán Gómez. Centro Cultural de la Villa</x:t>
  </x:si>
  <x:si>
    <x:t>SP25-00671</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</x:si>
</x:sst>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HYPERLINK("https://www.infonalia.es/adjudicaciones0226/26017442.pdf","www.infonalia.es/adjudicaciones0226/26017442.pdf")</x:f>
        <x:v>www.infonalia.es/adjudicaciones0226/26017442.pdf</x:v>
      </x:c>
      <x:c r="E2" s="8" t="s">
        <x:v>14</x:v>
      </x:c>
      <x:c r="F2" s="6" t="s">
        <x:v>15</x:v>
      </x:c>
      <x:c r="G2" s="6" t="s">
        <x:v>16</x:v>
      </x:c>
      <x:c r="H2" s="6" t="s">
        <x:v>17</x:v>
      </x:c>
      <x:c r="I2" s="6" t="s">
        <x:v>18</x:v>
      </x:c>
      <x:c r="J2" s="9" t="s">
        <x:v>19</x:v>
      </x:c>
      <x:c r="K2" s="9" t="n">
        <x:v>112575.51</x:v>
      </x:c>
    </x:row>
    <x:row r="3">
      <x:c r="A3" s="6" t="s">
        <x:v>11</x:v>
      </x:c>
      <x:c r="B3" s="6" t="s">
        <x:v>20</x:v>
      </x:c>
      <x:c r="C3" s="6" t="s">
        <x:v>13</x:v>
      </x:c>
      <x:c r="D3" s="7" t="str">
        <x:f xml:space="preserve">HYPERLINK("https://www.infonalia.es/adjudicaciones0226/26017455.pdf","www.infonalia.es/adjudicaciones0226/26017455.pdf")</x:f>
        <x:v>www.infonalia.es/adjudicaciones0226/26017455.pdf</x:v>
      </x:c>
      <x:c r="E3" s="8" t="s">
        <x:v>21</x:v>
      </x:c>
      <x:c r="F3" s="6" t="s">
        <x:v>22</x:v>
      </x:c>
      <x:c r="G3" s="6" t="s">
        <x:v>23</x:v>
      </x:c>
      <x:c r="H3" s="6" t="s">
        <x:v>24</x:v>
      </x:c>
      <x:c r="I3" s="6" t="s">
        <x:v>25</x:v>
      </x:c>
      <x:c r="J3" s="9" t="n">
        <x:v>50000.00</x:v>
      </x:c>
      <x:c r="K3" s="9" t="n">
        <x:v>53761.79</x:v>
      </x:c>
    </x:row>
    <x:row r="4">
      <x:c r="A4" s="6" t="s">
        <x:v>11</x:v>
      </x:c>
      <x:c r="B4" s="6" t="s">
        <x:v>26</x:v>
      </x:c>
      <x:c r="C4" s="6" t="s">
        <x:v>13</x:v>
      </x:c>
      <x:c r="D4" s="7" t="str">
        <x:f xml:space="preserve">HYPERLINK("https://www.infonalia.es/adjudicaciones0226/26017487.pdf","www.infonalia.es/adjudicaciones0226/26017487.pdf")</x:f>
        <x:v>www.infonalia.es/adjudicaciones0226/26017487.pdf</x:v>
      </x:c>
      <x:c r="E4" s="8" t="s">
        <x:v>27</x:v>
      </x:c>
      <x:c r="F4" s="6" t="s">
        <x:v>28</x:v>
      </x:c>
      <x:c r="G4" s="6" t="s">
        <x:v>29</x:v>
      </x:c>
      <x:c r="H4" s="6" t="s">
        <x:v>30</x:v>
      </x:c>
      <x:c r="I4" s="6" t="s">
        <x:v>18</x:v>
      </x:c>
      <x:c r="J4" s="9" t="s">
        <x:v>19</x:v>
      </x:c>
      <x:c r="K4" s="9" t="n">
        <x:v>675268.60</x:v>
      </x:c>
    </x:row>
    <x:row r="5">
      <x:c r="A5" s="6" t="s">
        <x:v>11</x:v>
      </x:c>
      <x:c r="B5" s="6" t="s">
        <x:v>31</x:v>
      </x:c>
      <x:c r="C5" s="6" t="s">
        <x:v>13</x:v>
      </x:c>
      <x:c r="D5" s="7" t="str">
        <x:f xml:space="preserve">HYPERLINK("https://www.infonalia.es/adjudicaciones0226/26017544.pdf","www.infonalia.es/adjudicaciones0226/26017544.pdf")</x:f>
        <x:v>www.infonalia.es/adjudicaciones0226/26017544.pdf</x:v>
      </x:c>
      <x:c r="E5" s="8" t="s">
        <x:v>32</x:v>
      </x:c>
      <x:c r="F5" s="6" t="s">
        <x:v>33</x:v>
      </x:c>
      <x:c r="G5" s="6" t="s">
        <x:v>34</x:v>
      </x:c>
      <x:c r="H5" s="6" t="s">
        <x:v>35</x:v>
      </x:c>
      <x:c r="I5" s="6" t="s">
        <x:v>36</x:v>
      </x:c>
      <x:c r="J5" s="9" t="s">
        <x:v>19</x:v>
      </x:c>
      <x:c r="K5" s="9" t="n">
        <x:v>49999.00</x:v>
      </x:c>
    </x:row>
    <x:row r="6">
      <x:c r="A6" s="6" t="s">
        <x:v>11</x:v>
      </x:c>
      <x:c r="B6" s="6" t="s">
        <x:v>37</x:v>
      </x:c>
      <x:c r="C6" s="6" t="s">
        <x:v>13</x:v>
      </x:c>
      <x:c r="D6" s="7" t="str">
        <x:f xml:space="preserve">HYPERLINK("https://www.infonalia.es/adjudicaciones0226/26017661.pdf","www.infonalia.es/adjudicaciones0226/26017661.pdf")</x:f>
        <x:v>www.infonalia.es/adjudicaciones0226/26017661.pdf</x:v>
      </x:c>
      <x:c r="E6" s="8" t="s">
        <x:v>38</x:v>
      </x:c>
      <x:c r="F6" s="6" t="s">
        <x:v>39</x:v>
      </x:c>
      <x:c r="G6" s="6" t="s">
        <x:v>40</x:v>
      </x:c>
      <x:c r="H6" s="6" t="s">
        <x:v>41</x:v>
      </x:c>
      <x:c r="I6" s="6" t="s">
        <x:v>18</x:v>
      </x:c>
      <x:c r="J6" s="9" t="n">
        <x:v>120200.00</x:v>
      </x:c>
      <x:c r="K6" s="9" t="n">
        <x:v>142371.78</x:v>
      </x:c>
    </x:row>
    <x:row r="7">
      <x:c r="A7" s="6" t="s">
        <x:v>11</x:v>
      </x:c>
      <x:c r="B7" s="6" t="s">
        <x:v>42</x:v>
      </x:c>
      <x:c r="C7" s="6" t="s">
        <x:v>13</x:v>
      </x:c>
      <x:c r="D7" s="7" t="str">
        <x:f xml:space="preserve">HYPERLINK("https://www.infonalia.es/adjudicaciones0226/26017689.pdf","www.infonalia.es/adjudicaciones0226/26017689.pdf")</x:f>
        <x:v>www.infonalia.es/adjudicaciones0226/26017689.pdf</x:v>
      </x:c>
      <x:c r="E7" s="8" t="s">
        <x:v>43</x:v>
      </x:c>
      <x:c r="F7" s="6" t="s">
        <x:v>44</x:v>
      </x:c>
      <x:c r="G7" s="6" t="s">
        <x:v>45</x:v>
      </x:c>
      <x:c r="H7" s="6" t="s">
        <x:v>46</x:v>
      </x:c>
      <x:c r="I7" s="6" t="s">
        <x:v>36</x:v>
      </x:c>
      <x:c r="J7" s="9" t="n">
        <x:v>20887.50</x:v>
      </x:c>
      <x:c r="K7" s="9" t="n">
        <x:v>27850.00</x:v>
      </x:c>
    </x:row>
    <x:row r="8">
      <x:c r="A8" s="6" t="s">
        <x:v>11</x:v>
      </x:c>
      <x:c r="B8" s="6" t="s">
        <x:v>47</x:v>
      </x:c>
      <x:c r="C8" s="6" t="s">
        <x:v>13</x:v>
      </x:c>
      <x:c r="D8" s="7" t="str">
        <x:f xml:space="preserve">HYPERLINK("https://www.infonalia.es/adjudicaciones0226/26017708.pdf","www.infonalia.es/adjudicaciones0226/26017708.pdf")</x:f>
        <x:v>www.infonalia.es/adjudicaciones0226/26017708.pdf</x:v>
      </x:c>
      <x:c r="E8" s="8" t="s">
        <x:v>48</x:v>
      </x:c>
      <x:c r="F8" s="6" t="s">
        <x:v>49</x:v>
      </x:c>
      <x:c r="G8" s="6" t="s">
        <x:v>50</x:v>
      </x:c>
      <x:c r="H8" s="6" t="s">
        <x:v>51</x:v>
      </x:c>
      <x:c r="I8" s="6" t="s">
        <x:v>25</x:v>
      </x:c>
      <x:c r="J8" s="9" t="n">
        <x:v>290134.00</x:v>
      </x:c>
      <x:c r="K8" s="9" t="n">
        <x:v>290134.00</x:v>
      </x:c>
    </x:row>
    <x:row r="9">
      <x:c r="A9" s="6" t="s">
        <x:v>11</x:v>
      </x:c>
      <x:c r="B9" s="6" t="s">
        <x:v>52</x:v>
      </x:c>
      <x:c r="C9" s="6" t="s">
        <x:v>13</x:v>
      </x:c>
      <x:c r="D9" s="7" t="str">
        <x:f xml:space="preserve">HYPERLINK("https://www.infonalia.es/adjudicaciones0226/26017715.pdf","www.infonalia.es/adjudicaciones0226/26017715.pdf")</x:f>
        <x:v>www.infonalia.es/adjudicaciones0226/26017715.pdf</x:v>
      </x:c>
      <x:c r="E9" s="8" t="s">
        <x:v>53</x:v>
      </x:c>
      <x:c r="F9" s="6" t="s">
        <x:v>54</x:v>
      </x:c>
      <x:c r="G9" s="6" t="s">
        <x:v>55</x:v>
      </x:c>
      <x:c r="H9" s="6" t="s">
        <x:v>56</x:v>
      </x:c>
      <x:c r="I9" s="6" t="s">
        <x:v>18</x:v>
      </x:c>
      <x:c r="J9" s="9" t="n">
        <x:v>25788.00</x:v>
      </x:c>
      <x:c r="K9" s="9" t="n">
        <x:v>35800.00</x:v>
      </x:c>
    </x:row>
    <x:row r="10">
      <x:c r="A10" s="6" t="s">
        <x:v>11</x:v>
      </x:c>
      <x:c r="B10" s="6" t="s">
        <x:v>57</x:v>
      </x:c>
      <x:c r="C10" s="6" t="s">
        <x:v>13</x:v>
      </x:c>
      <x:c r="D10" s="7" t="str">
        <x:f xml:space="preserve">HYPERLINK("https://www.infonalia.es/adjudicaciones0226/26017748.pdf","www.infonalia.es/adjudicaciones0226/26017748.pdf")</x:f>
        <x:v>www.infonalia.es/adjudicaciones0226/26017748.pdf</x:v>
      </x:c>
      <x:c r="E10" s="8" t="s">
        <x:v>58</x:v>
      </x:c>
      <x:c r="F10" s="6" t="s">
        <x:v>59</x:v>
      </x:c>
      <x:c r="G10" s="6" t="s">
        <x:v>60</x:v>
      </x:c>
      <x:c r="H10" s="6" t="s">
        <x:v>61</x:v>
      </x:c>
      <x:c r="I10" s="6" t="s">
        <x:v>25</x:v>
      </x:c>
      <x:c r="J10" s="9" t="n">
        <x:v>31940.00</x:v>
      </x:c>
      <x:c r="K10" s="9" t="n">
        <x:v>33000.00</x:v>
      </x:c>
    </x:row>
    <x:row r="11">
      <x:c r="A11" s="6" t="s">
        <x:v>11</x:v>
      </x:c>
      <x:c r="B11" s="6" t="s">
        <x:v>62</x:v>
      </x:c>
      <x:c r="C11" s="6" t="s">
        <x:v>13</x:v>
      </x:c>
      <x:c r="D11" s="7" t="str">
        <x:f xml:space="preserve">HYPERLINK("https://www.infonalia.es/adjudicaciones0226/26017794.pdf","www.infonalia.es/adjudicaciones0226/26017794.pdf")</x:f>
        <x:v>www.infonalia.es/adjudicaciones0226/26017794.pdf</x:v>
      </x:c>
      <x:c r="E11" s="8" t="s">
        <x:v>63</x:v>
      </x:c>
      <x:c r="F11" s="6" t="s">
        <x:v>64</x:v>
      </x:c>
      <x:c r="G11" s="6" t="s">
        <x:v>65</x:v>
      </x:c>
      <x:c r="H11" s="6" t="s">
        <x:v>66</x:v>
      </x:c>
      <x:c r="I11" s="6" t="s">
        <x:v>67</x:v>
      </x:c>
      <x:c r="J11" s="9" t="n">
        <x:v>325882.50</x:v>
      </x:c>
      <x:c r="K11" s="9" t="n">
        <x:v>372492.00</x:v>
      </x:c>
    </x:row>
    <x:row r="12">
      <x:c r="A12" s="6" t="s">
        <x:v>11</x:v>
      </x:c>
      <x:c r="B12" s="6" t="s">
        <x:v>68</x:v>
      </x:c>
      <x:c r="C12" s="6" t="s">
        <x:v>13</x:v>
      </x:c>
      <x:c r="D12" s="7" t="str">
        <x:f xml:space="preserve">HYPERLINK("https://www.infonalia.es/adjudicaciones0226/26017801.pdf","www.infonalia.es/adjudicaciones0226/26017801.pdf")</x:f>
        <x:v>www.infonalia.es/adjudicaciones0226/26017801.pdf</x:v>
      </x:c>
      <x:c r="E12" s="8" t="s">
        <x:v>69</x:v>
      </x:c>
      <x:c r="F12" s="6" t="s">
        <x:v>70</x:v>
      </x:c>
      <x:c r="G12" s="6" t="s">
        <x:v>71</x:v>
      </x:c>
      <x:c r="H12" s="6" t="s">
        <x:v>72</x:v>
      </x:c>
      <x:c r="I12" s="6" t="s">
        <x:v>36</x:v>
      </x:c>
      <x:c r="J12" s="9" t="n">
        <x:v>99246.08</x:v>
      </x:c>
      <x:c r="K12" s="9" t="n">
        <x:v>99246.08</x:v>
      </x:c>
    </x:row>
    <x:row r="13">
      <x:c r="A13" s="6" t="s">
        <x:v>11</x:v>
      </x:c>
      <x:c r="B13" s="6" t="s">
        <x:v>73</x:v>
      </x:c>
      <x:c r="C13" s="6" t="s">
        <x:v>13</x:v>
      </x:c>
      <x:c r="D13" s="7" t="str">
        <x:f xml:space="preserve">HYPERLINK("https://www.infonalia.es/adjudicaciones0226/26017802.pdf","www.infonalia.es/adjudicaciones0226/26017802.pdf")</x:f>
        <x:v>www.infonalia.es/adjudicaciones0226/26017802.pdf</x:v>
      </x:c>
      <x:c r="E13" s="8" t="s">
        <x:v>74</x:v>
      </x:c>
      <x:c r="F13" s="6" t="s">
        <x:v>75</x:v>
      </x:c>
      <x:c r="G13" s="6" t="s">
        <x:v>76</x:v>
      </x:c>
      <x:c r="H13" s="6" t="s">
        <x:v>77</x:v>
      </x:c>
      <x:c r="I13" s="6" t="s">
        <x:v>18</x:v>
      </x:c>
      <x:c r="J13" s="9" t="n">
        <x:v>43200.00</x:v>
      </x:c>
      <x:c r="K13" s="9" t="n">
        <x:v>80000.00</x:v>
      </x:c>
    </x:row>
    <x:row r="14">
      <x:c r="A14" s="6" t="s">
        <x:v>11</x:v>
      </x:c>
      <x:c r="B14" s="6" t="s">
        <x:v>78</x:v>
      </x:c>
      <x:c r="C14" s="6" t="s">
        <x:v>13</x:v>
      </x:c>
      <x:c r="D14" s="7" t="str">
        <x:f xml:space="preserve">HYPERLINK("https://www.infonalia.es/adjudicaciones0226/26017853.pdf","www.infonalia.es/adjudicaciones0226/26017853.pdf")</x:f>
        <x:v>www.infonalia.es/adjudicaciones0226/26017853.pdf</x:v>
      </x:c>
      <x:c r="E14" s="8" t="s">
        <x:v>79</x:v>
      </x:c>
      <x:c r="F14" s="6" t="s">
        <x:v>80</x:v>
      </x:c>
      <x:c r="G14" s="6" t="s">
        <x:v>81</x:v>
      </x:c>
      <x:c r="H14" s="6" t="s">
        <x:v>82</x:v>
      </x:c>
      <x:c r="I14" s="6" t="s">
        <x:v>18</x:v>
      </x:c>
      <x:c r="J14" s="9" t="n">
        <x:v>175302.43</x:v>
      </x:c>
      <x:c r="K14" s="9" t="n">
        <x:v>180000.00</x:v>
      </x:c>
    </x:row>
    <x:row r="15">
      <x:c r="A15" s="6" t="s">
        <x:v>11</x:v>
      </x:c>
      <x:c r="B15" s="6" t="s">
        <x:v>83</x:v>
      </x:c>
      <x:c r="C15" s="6" t="s">
        <x:v>13</x:v>
      </x:c>
      <x:c r="D15" s="7" t="str">
        <x:f xml:space="preserve">HYPERLINK("https://www.infonalia.es/adjudicaciones0226/26017931.pdf","www.infonalia.es/adjudicaciones0226/26017931.pdf")</x:f>
        <x:v>www.infonalia.es/adjudicaciones0226/26017931.pdf</x:v>
      </x:c>
      <x:c r="E15" s="8" t="s">
        <x:v>84</x:v>
      </x:c>
      <x:c r="F15" s="6" t="s">
        <x:v>15</x:v>
      </x:c>
      <x:c r="G15" s="6" t="s">
        <x:v>85</x:v>
      </x:c>
      <x:c r="H15" s="6" t="s">
        <x:v>86</x:v>
      </x:c>
      <x:c r="I15" s="6" t="s">
        <x:v>18</x:v>
      </x:c>
      <x:c r="J15" s="9" t="n">
        <x:v>97350.00</x:v>
      </x:c>
      <x:c r="K15" s="9" t="n">
        <x:v>97350.00</x:v>
      </x:c>
    </x:row>
    <x:row r="16">
      <x:c r="A16" s="6" t="s">
        <x:v>11</x:v>
      </x:c>
      <x:c r="B16" s="6" t="s">
        <x:v>87</x:v>
      </x:c>
      <x:c r="C16" s="6" t="s">
        <x:v>13</x:v>
      </x:c>
      <x:c r="D16" s="7" t="str">
        <x:f xml:space="preserve">HYPERLINK("https://www.infonalia.es/adjudicaciones0226/26018011.pdf","www.infonalia.es/adjudicaciones0226/26018011.pdf")</x:f>
        <x:v>www.infonalia.es/adjudicaciones0226/26018011.pdf</x:v>
      </x:c>
      <x:c r="E16" s="8" t="s">
        <x:v>88</x:v>
      </x:c>
      <x:c r="F16" s="6" t="s">
        <x:v>89</x:v>
      </x:c>
      <x:c r="G16" s="6" t="s">
        <x:v>90</x:v>
      </x:c>
      <x:c r="H16" s="6" t="s">
        <x:v>91</x:v>
      </x:c>
      <x:c r="I16" s="6" t="s">
        <x:v>92</x:v>
      </x:c>
      <x:c r="J16" s="9" t="n">
        <x:v>12396.69</x:v>
      </x:c>
      <x:c r="K16" s="9" t="n">
        <x:v>12396.69</x:v>
      </x:c>
    </x:row>
    <x:row r="17">
      <x:c r="A17" s="6" t="s">
        <x:v>11</x:v>
      </x:c>
      <x:c r="B17" s="6" t="s">
        <x:v>93</x:v>
      </x:c>
      <x:c r="C17" s="6" t="s">
        <x:v>13</x:v>
      </x:c>
      <x:c r="D17" s="7" t="str">
        <x:f xml:space="preserve">HYPERLINK("https://www.infonalia.es/adjudicaciones0226/26018042.pdf","www.infonalia.es/adjudicaciones0226/26018042.pdf")</x:f>
        <x:v>www.infonalia.es/adjudicaciones0226/26018042.pdf</x:v>
      </x:c>
      <x:c r="E17" s="8" t="s">
        <x:v>94</x:v>
      </x:c>
      <x:c r="F17" s="6" t="s">
        <x:v>15</x:v>
      </x:c>
      <x:c r="G17" s="6" t="s">
        <x:v>95</x:v>
      </x:c>
      <x:c r="H17" s="6" t="s">
        <x:v>96</x:v>
      </x:c>
      <x:c r="I17" s="6" t="s">
        <x:v>18</x:v>
      </x:c>
      <x:c r="J17" s="9" t="n">
        <x:v>14000.00</x:v>
      </x:c>
      <x:c r="K17" s="9" t="n">
        <x:v>14000.00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