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<x:sst xmlns:x="http://schemas.openxmlformats.org/spreadsheetml/2006/main" count="17" uniqueCount="17">
  <x:si>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</x:si>
  <x:si>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</x:si>
  <x:si>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</x:si>
  <x:si>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</x:si>
  <x:si>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</x:si>
  <x:si>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</x:si>
  <x:si>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</x:si>
  <x:si>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</x:si>
  <x:si>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</x:si>
  <x:si>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</x:si>
  <x:si>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</x:si>
  <x:si>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</x:si>
  <x:si>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</x:si>
  <x:si>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</x:si>
  <x:si>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</x:si>
  <x:si>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</x:si>
  <x:si>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</x:si>
  <x:si>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</x:si>
  <x:si>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</x:si>
  <x:si>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31/12/2025</x:t>
  </x:si>
  <x:si>
    <x:t>2025178278</x:t>
  </x:si>
  <x:si>
    <x:t>17/12/2025</x:t>
  </x:si>
  <x:si>
    <x:t>ALCALDÍA DEL AYUNTAMIENTO DE BADAJOZ</x:t>
  </x:si>
  <x:si>
    <x:t>Contratación de un servicio para la elaboración y ejecución de un plan de medios para la comunicación, promoción, publicidad y difusión de “Turismo Badajoz en FITUR 2026”</x:t>
  </x:si>
  <x:si>
    <x:t>2124/2025</x:t>
  </x:si>
  <x:si>
    <x:t>Importe sin impuestos</x:t>
  </x:si>
  <x:si>
    <x:t/>
  </x:si>
  <x:si>
    <x:t>-----</x:t>
  </x:si>
  <x:si>
    <x:t>16/12/2025</x:t>
  </x:si>
  <x:si>
    <x:t/>
  </x:si>
  <x:si>
    <x:t>Madrid</x:t>
  </x:si>
  <x:si>
    <x:t>2025178349</x:t>
  </x:si>
  <x:si>
    <x:t>PRESIDENCIA DE LA MANCOMUNIDAD DE SERVICIOS DEL VALLE NORTE DEL LOZOYA</x:t>
  </x:si>
  <x:si>
    <x:t>Servicios de diseño, desarrollo, ejecución, puesta en marcha y entrega de la herramienta web y de la aplicación (APP) Red Carpetania para la visualización y gestión de rutas en el destino Sierra Norte de Madrid</x:t>
  </x:si>
  <x:si>
    <x:t>14/2025 APP RED CARPETANIA (244/2025)</x:t>
  </x:si>
  <x:si>
    <x:t/>
  </x:si>
  <x:si>
    <x:t>09/01/2026</x:t>
  </x:si>
  <x:si>
    <x:t>2025178357</x:t>
  </x:si>
  <x:si>
    <x:t>RECTOR DE LA UNIVERSIDAD CARLOS III DE MADRID</x:t>
  </x:si>
  <x:si>
    <x:t>Servicio de campañas de publicidad de la oferta de grados (Lote 1) y formación permanente (Lote 2) de la Universidad Carlos III de Madrid.</x:t>
  </x:si>
  <x:si>
    <x:t>2025/0010007</x:t>
  </x:si>
  <x:si>
    <x:t/>
  </x:si>
  <x:si>
    <x:t>29/12/2025</x:t>
  </x:si>
  <x:si>
    <x:t>2025178392</x:t>
  </x:si>
  <x:si>
    <x:t>AYUNTAMIENTO DE GRANOLLERS (BARCELONA)</x:t>
  </x:si>
  <x:si>
    <x:t>El servicio de producción de recursos digitales vinculados al proyecto de rehabilitación y valorización de las murallas medievales de Granollers con el fin de mejorar la experiencia de la visita al patrimonio de las murallas de la ciudad de Granollers y potenciar el itinerario turístico y cultural y el suministro del equipo técnico necesario. Lote 1: Producción de los recursos digitales de interpretación y difusión del proyecto. Lote 2: equipamiento técnico.</x:t>
  </x:si>
  <x:si>
    <x:t>2025/114 (116/2025/CONT)</x:t>
  </x:si>
  <x:si>
    <x:t/>
  </x:si>
  <x:si>
    <x:t>Barcelona</x:t>
  </x:si>
  <x:si>
    <x:t>30/12/2025</x:t>
  </x:si>
  <x:si>
    <x:t>2025178418</x:t>
  </x:si>
  <x:si>
    <x:t>DIRECCIÓN DE COMPRAS DE LA CORPORACIÓN DE RADIO Y TELEVISIÓN ESPAÑOLA S.A</x:t>
  </x:si>
  <x:si>
    <x:t>Renovación de licencias para automatización en la continuidad de Torrespaña</x:t>
  </x:si>
  <x:si>
    <x:t>S-05709-2025</x:t>
  </x:si>
  <x:si>
    <x:t/>
  </x:si>
  <x:si>
    <x:t>15/06/2026</x:t>
  </x:si>
  <x:si>
    <x:t>2025178440</x:t>
  </x:si>
  <x:si>
    <x:t>INSTITUTO DE TURISMO DE ESPAÑA (TURESPAÑA)</x:t>
  </x:si>
  <x:si>
    <x:t>Concesión de obra, para la redacción del proyecto y dirección facultativa, construcción y explotación del Palacio de Congresos y Exposiciones de Madrid</x:t>
  </x:si>
  <x:si>
    <x:t>030025I00014</x:t>
  </x:si>
  <x:si>
    <x:t/>
  </x:si>
  <x:si>
    <x:t>15/01/2026</x:t>
  </x:si>
  <x:si>
    <x:t>2025178477</x:t>
  </x:si>
  <x:si>
    <x:t>METRO DE MADRID, S.A</x:t>
  </x:si>
  <x:si>
    <x:t>Servicio para la contratación de una herramienta de gestión de las redes sociales para Metro de Madrid</x:t>
  </x:si>
  <x:si>
    <x:t>6012500372</x:t>
  </x:si>
  <x:si>
    <x:t/>
  </x:si>
  <x:si>
    <x:t>19/12/2025</x:t>
  </x:si>
  <x:si>
    <x:t>2025178510</x:t>
  </x:si>
  <x:si>
    <x:t>INSTITUTO CANARIO DE CALIDAD AGROALIMENTARIA - ICCA</x:t>
  </x:si>
  <x:si>
    <x:t>Participación del Instituto Canario de Calidad Agroalimentaria en la feria Barcelona Wine Week 2026, que se celebrará en laInstitución Ferial Fira Barcelona durante los días 2 al 4 de febrero de 2026</x:t>
  </x:si>
  <x:si>
    <x:t>SER/2025/0000157364</x:t>
  </x:si>
  <x:si>
    <x:t/>
  </x:si>
  <x:si>
    <x:t>2025178619</x:t>
  </x:si>
  <x:si>
    <x:t>AGÈNCIA CATALANA DEL PATRIMONI CULTURAL</x:t>
  </x:si>
  <x:si>
    <x:t>El objeto del presente contrato es la gestión integral del Espai Moja, situado en la planta baja del Palau Moja de Barcelona, y su mantenimiento. Asimismo incluye la actualización de sus contenidos con la producción de una nueva experiencia de realidad virtual por el espacio "Cápsulas del tiempo" y un nuevo vídeo inmersivo por el espacio "El espejo de los mil reflejos"</x:t>
  </x:si>
  <x:si>
    <x:t>ACPC-2026-6</x:t>
  </x:si>
  <x:si>
    <x:t/>
  </x:si>
  <x:si>
    <x:t>Asturias - Plataforma de Contratación</x:t>
  </x:si>
  <x:si>
    <x:t>2025178675</x:t>
  </x:si>
  <x:si>
    <x:t>PRINCIPADO DE ASTURIAS. CONSEJERÍA DE PRESIDENCIA, RETO DEMOGRÁFICO, IGUALDAD Y TURISMO</x:t>
  </x:si>
  <x:si>
    <x:t>Servicio de marketing digital para la promoción de contenidos informativos de interés público en
redes sociales, por parte de una agencia especializada, que gestionará y optimizará la promoción de contenidos con información de interés público, en los perfiles oficiales del Gobierno de Asturias, en
las plataformas digitales de Meta (Facebook e Instagram) y en Tiktok.</x:t>
  </x:si>
  <x:si>
    <x:t>CONP/2025/12460</x:t>
  </x:si>
  <x:si>
    <x:t>IVA excluido</x:t>
  </x:si>
  <x:si>
    <x:t/>
  </x:si>
  <x:si>
    <x:t/>
  </x:si>
  <x:si>
    <x:t>Asturias</x:t>
  </x:si>
  <x:si>
    <x:t>23/12/2025</x:t>
  </x:si>
  <x:si>
    <x:t>2025178728</x:t>
  </x:si>
  <x:si>
    <x:t>Segmento espacial - Cabalgata Reyes 2026</x:t>
  </x:si>
  <x:si>
    <x:t>S-05032-2025</x:t>
  </x:si>
  <x:si>
    <x:t/>
  </x:si>
  <x:si>
    <x:t>02/01/2026</x:t>
  </x:si>
  <x:si>
    <x:t>2025178805</x:t>
  </x:si>
  <x:si>
    <x:t>FERROCARRILS DE LA GENERALITAT DE CATALUNYA</x:t>
  </x:si>
  <x:si>
    <x:t>Servicios para la inserción de publicidad multimedia en los medios de comunicación para la difusión de información de los equipamientos turísticos gestionados por la división turística de Ferrocarriles de la Generalidad de Cataluña (Ref: POS126/25)</x:t>
  </x:si>
  <x:si>
    <x:t>CONTR/2025/0000000765</x:t>
  </x:si>
  <x:si>
    <x:t/>
  </x:si>
  <x:si>
    <x:t>Catalunya</x:t>
  </x:si>
  <x:si>
    <x:t>01/01/2026</x:t>
  </x:si>
  <x:si>
    <x:t>2025178905</x:t>
  </x:si>
  <x:si>
    <x:t>GERENCIA DE LA FUNDACIÓN UNIVERSIDAD OVIEDO</x:t>
  </x:si>
  <x:si>
    <x:t>El objeto del contrato es la contratación del servicio para el diseño de la distribución y el equipamiento necesario para la realización del 23 Foro de Empleo de la Universidad de Oviedo, así como su montaje, mantenimiento y desmontaje</x:t>
  </x:si>
  <x:si>
    <x:t>FUO-03-2025</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</x:si>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</x:sst>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20658.40</x:v>
      </x:c>
      <x:c r="J2" s="11" t="s">
        <x:v>25</x:v>
      </x:c>
      <x:c r="K2" s="11" t="s">
        <x:v>26</x:v>
      </x:c>
      <x:c r="L2" s="12" t="str">
        <x:f xml:space="preserve">HYPERLINK("https://contrataciondelestado.es/wps/poc?uri=deeplink:detalle_licitacion&amp;idEvl=T1PgQgKEx5GFQ%2FlhRK79lA%3D%3D","contrataciondelestado.es/wps/poc?uri=deeplink:detalle_licitacion&amp;idEvl=T1PgQgKEx5GFQ%2FlhRK79lA%3D%3D")</x:f>
        <x:v>contrataciondelestado.es/wps/poc?uri=deeplink:detalle_licitacion&amp;idEvl=T1PgQgKEx5GFQ%2FlhRK79lA%3D%3D</x:v>
      </x:c>
      <x:c r="M2" s="11" t="s">
        <x:v>27</x:v>
      </x:c>
      <x:c r="N2" s="13" t="s">
        <x:v>28</x:v>
      </x:c>
      <x:c r="O2" s="11" t="s">
        <x:v>29</x:v>
      </x:c>
      <x:c r="P2" s="11" t="s">
        <x:v>30</x:v>
      </x:c>
      <x:c r="Q2" s="14" t="str">
        <x:f xml:space="preserve">HYPERLINK("https://www.infonalia.es/licitaciones1225/2025178278.pdf","www.infonalia.es/licitaciones1225/2025178278.pdf")</x:f>
        <x:v>www.infonalia.es/licitaciones1225/2025178278.pdf</x:v>
      </x:c>
    </x:row>
    <x:row r="3">
      <x:c r="A3" s="6" t="s">
        <x:v>17</x:v>
      </x:c>
      <x:c r="B3" s="6" t="s">
        <x:v>18</x:v>
      </x:c>
      <x:c r="C3" s="7" t="s">
        <x:v>19</x:v>
      </x:c>
      <x:c r="D3" s="8" t="s">
        <x:v>31</x:v>
      </x:c>
      <x:c r="E3" s="9" t="s">
        <x:v>21</x:v>
      </x:c>
      <x:c r="F3" s="6" t="s">
        <x:v>32</x:v>
      </x:c>
      <x:c r="G3" s="6" t="s">
        <x:v>33</x:v>
      </x:c>
      <x:c r="H3" s="6" t="s">
        <x:v>34</x:v>
      </x:c>
      <x:c r="I3" s="10" t="n">
        <x:v>66100.00</x:v>
      </x:c>
      <x:c r="J3" s="11" t="s">
        <x:v>25</x:v>
      </x:c>
      <x:c r="K3" s="11" t="s">
        <x:v>26</x:v>
      </x:c>
      <x:c r="L3" s="12" t="str">
        <x:f xml:space="preserve">HYPERLINK("https://contrataciondelestado.es/wps/poc?uri=deeplink:detalle_licitacion&amp;idEvl=TPcFuPltVK5q1DdmE7eaXg%3D%3D","contrataciondelestado.es/wps/poc?uri=deeplink:detalle_licitacion&amp;idEvl=TPcFuPltVK5q1DdmE7eaXg%3D%3D")</x:f>
        <x:v>contrataciondelestado.es/wps/poc?uri=deeplink:detalle_licitacion&amp;idEvl=TPcFuPltVK5q1DdmE7eaXg%3D%3D</x:v>
      </x:c>
      <x:c r="M3" s="11" t="s">
        <x:v>27</x:v>
      </x:c>
      <x:c r="N3" s="13" t="s">
        <x:v>28</x:v>
      </x:c>
      <x:c r="O3" s="11" t="s">
        <x:v>35</x:v>
      </x:c>
      <x:c r="P3" s="11" t="s">
        <x:v>30</x:v>
      </x:c>
      <x:c r="Q3" s="14" t="str">
        <x:f xml:space="preserve">HYPERLINK("https://www.infonalia.es/licitaciones1225/2025178349.pdf","www.infonalia.es/licitaciones1225/2025178349.pdf")</x:f>
        <x:v>www.infonalia.es/licitaciones1225/2025178349.pdf</x:v>
      </x:c>
    </x:row>
    <x:row r="4">
      <x:c r="A4" s="6" t="s">
        <x:v>17</x:v>
      </x:c>
      <x:c r="B4" s="6" t="s">
        <x:v>18</x:v>
      </x:c>
      <x:c r="C4" s="7" t="s">
        <x:v>36</x:v>
      </x:c>
      <x:c r="D4" s="8" t="s">
        <x:v>37</x:v>
      </x:c>
      <x:c r="E4" s="9" t="s">
        <x:v>21</x:v>
      </x:c>
      <x:c r="F4" s="6" t="s">
        <x:v>38</x:v>
      </x:c>
      <x:c r="G4" s="6" t="s">
        <x:v>39</x:v>
      </x:c>
      <x:c r="H4" s="6" t="s">
        <x:v>40</x:v>
      </x:c>
      <x:c r="I4" s="10" t="n">
        <x:v>58240.00</x:v>
      </x:c>
      <x:c r="J4" s="11" t="s">
        <x:v>25</x:v>
      </x:c>
      <x:c r="K4" s="11" t="s">
        <x:v>26</x:v>
      </x:c>
      <x:c r="L4" s="12" t="str">
        <x:f xml:space="preserve">HYPERLINK("https://contrataciondelestado.es/wps/poc?uri=deeplink:detalle_licitacion&amp;idEvl=48p%2FXC3IAY4kJPJS%2BPS9vg%3D%3D","contrataciondelestado.es/wps/poc?uri=deeplink:detalle_licitacion&amp;idEvl=48p%2FXC3IAY4kJPJS%2BPS9vg%3D%3D")</x:f>
        <x:v>contrataciondelestado.es/wps/poc?uri=deeplink:detalle_licitacion&amp;idEvl=48p%2FXC3IAY4kJPJS%2BPS9vg%3D%3D</x:v>
      </x:c>
      <x:c r="M4" s="11" t="s">
        <x:v>27</x:v>
      </x:c>
      <x:c r="N4" s="13" t="s">
        <x:v>28</x:v>
      </x:c>
      <x:c r="O4" s="11" t="s">
        <x:v>41</x:v>
      </x:c>
      <x:c r="P4" s="11" t="s">
        <x:v>30</x:v>
      </x:c>
      <x:c r="Q4" s="14" t="str">
        <x:f xml:space="preserve">HYPERLINK("https://www.infonalia.es/licitaciones1225/2025178357.pdf","www.infonalia.es/licitaciones1225/2025178357.pdf")</x:f>
        <x:v>www.infonalia.es/licitaciones1225/2025178357.pdf</x:v>
      </x:c>
    </x:row>
    <x:row r="5">
      <x:c r="A5" s="6" t="s">
        <x:v>17</x:v>
      </x:c>
      <x:c r="B5" s="6" t="s">
        <x:v>18</x:v>
      </x:c>
      <x:c r="C5" s="7" t="s">
        <x:v>42</x:v>
      </x:c>
      <x:c r="D5" s="8" t="s">
        <x:v>43</x:v>
      </x:c>
      <x:c r="E5" s="9" t="s">
        <x:v>21</x:v>
      </x:c>
      <x:c r="F5" s="6" t="s">
        <x:v>44</x:v>
      </x:c>
      <x:c r="G5" s="6" t="s">
        <x:v>45</x:v>
      </x:c>
      <x:c r="H5" s="6" t="s">
        <x:v>46</x:v>
      </x:c>
      <x:c r="I5" s="10" t="n">
        <x:v>34600.00</x:v>
      </x:c>
      <x:c r="J5" s="11" t="s">
        <x:v>25</x:v>
      </x:c>
      <x:c r="K5" s="11" t="s">
        <x:v>26</x:v>
      </x:c>
      <x:c r="L5" s="12" t="str">
        <x:f xml:space="preserve">HYPERLINK("https://contractaciopublica.cat/ca/detall-publicacio/e61401ce-d323-4218-9cf4-bf85a3969d7c/300646560","contractaciopublica.cat/ca/detall-publicacio/e61401ce-d323-4218-9cf4-bf85a3969d7c/300646560")</x:f>
        <x:v>contractaciopublica.cat/ca/detall-publicacio/e61401ce-d323-4218-9cf4-bf85a3969d7c/300646560</x:v>
      </x:c>
      <x:c r="M5" s="11" t="s">
        <x:v>27</x:v>
      </x:c>
      <x:c r="N5" s="13" t="s">
        <x:v>28</x:v>
      </x:c>
      <x:c r="O5" s="11" t="s">
        <x:v>47</x:v>
      </x:c>
      <x:c r="P5" s="11" t="s">
        <x:v>48</x:v>
      </x:c>
      <x:c r="Q5" s="14" t="str">
        <x:f xml:space="preserve">HYPERLINK("https://www.infonalia.es/licitaciones1225/2025178392.pdf","www.infonalia.es/licitaciones1225/2025178392.pdf")</x:f>
        <x:v>www.infonalia.es/licitaciones1225/2025178392.pdf</x:v>
      </x:c>
    </x:row>
    <x:row r="6">
      <x:c r="A6" s="6" t="s">
        <x:v>17</x:v>
      </x:c>
      <x:c r="B6" s="6" t="s">
        <x:v>18</x:v>
      </x:c>
      <x:c r="C6" s="7" t="s">
        <x:v>49</x:v>
      </x:c>
      <x:c r="D6" s="8" t="s">
        <x:v>50</x:v>
      </x:c>
      <x:c r="E6" s="9" t="s">
        <x:v>21</x:v>
      </x:c>
      <x:c r="F6" s="6" t="s">
        <x:v>51</x:v>
      </x:c>
      <x:c r="G6" s="6" t="s">
        <x:v>52</x:v>
      </x:c>
      <x:c r="H6" s="6" t="s">
        <x:v>53</x:v>
      </x:c>
      <x:c r="I6" s="10" t="n">
        <x:v>20000.00</x:v>
      </x:c>
      <x:c r="J6" s="11" t="s">
        <x:v>25</x:v>
      </x:c>
      <x:c r="K6" s="11" t="s">
        <x:v>26</x:v>
      </x:c>
      <x:c r="L6" s="12" t="str">
        <x:f xml:space="preserve">HYPERLINK("https://contrataciondelestado.es/wps/poc?uri=deeplink:detalle_licitacion&amp;idEvl=YM8Gxbl1Hq9eKgd8LfVV9g%3D%3D","contrataciondelestado.es/wps/poc?uri=deeplink:detalle_licitacion&amp;idEvl=YM8Gxbl1Hq9eKgd8LfVV9g%3D%3D")</x:f>
        <x:v>contrataciondelestado.es/wps/poc?uri=deeplink:detalle_licitacion&amp;idEvl=YM8Gxbl1Hq9eKgd8LfVV9g%3D%3D</x:v>
      </x:c>
      <x:c r="M6" s="11" t="s">
        <x:v>27</x:v>
      </x:c>
      <x:c r="N6" s="13" t="s">
        <x:v>28</x:v>
      </x:c>
      <x:c r="O6" s="11" t="s">
        <x:v>54</x:v>
      </x:c>
      <x:c r="P6" s="11" t="s">
        <x:v>30</x:v>
      </x:c>
      <x:c r="Q6" s="14" t="str">
        <x:f xml:space="preserve">HYPERLINK("https://www.infonalia.es/licitaciones1225/2025178418.pdf","www.infonalia.es/licitaciones1225/2025178418.pdf")</x:f>
        <x:v>www.infonalia.es/licitaciones1225/2025178418.pdf</x:v>
      </x:c>
    </x:row>
    <x:row r="7">
      <x:c r="A7" s="6" t="s">
        <x:v>17</x:v>
      </x:c>
      <x:c r="B7" s="6" t="s">
        <x:v>18</x:v>
      </x:c>
      <x:c r="C7" s="7" t="s">
        <x:v>55</x:v>
      </x:c>
      <x:c r="D7" s="8" t="s">
        <x:v>56</x:v>
      </x:c>
      <x:c r="E7" s="9" t="s">
        <x:v>21</x:v>
      </x:c>
      <x:c r="F7" s="6" t="s">
        <x:v>57</x:v>
      </x:c>
      <x:c r="G7" s="6" t="s">
        <x:v>58</x:v>
      </x:c>
      <x:c r="H7" s="6" t="s">
        <x:v>59</x:v>
      </x:c>
      <x:c r="I7" s="10" t="n">
        <x:v>1279250000.00</x:v>
      </x:c>
      <x:c r="J7" s="11" t="s">
        <x:v>25</x:v>
      </x:c>
      <x:c r="K7" s="11" t="s">
        <x:v>26</x:v>
      </x:c>
      <x:c r="L7" s="12" t="str">
        <x:f xml:space="preserve">HYPERLINK("https://contrataciondelestado.es/wps/poc?uri=deeplink:detalle_licitacion&amp;idEvl=kDfB%2BMR9NFk%2Bk2oCbDosIw%3D%3D","contrataciondelestado.es/wps/poc?uri=deeplink:detalle_licitacion&amp;idEvl=kDfB%2BMR9NFk%2Bk2oCbDosIw%3D%3D")</x:f>
        <x:v>contrataciondelestado.es/wps/poc?uri=deeplink:detalle_licitacion&amp;idEvl=kDfB%2BMR9NFk%2Bk2oCbDosIw%3D%3D</x:v>
      </x:c>
      <x:c r="M7" s="11" t="s">
        <x:v>27</x:v>
      </x:c>
      <x:c r="N7" s="13" t="s">
        <x:v>28</x:v>
      </x:c>
      <x:c r="O7" s="11" t="s">
        <x:v>60</x:v>
      </x:c>
      <x:c r="P7" s="11" t="s">
        <x:v>30</x:v>
      </x:c>
      <x:c r="Q7" s="14" t="str">
        <x:f xml:space="preserve">HYPERLINK("https://www.infonalia.es/licitaciones1225/2025178440.pdf","www.infonalia.es/licitaciones1225/2025178440.pdf")</x:f>
        <x:v>www.infonalia.es/licitaciones1225/2025178440.pdf</x:v>
      </x:c>
    </x:row>
    <x:row r="8">
      <x:c r="A8" s="6" t="s">
        <x:v>17</x:v>
      </x:c>
      <x:c r="B8" s="6" t="s">
        <x:v>18</x:v>
      </x:c>
      <x:c r="C8" s="7" t="s">
        <x:v>61</x:v>
      </x:c>
      <x:c r="D8" s="8" t="s">
        <x:v>62</x:v>
      </x:c>
      <x:c r="E8" s="9" t="s">
        <x:v>21</x:v>
      </x:c>
      <x:c r="F8" s="6" t="s">
        <x:v>63</x:v>
      </x:c>
      <x:c r="G8" s="6" t="s">
        <x:v>64</x:v>
      </x:c>
      <x:c r="H8" s="6" t="s">
        <x:v>65</x:v>
      </x:c>
      <x:c r="I8" s="10" t="n">
        <x:v>84000.00</x:v>
      </x:c>
      <x:c r="J8" s="11" t="s">
        <x:v>25</x:v>
      </x:c>
      <x:c r="K8" s="11" t="s">
        <x:v>26</x:v>
      </x:c>
      <x:c r="L8" s="12" t="str">
        <x:f xml:space="preserve">HYPERLINK("https://contratos-publicos.comunidad.madrid/contrato-publico/servicio-contratacion-herramienta-gestion-redes-sociales-metro-madrid","contratos-publicos.comunidad.madrid/contrato-publico/servicio-contratacion-herramienta-gestion-redes-sociales-metro-madrid")</x:f>
        <x:v>contratos-publicos.comunidad.madrid/contrato-publico/servicio-contratacion-herramienta-gestion-redes-sociales-metro-madrid</x:v>
      </x:c>
      <x:c r="M8" s="11" t="s">
        <x:v>27</x:v>
      </x:c>
      <x:c r="N8" s="13" t="s">
        <x:v>28</x:v>
      </x:c>
      <x:c r="O8" s="11" t="s">
        <x:v>66</x:v>
      </x:c>
      <x:c r="P8" s="11" t="s">
        <x:v>30</x:v>
      </x:c>
      <x:c r="Q8" s="14" t="str">
        <x:f xml:space="preserve">HYPERLINK("https://www.infonalia.es/licitaciones1225/2025178477.pdf","www.infonalia.es/licitaciones1225/2025178477.pdf")</x:f>
        <x:v>www.infonalia.es/licitaciones1225/2025178477.pdf</x:v>
      </x:c>
    </x:row>
    <x:row r="9">
      <x:c r="A9" s="6" t="s">
        <x:v>17</x:v>
      </x:c>
      <x:c r="B9" s="6" t="s">
        <x:v>18</x:v>
      </x:c>
      <x:c r="C9" s="7" t="s">
        <x:v>67</x:v>
      </x:c>
      <x:c r="D9" s="8" t="s">
        <x:v>68</x:v>
      </x:c>
      <x:c r="E9" s="9" t="s">
        <x:v>21</x:v>
      </x:c>
      <x:c r="F9" s="6" t="s">
        <x:v>69</x:v>
      </x:c>
      <x:c r="G9" s="6" t="s">
        <x:v>70</x:v>
      </x:c>
      <x:c r="H9" s="6" t="s">
        <x:v>71</x:v>
      </x:c>
      <x:c r="I9" s="10" t="n">
        <x:v>89488.10</x:v>
      </x:c>
      <x:c r="J9" s="11" t="s">
        <x:v>25</x:v>
      </x:c>
      <x:c r="K9" s="11" t="s">
        <x:v>26</x:v>
      </x:c>
      <x:c r="L9" s="12" t="str">
        <x:f xml:space="preserve">HYPERLINK("https://contrataciondelestado.es/wps/poc?uri=deeplink:detalle_licitacion&amp;idEvl=uNpulbno3Sd9Zh%2FyRJgM8w%3D%3D","contrataciondelestado.es/wps/poc?uri=deeplink:detalle_licitacion&amp;idEvl=uNpulbno3Sd9Zh%2FyRJgM8w%3D%3D")</x:f>
        <x:v>contrataciondelestado.es/wps/poc?uri=deeplink:detalle_licitacion&amp;idEvl=uNpulbno3Sd9Zh%2FyRJgM8w%3D%3D</x:v>
      </x:c>
      <x:c r="M9" s="11" t="s">
        <x:v>27</x:v>
      </x:c>
      <x:c r="N9" s="13" t="s">
        <x:v>28</x:v>
      </x:c>
      <x:c r="O9" s="11" t="s">
        <x:v>72</x:v>
      </x:c>
      <x:c r="P9" s="11" t="s">
        <x:v>48</x:v>
      </x:c>
      <x:c r="Q9" s="14" t="str">
        <x:f xml:space="preserve">HYPERLINK("https://www.infonalia.es/licitaciones1225/2025178510.pdf","www.infonalia.es/licitaciones1225/2025178510.pdf")</x:f>
        <x:v>www.infonalia.es/licitaciones1225/2025178510.pdf</x:v>
      </x:c>
    </x:row>
    <x:row r="10">
      <x:c r="A10" s="6" t="s">
        <x:v>17</x:v>
      </x:c>
      <x:c r="B10" s="6" t="s">
        <x:v>18</x:v>
      </x:c>
      <x:c r="C10" s="7" t="s">
        <x:v>61</x:v>
      </x:c>
      <x:c r="D10" s="8" t="s">
        <x:v>73</x:v>
      </x:c>
      <x:c r="E10" s="9" t="s">
        <x:v>21</x:v>
      </x:c>
      <x:c r="F10" s="6" t="s">
        <x:v>74</x:v>
      </x:c>
      <x:c r="G10" s="6" t="s">
        <x:v>75</x:v>
      </x:c>
      <x:c r="H10" s="6" t="s">
        <x:v>76</x:v>
      </x:c>
      <x:c r="I10" s="10" t="n">
        <x:v>1558378.24</x:v>
      </x:c>
      <x:c r="J10" s="11" t="s">
        <x:v>25</x:v>
      </x:c>
      <x:c r="K10" s="11" t="s">
        <x:v>26</x:v>
      </x:c>
      <x:c r="L10" s="12" t="str">
        <x:f xml:space="preserve">HYPERLINK("https://contractaciopublica.cat/ca/detall-publicacio/bb754fc3-ef8a-473c-b2ed-57e4f3ef003c/300646359","contractaciopublica.cat/ca/detall-publicacio/bb754fc3-ef8a-473c-b2ed-57e4f3ef003c/300646359")</x:f>
        <x:v>contractaciopublica.cat/ca/detall-publicacio/bb754fc3-ef8a-473c-b2ed-57e4f3ef003c/300646359</x:v>
      </x:c>
      <x:c r="M10" s="11" t="s">
        <x:v>27</x:v>
      </x:c>
      <x:c r="N10" s="13" t="s">
        <x:v>28</x:v>
      </x:c>
      <x:c r="O10" s="11" t="s">
        <x:v>77</x:v>
      </x:c>
      <x:c r="P10" s="11" t="s">
        <x:v>48</x:v>
      </x:c>
      <x:c r="Q10" s="14" t="str">
        <x:f xml:space="preserve">HYPERLINK("https://www.infonalia.es/licitaciones1225/2025178619.pdf","www.infonalia.es/licitaciones1225/2025178619.pdf")</x:f>
        <x:v>www.infonalia.es/licitaciones1225/2025178619.pdf</x:v>
      </x:c>
    </x:row>
    <x:row r="11">
      <x:c r="A11" s="6" t="s">
        <x:v>17</x:v>
      </x:c>
      <x:c r="B11" s="6" t="s">
        <x:v>78</x:v>
      </x:c>
      <x:c r="C11" s="7" t="s">
        <x:v>67</x:v>
      </x:c>
      <x:c r="D11" s="8" t="s">
        <x:v>79</x:v>
      </x:c>
      <x:c r="E11" s="9" t="s">
        <x:v>21</x:v>
      </x:c>
      <x:c r="F11" s="6" t="s">
        <x:v>80</x:v>
      </x:c>
      <x:c r="G11" s="6" t="s">
        <x:v>81</x:v>
      </x:c>
      <x:c r="H11" s="6" t="s">
        <x:v>82</x:v>
      </x:c>
      <x:c r="I11" s="10" t="n">
        <x:v>9000.00</x:v>
      </x:c>
      <x:c r="J11" s="11" t="s">
        <x:v>83</x:v>
      </x:c>
      <x:c r="K11" s="11" t="s">
        <x:v>84</x:v>
      </x:c>
      <x:c r="L11" s="12" t="str">
        <x:f xml:space="preserve">HYPERLINK("https://miprincipado.asturias.es/perfil-contratante/ofertas-contratos-menores","miprincipado.asturias.es/perfil-contratante/ofertas-contratos-menores")</x:f>
        <x:v>miprincipado.asturias.es/perfil-contratante/ofertas-contratos-menores</x:v>
      </x:c>
      <x:c r="M11" s="11" t="s">
        <x:v>27</x:v>
      </x:c>
      <x:c r="N11" s="13" t="s">
        <x:v>28</x:v>
      </x:c>
      <x:c r="O11" s="11" t="s">
        <x:v>85</x:v>
      </x:c>
      <x:c r="P11" s="11" t="s">
        <x:v>86</x:v>
      </x:c>
      <x:c r="Q11" s="14" t="str">
        <x:f xml:space="preserve">HYPERLINK("https://www.infonalia.es/licitaciones1225/2025178675.pdf","www.infonalia.es/licitaciones1225/2025178675.pdf")</x:f>
        <x:v>www.infonalia.es/licitaciones1225/2025178675.pdf</x:v>
      </x:c>
    </x:row>
    <x:row r="12">
      <x:c r="A12" s="6" t="s">
        <x:v>17</x:v>
      </x:c>
      <x:c r="B12" s="6" t="s">
        <x:v>18</x:v>
      </x:c>
      <x:c r="C12" s="7" t="s">
        <x:v>87</x:v>
      </x:c>
      <x:c r="D12" s="8" t="s">
        <x:v>88</x:v>
      </x:c>
      <x:c r="E12" s="9" t="s">
        <x:v>21</x:v>
      </x:c>
      <x:c r="F12" s="6" t="s">
        <x:v>51</x:v>
      </x:c>
      <x:c r="G12" s="6" t="s">
        <x:v>89</x:v>
      </x:c>
      <x:c r="H12" s="6" t="s">
        <x:v>90</x:v>
      </x:c>
      <x:c r="I12" s="10" t="n">
        <x:v>7500.00</x:v>
      </x:c>
      <x:c r="J12" s="11" t="s">
        <x:v>25</x:v>
      </x:c>
      <x:c r="K12" s="11" t="s">
        <x:v>26</x:v>
      </x:c>
      <x:c r="L12" s="12" t="str">
        <x:f xml:space="preserve">HYPERLINK("https://contrataciondelestado.es/wps/poc?uri=deeplink:detalle_licitacion&amp;idEvl=YTkkiU2yGgKdkQsA7ROvsg%3D%3D","contrataciondelestado.es/wps/poc?uri=deeplink:detalle_licitacion&amp;idEvl=YTkkiU2yGgKdkQsA7ROvsg%3D%3D")</x:f>
        <x:v>contrataciondelestado.es/wps/poc?uri=deeplink:detalle_licitacion&amp;idEvl=YTkkiU2yGgKdkQsA7ROvsg%3D%3D</x:v>
      </x:c>
      <x:c r="M12" s="11" t="s">
        <x:v>27</x:v>
      </x:c>
      <x:c r="N12" s="13" t="s">
        <x:v>28</x:v>
      </x:c>
      <x:c r="O12" s="11" t="s">
        <x:v>91</x:v>
      </x:c>
      <x:c r="P12" s="11" t="s">
        <x:v>30</x:v>
      </x:c>
      <x:c r="Q12" s="14" t="str">
        <x:f xml:space="preserve">HYPERLINK("https://www.infonalia.es/licitaciones1225/2025178728.pdf","www.infonalia.es/licitaciones1225/2025178728.pdf")</x:f>
        <x:v>www.infonalia.es/licitaciones1225/2025178728.pdf</x:v>
      </x:c>
    </x:row>
    <x:row r="13">
      <x:c r="A13" s="6" t="s">
        <x:v>17</x:v>
      </x:c>
      <x:c r="B13" s="6" t="s">
        <x:v>18</x:v>
      </x:c>
      <x:c r="C13" s="7" t="s">
        <x:v>92</x:v>
      </x:c>
      <x:c r="D13" s="8" t="s">
        <x:v>93</x:v>
      </x:c>
      <x:c r="E13" s="9" t="s">
        <x:v>21</x:v>
      </x:c>
      <x:c r="F13" s="6" t="s">
        <x:v>94</x:v>
      </x:c>
      <x:c r="G13" s="6" t="s">
        <x:v>95</x:v>
      </x:c>
      <x:c r="H13" s="6" t="s">
        <x:v>96</x:v>
      </x:c>
      <x:c r="I13" s="10" t="n">
        <x:v>99246.08</x:v>
      </x:c>
      <x:c r="J13" s="11" t="s">
        <x:v>25</x:v>
      </x:c>
      <x:c r="K13" s="11" t="s">
        <x:v>26</x:v>
      </x:c>
      <x:c r="L13" s="12" t="str">
        <x:f xml:space="preserve">HYPERLINK("https://contractaciopublica.cat/ca/detall-publicacio/d323d7b4-a396-459c-9ac6-0382b36a50af/300647719","contractaciopublica.cat/ca/detall-publicacio/d323d7b4-a396-459c-9ac6-0382b36a50af/300647719")</x:f>
        <x:v>contractaciopublica.cat/ca/detall-publicacio/d323d7b4-a396-459c-9ac6-0382b36a50af/300647719</x:v>
      </x:c>
      <x:c r="M13" s="11" t="s">
        <x:v>27</x:v>
      </x:c>
      <x:c r="N13" s="13" t="s">
        <x:v>21</x:v>
      </x:c>
      <x:c r="O13" s="11" t="s">
        <x:v>97</x:v>
      </x:c>
      <x:c r="P13" s="11" t="s">
        <x:v>98</x:v>
      </x:c>
      <x:c r="Q13" s="14" t="str">
        <x:f xml:space="preserve">HYPERLINK("https://www.infonalia.es/licitaciones1225/2025178805.pdf","www.infonalia.es/licitaciones1225/2025178805.pdf")</x:f>
        <x:v>www.infonalia.es/licitaciones1225/2025178805.pdf</x:v>
      </x:c>
    </x:row>
    <x:row r="14">
      <x:c r="A14" s="6" t="s">
        <x:v>17</x:v>
      </x:c>
      <x:c r="B14" s="6" t="s">
        <x:v>18</x:v>
      </x:c>
      <x:c r="C14" s="7" t="s">
        <x:v>99</x:v>
      </x:c>
      <x:c r="D14" s="8" t="s">
        <x:v>100</x:v>
      </x:c>
      <x:c r="E14" s="9" t="s">
        <x:v>21</x:v>
      </x:c>
      <x:c r="F14" s="6" t="s">
        <x:v>101</x:v>
      </x:c>
      <x:c r="G14" s="6" t="s">
        <x:v>102</x:v>
      </x:c>
      <x:c r="H14" s="6" t="s">
        <x:v>103</x:v>
      </x:c>
      <x:c r="I14" s="10" t="n">
        <x:v>95000.00</x:v>
      </x:c>
      <x:c r="J14" s="11" t="s">
        <x:v>25</x:v>
      </x:c>
      <x:c r="K14" s="11" t="s">
        <x:v>26</x:v>
      </x:c>
      <x:c r="L14" s="12" t="str">
        <x:f xml:space="preserve">HYPERLINK("https://contrataciondelestado.es/wps/poc?uri=deeplink:detalle_licitacion&amp;idEvl=gbrBj5P%2BfYUXhk1FZxEyvw%3D%3D","contrataciondelestado.es/wps/poc?uri=deeplink:detalle_licitacion&amp;idEvl=gbrBj5P%2BfYUXhk1FZxEyvw%3D%3D")</x:f>
        <x:v>contrataciondelestado.es/wps/poc?uri=deeplink:detalle_licitacion&amp;idEvl=gbrBj5P%2BfYUXhk1FZxEyvw%3D%3D</x:v>
      </x:c>
      <x:c r="M14" s="11" t="s">
        <x:v>27</x:v>
      </x:c>
      <x:c r="N14" s="13" t="s">
        <x:v>21</x:v>
      </x:c>
      <x:c r="O14" s="11" t="s">
        <x:v>104</x:v>
      </x:c>
      <x:c r="P14" s="11" t="s">
        <x:v>86</x:v>
      </x:c>
      <x:c r="Q14" s="14" t="str">
        <x:f xml:space="preserve">HYPERLINK("https://www.infonalia.es/licitaciones1225/2025178905.pdf","www.infonalia.es/licitaciones1225/2025178905.pdf")</x:f>
        <x:v>www.infonalia.es/licitaciones1225/2025178905.pdf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