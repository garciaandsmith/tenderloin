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<x:sst xmlns:x="http://schemas.openxmlformats.org/spreadsheetml/2006/main" count="6" uniqueCount="6">
  <x:si>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</x:si>
  <x:si>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</x:si>
  <x:si>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</x:si>
  <x:si>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</x:si>
  <x:si>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</x:si>
  <x:si>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</x:si>
  <x:si>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2025168663</x:t>
  </x:si>
  <x:si>
    <x:t>Cambio de fechas</x:t>
  </x:si>
  <x:si>
    <x:t>INSTITUTO DE CULTURA DE BARCELONA</x:t>
  </x:si>
  <x:si>
    <x:t>Servicios de oficina de producción técnica, artística y logística para la gestión de las actividades del Disseny Hub Barcelona.</x:t>
  </x:si>
  <x:si>
    <x:t>2025175336</x:t>
  </x:si>
  <x:si>
    <x:t>Aclaración / Ampliación de pliegos</x:t>
  </x:si>
  <x:si>
    <x:t>DIPUTACIÓN DE GIRONA</x:t>
  </x:si>
  <x:si>
    <x:t>El objeto del contrato es el servicio de creación y producción de contenidos audiovisuales destinados a apoyar la difusión de contenidos institucionales y campañas de divulgación y publicidad vinculadas a los proyectos de la Oficina de Difusión de la Diputación de Girona</x:t>
  </x:si>
  <x:si>
    <x:t>2025176178</x:t>
  </x:si>
  <x:si>
    <x:t>JUNTA DE ANDALUCÍA. AGENCIA EMPRESARIAL PARA LA TRANSFORMACIÓN Y EL DESARROLLO ECONÓMICO</x:t>
  </x:si>
  <x:si>
    <x:t>Contratación de servicios a demanda relacionados con la internacionalización de empresas andaluzas en China.</x:t>
  </x:si>
  <x:si>
    <x:t>2025176179</x:t>
  </x:si>
  <x:si>
    <x:t>Contratación de servicios a demanda relacionados con la internacionalización de empresas andaluzas en Japón.</x:t>
  </x:si>
  <x:si>
    <x:t>2025179886</x:t>
  </x:si>
  <x:si>
    <x:t>Producción, suministro, montaje, mantenimiento y desmontaje de la museografía de la exposición temporal Cordura y arrebato. 150 años de arquitectura catalana</x:t>
  </x:si>
  <x:si>
    <x:t>2025179925</x:t>
  </x:si>
  <x:si>
    <x:t>AGENCIA EFE</x:t>
  </x:si>
  <x:si>
    <x:t>Plataforma online de publicación de directos y contribuciones</x:t>
  </x:si>
  <x:si>
    <x:t>2025180203</x:t>
  </x:si>
  <x:si>
    <x:t>MINISTERIO DE ASUNTOS EXTERIORES, UNIÓN EUROPEA Y COOPERACIÓN. SECRETARÍA GENERAL DE LA FUNDACIÓN INTERNACIONAL Y PARA IBEROAMÉRICA DE ADMINISTRACIÓN POLÍTICAS PÚBLICAS</x:t>
  </x:si>
  <x:si>
    <x:t>Establecimiento de un Acuerdo Marco mixto para el suministro de material diverso de merchandising, incluyendo el servicio accesorio de serigrafiado, y el servicio de diseño, maquetación, impresión de publicaciones y equivalentes.  L1: Suministro de material diverso de merchandising, incluyendo el servicio accesorio de serigrafiado y transporte. L2: Servicio de diseño, maquetación, impresión, transporte y equivalentes.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</x:si>
</x:sst>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HYPERLINK("https://www.infonalia.es/modificaciones1225/2025168663.pdf","www.infonalia.es/modificaciones1225/2025168663.pdf")</x:f>
        <x:v>www.infonalia.es/modificaciones1225/2025168663.pdf</x:v>
      </x:c>
      <x:c r="F2" s="5" t="str">
        <x:f xml:space="preserve">HYPERLINK("https://www.infonalia.es/licitaciones1125/2025168663.pdf","www.infonalia.es/licitaciones1125/2025168663.pdf")</x:f>
        <x:v>www.infonalia.es/licitaciones1125/2025168663.pdf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HYPERLINK("https://www.infonalia.es/modificaciones1225/2025175336.pdf","www.infonalia.es/modificaciones1225/2025175336.pdf")</x:f>
        <x:v>www.infonalia.es/modificaciones1225/2025175336.pdf</x:v>
      </x:c>
      <x:c r="F3" s="5" t="str">
        <x:f xml:space="preserve">HYPERLINK("https://www.infonalia.es/licitaciones1225/2025175336.pdf","www.infonalia.es/licitaciones1225/2025175336.pdf")</x:f>
        <x:v>www.infonalia.es/licitaciones1225/2025175336.pdf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HYPERLINK("https://www.infonalia.es/modificaciones1225/2025176178.pdf","www.infonalia.es/modificaciones1225/2025176178.pdf")</x:f>
        <x:v>www.infonalia.es/modificaciones1225/2025176178.pdf</x:v>
      </x:c>
      <x:c r="F4" s="5" t="str">
        <x:f xml:space="preserve">HYPERLINK("https://www.infonalia.es/licitaciones1225/2025176178.pdf","www.infonalia.es/licitaciones1225/2025176178.pdf")</x:f>
        <x:v>www.infonalia.es/licitaciones1225/2025176178.pdf</x:v>
      </x:c>
    </x:row>
    <x:row r="5">
      <x:c r="A5" s="3" t="s">
        <x:v>17</x:v>
      </x:c>
      <x:c r="B5" s="4" t="s">
        <x:v>11</x:v>
      </x:c>
      <x:c r="C5" s="4" t="s">
        <x:v>15</x:v>
      </x:c>
      <x:c r="D5" s="4" t="s">
        <x:v>18</x:v>
      </x:c>
      <x:c r="E5" s="5" t="str">
        <x:f xml:space="preserve">HYPERLINK("https://www.infonalia.es/modificaciones1225/2025176179.pdf","www.infonalia.es/modificaciones1225/2025176179.pdf")</x:f>
        <x:v>www.infonalia.es/modificaciones1225/2025176179.pdf</x:v>
      </x:c>
      <x:c r="F5" s="5" t="str">
        <x:f xml:space="preserve">HYPERLINK("https://www.infonalia.es/licitaciones1225/2025176179.pdf","www.infonalia.es/licitaciones1225/2025176179.pdf")</x:f>
        <x:v>www.infonalia.es/licitaciones1225/2025176179.pdf</x:v>
      </x:c>
    </x:row>
    <x:row r="6">
      <x:c r="A6" s="3" t="s">
        <x:v>19</x:v>
      </x:c>
      <x:c r="B6" s="4" t="s">
        <x:v>7</x:v>
      </x:c>
      <x:c r="C6" s="4" t="s">
        <x:v>8</x:v>
      </x:c>
      <x:c r="D6" s="4" t="s">
        <x:v>20</x:v>
      </x:c>
      <x:c r="E6" s="5" t="str">
        <x:f xml:space="preserve">HYPERLINK("https://www.infonalia.es/modificaciones1225/2025179886.pdf","www.infonalia.es/modificaciones1225/2025179886.pdf")</x:f>
        <x:v>www.infonalia.es/modificaciones1225/2025179886.pdf</x:v>
      </x:c>
      <x:c r="F6" s="5" t="str">
        <x:f xml:space="preserve">HYPERLINK("https://www.infonalia.es/licitaciones1225/2025179886.pdf","www.infonalia.es/licitaciones1225/2025179886.pdf")</x:f>
        <x:v>www.infonalia.es/licitaciones1225/2025179886.pdf</x:v>
      </x:c>
    </x:row>
    <x:row r="7">
      <x:c r="A7" s="3" t="s">
        <x:v>21</x:v>
      </x:c>
      <x:c r="B7" s="4" t="s">
        <x:v>11</x:v>
      </x:c>
      <x:c r="C7" s="4" t="s">
        <x:v>22</x:v>
      </x:c>
      <x:c r="D7" s="4" t="s">
        <x:v>23</x:v>
      </x:c>
      <x:c r="E7" s="5" t="str">
        <x:f xml:space="preserve">HYPERLINK("https://www.infonalia.es/modificaciones1225/2025179925.pdf","www.infonalia.es/modificaciones1225/2025179925.pdf")</x:f>
        <x:v>www.infonalia.es/modificaciones1225/2025179925.pdf</x:v>
      </x:c>
      <x:c r="F7" s="5" t="str">
        <x:f xml:space="preserve">HYPERLINK("https://www.infonalia.es/licitaciones1225/2025179925.pdf","www.infonalia.es/licitaciones1225/2025179925.pdf")</x:f>
        <x:v>www.infonalia.es/licitaciones1225/2025179925.pdf</x:v>
      </x:c>
    </x:row>
    <x:row r="8">
      <x:c r="A8" s="3" t="s">
        <x:v>24</x:v>
      </x:c>
      <x:c r="B8" s="4" t="s">
        <x:v>11</x:v>
      </x:c>
      <x:c r="C8" s="4" t="s">
        <x:v>25</x:v>
      </x:c>
      <x:c r="D8" s="4" t="s">
        <x:v>26</x:v>
      </x:c>
      <x:c r="E8" s="5" t="str">
        <x:f xml:space="preserve">HYPERLINK("https://www.infonalia.es/modificaciones1225/2025180203.pdf","www.infonalia.es/modificaciones1225/2025180203.pdf")</x:f>
        <x:v>www.infonalia.es/modificaciones1225/2025180203.pdf</x:v>
      </x:c>
      <x:c r="F8" s="5" t="str">
        <x:f xml:space="preserve">HYPERLINK("https://www.infonalia.es/licitaciones1225/2025180203.pdf","www.infonalia.es/licitaciones1225/2025180203.pdf")</x:f>
        <x:v>www.infonalia.es/licitaciones1225/2025180203.pdf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