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<x:sst xmlns:x="http://schemas.openxmlformats.org/spreadsheetml/2006/main" count="17" uniqueCount="17">
  <x:si>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</x:si>
  <x:si>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</x:si>
  <x:si>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</x:si>
  <x:si>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</x:si>
  <x:si>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</x:si>
  <x:si>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</x:si>
  <x:si>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</x:si>
  <x:si>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</x:si>
  <x:si>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</x:si>
  <x:si>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</x:si>
  <x:si>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</x:si>
  <x:si>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</x:si>
  <x:si>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</x:si>
  <x:si>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</x:si>
  <x:si>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</x:si>
  <x:si>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</x:si>
  <x:si>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</x:si>
  <x:si>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</x:si>
  <x:si>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</x:si>
  <x:si>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04/12/2025</x:t>
  </x:si>
  <x:si>
    <x:t>2025169232</x:t>
  </x:si>
  <x:si>
    <x:t>27/11/2025</x:t>
  </x:si>
  <x:si>
    <x:t>CONSELL CATALÀ DE L'ESPORT</x:t>
  </x:si>
  <x:si>
    <x:t>Diseño, organización, montaje y desmontaje del espacio de promoción deportiva llamado “TOTESPORT 360”estableciendo una oferta muy variada de actividades físico-deportivas destinadas a la población de entre 3 a 16 años, con especial incidencia a los niños, adolescentes y sus acompañantes, en las instalaciones del Barcelona 5 de enero de 2026. Entregar memoria final el 23 de enero de 2026. También incluye la asistencia técnica, instalación y funcionamiento de todo el equipamiento necesario para la correcta organización y desarrollo del evento.</x:t>
  </x:si>
  <x:si>
    <x:t>CCE-2026-8</x:t>
  </x:si>
  <x:si>
    <x:t>Importe sin impuestos</x:t>
  </x:si>
  <x:si>
    <x:t/>
  </x:si>
  <x:si>
    <x:t>-----</x:t>
  </x:si>
  <x:si>
    <x:t>26/11/2025</x:t>
  </x:si>
  <x:si>
    <x:t/>
  </x:si>
  <x:si>
    <x:t>Barcelona</x:t>
  </x:si>
  <x:si>
    <x:t>11/12/2025</x:t>
  </x:si>
  <x:si>
    <x:t>2025169304</x:t>
  </x:si>
  <x:si>
    <x:t>ALCALDÍA DEL AYUNTAMIENTO DE CANGAS DEL NARCEA (ASTURIAS)</x:t>
  </x:si>
  <x:si>
    <x:t>Servicio de implantación de experiencias inmersivas para la estrategia de digitalización turística para la consecución de las actuaciones del PSTD "Plan de Transformación, Recuperación y Resiliencia Financiado por la Unión Europea Next Generation EU".</x:t>
  </x:si>
  <x:si>
    <x:t>CON/2025/101</x:t>
  </x:si>
  <x:si>
    <x:t/>
  </x:si>
  <x:si>
    <x:t>Asturias</x:t>
  </x:si>
  <x:si>
    <x:t>09/12/2025</x:t>
  </x:si>
  <x:si>
    <x:t>2025169319</x:t>
  </x:si>
  <x:si>
    <x:t>SOCIEDAD MERCANTIL ESTATAL DE ACCIÓN CULTURAL S.A</x:t>
  </x:si>
  <x:si>
    <x:t>Diseño y desarrollo de una imagen gráfica para la acción cultural de España en el exterior, según se estipula en el documento de indicaciones técnicas del presente proceso.</x:t>
  </x:si>
  <x:si>
    <x:t>261125/07 CONC</x:t>
  </x:si>
  <x:si>
    <x:t/>
  </x:si>
  <x:si>
    <x:t>Madrid</x:t>
  </x:si>
  <x:si>
    <x:t>12/12/2025</x:t>
  </x:si>
  <x:si>
    <x:t>2025169452</x:t>
  </x:si>
  <x:si>
    <x:t>AYUNTAMIENTO DE MADRID. DISTRITO DE HORTALEZA</x:t>
  </x:si>
  <x:si>
    <x:t>Cabalgatas de reyes de Sanchinarro y Valdebebas del Distrito de Hortaleza 2026</x:t>
  </x:si>
  <x:si>
    <x:t>300/2025/03680</x:t>
  </x:si>
  <x:si>
    <x:t/>
  </x:si>
  <x:si>
    <x:t>2025169533</x:t>
  </x:si>
  <x:si>
    <x:t>CONSORCI DE OSONA DE SERVEIS SOCIALS</x:t>
  </x:si>
  <x:si>
    <x:t>Servicio de comunicación para el Consorcio de Osona de Servicios Sociales.</x:t>
  </x:si>
  <x:si>
    <x:t>1403-000029-2025 (X2025000345)</x:t>
  </x:si>
  <x:si>
    <x:t/>
  </x:si>
  <x:si>
    <x:t>2025169546</x:t>
  </x:si>
  <x:si>
    <x:t>MUTUA UNIVERSAL MUGENAT, MUTUA COLABORADORA CON LA SEGURIDAD SOCIAL Nº 10</x:t>
  </x:si>
  <x:si>
    <x:t>Servicio de boletín diario con la recopilación de las novedades y modificaciones legislativas publicadas en los diferentes Boletines Oficiales, a nivel nacional, autonómico y provincial, así como boletín semanal con noticias de actualidad de interés para el colectivo de Asesores Laborales.</x:t>
  </x:si>
  <x:si>
    <x:t>026-2025-0410</x:t>
  </x:si>
  <x:si>
    <x:t/>
  </x:si>
  <x:si>
    <x:t>Ver pliegos</x:t>
  </x:si>
  <x:si>
    <x:t>19/12/2025</x:t>
  </x:si>
  <x:si>
    <x:t>2025169579</x:t>
  </x:si>
  <x:si>
    <x:t>DIRECCION GENERAL DE LA SOCIEDAD DE PROMOCIÓN EXTERIOR DEL PRINCIPADO DE ASTURIAS, S.A. (ASTUREX)</x:t>
  </x:si>
  <x:si>
    <x:t>El objeto del contrato es la prestación de los servicios de diseño, producción, decoración, asistencia, montaje y desmontaje de los medios materiales, técnicos y gráficos necesarios para el correcto desarrollo del evento Asturex Open Days 2026, que se celebrará en el Palacio de Congresos de Oviedo (edificio Calatrava) los días 3 y 4 de febrero de 2026.</x:t>
  </x:si>
  <x:si>
    <x:t>C/251/2025</x:t>
  </x:si>
  <x:si>
    <x:t/>
  </x:si>
  <x:si>
    <x:t>Barcelona. Perfil del Contratante del Ayuntamiento</x:t>
  </x:si>
  <x:si>
    <x:t>03/12/2025</x:t>
  </x:si>
  <x:si>
    <x:t>2025169602</x:t>
  </x:si>
  <x:si>
    <x:t>INSTITUTO DE CULTURA DE BARCELONA</x:t>
  </x:si>
  <x:si>
    <x:t>Soporte de comunicación digital Red de Fábricas de Creación de Barcelona.</x:t>
  </x:si>
  <x:si>
    <x:t>006_P2501751</x:t>
  </x:si>
  <x:si>
    <x:t/>
  </x:si>
  <x:si>
    <x:t/>
  </x:si>
  <x:si>
    <x:t>Catalunya - Plataforma de Contratación</x:t>
  </x:si>
  <x:si>
    <x:t>2025169637</x:t>
  </x:si>
  <x:si>
    <x:t>AYUNTAMIENTO DE ESPARREGUERA (BARCELONA)</x:t>
  </x:si>
  <x:si>
    <x:t>CM Serveis Jornada PIXEL &amp; TAULER. El objeto del contrato consiste en realizar una jornada de videojuegos. La empresa proporcionará y dinamizará cinco zonas y dos torneos. Ver detalle en la ficha descriptiva.</x:t>
  </x:si>
  <x:si>
    <x:t>1411-11590/2025</x:t>
  </x:si>
  <x:si>
    <x:t>IVA excluido</x:t>
  </x:si>
  <x:si>
    <x:t/>
  </x:si>
  <x:si>
    <x:t/>
  </x:si>
  <x:si>
    <x:t>19/01/2026</x:t>
  </x:si>
  <x:si>
    <x:t>2025169794</x:t>
  </x:si>
  <x:si>
    <x:t>UNIVERSITAT DE BARCELONA</x:t>
  </x:si>
  <x:si>
    <x:t>2025/149 Servicio de preimpresión, impresión, encuadernación y transporte de libros, revistas y material impreso.  - definir cuáles son los servicios a prestar y sus precios unitarios - homologar a un proveedor que deberá prestar los servicios de preimpresión, impresión, encuadernación y transporte de libros, revistas y material impreso para la Universidad de Barcelona. Simultáneamente también forma parte del objeto el establecimiento de las condiciones en las que se realizará la contratación basada en este acuerdo marco con el adjudicatario. Con este acuerdo marco se dará cobertura a las necesidades de las diferentes unidades funcionales de la UB, aunque su gestión se realizará de forma centralizada desde Publicaciones y Ediciones UB. El objeto del acuerdo marco no precisa de forma cerrada todos los servicios susceptibles de la futura contratación, individualmente considerados, sino que delimita de forma abierta pero suficiente, las características de los servicios a contratar, teniendo en cuenta que el Acuerdo marco es un compromiso contractual abierto Las condiciones y criterios de homologación y contratación basada se fijarán en este pliego de cláusulas administrativas prescripciones técnicas</x:t>
  </x:si>
  <x:si>
    <x:t>2025/149</x:t>
  </x:si>
  <x:si>
    <x:t/>
  </x:si>
  <x:si>
    <x:t>09/01/2026</x:t>
  </x:si>
  <x:si>
    <x:t>2025169843</x:t>
  </x:si>
  <x:si>
    <x:t>MESA DEL CONGRESO DE LOS DIPUTADOS</x:t>
  </x:si>
  <x:si>
    <x:t>Contrato mixto de suministro para la actualización del sistema de catalogación de vídeo, de los servidores de vídeo y del sistema de almacenamiento de vídeo del Centro de Producción de Televisión del Congreso de los Diputados, para la adquisición de un sistema de subtitulado automático en directo y su instalación y puesta en marcha, así como para el servicio de soporte y mantenimiento</x:t>
  </x:si>
  <x:si>
    <x:t>CON-P2025/0300025.0</x:t>
  </x:si>
  <x:si>
    <x:t/>
  </x:si>
  <x:si>
    <x:t>2025169903</x:t>
  </x:si>
  <x:si>
    <x:t>MADRID CULTURA Y TURISMO, S.A.U</x:t>
  </x:si>
  <x:si>
    <x:t>Servicios Agencia de Comunicación 2025</x:t>
  </x:si>
  <x:si>
    <x:t>4/2025 CM</x:t>
  </x:si>
  <x:si>
    <x:t/>
  </x:si>
  <x:si>
    <x:t>DOUE - Diario Oficial de la Unión Europea (S)</x:t>
  </x:si>
  <x:si>
    <x:t>27/02/2026</x:t>
  </x:si>
  <x:si>
    <x:t>2025169932</x:t>
  </x:si>
  <x:si>
    <x:t>SECRETARIAT OF THE UNION FOR THE MEDITERRANEAN (UFM SECRETARIAT)</x:t>
  </x:si>
  <x:si>
    <x:t>Servicios de comunicación
. Apoyo a los servicios generales de comunicación para las actividades de la UpM. El objetivo general del contrato es aumentar la visibilidad de la UpM en la región y promover una mejor comprensión de su función. Para ello, se contratarán servicios técnicos para implementar la estrategia de comunicación, visibilidad e información de la Secretaría de la UpM, garantizando así un mayor reconocimiento y compromiso con sus públicos clave  (representantes gubernamentales, ministros, altos funcionarios, parlamentarios, organizaciones  internacionales y regionales, instituciones financieras y agencias de desarrollo, líderes de opinión,  actores no gubernamentales y organizaciones de la sociedad civil, sector privado, periodistas  influyentes y actores de los medios de comunicación, jóvenes y público en general).</x:t>
  </x:si>
  <x:si>
    <x:t>No consta</x:t>
  </x:si>
  <x:si>
    <x:t>IVA Excluido.</x:t>
  </x:si>
  <x:si>
    <x:t/>
  </x:si>
  <x:si>
    <x:t>228</x:t>
  </x:si>
  <x:si>
    <x:t/>
  </x:si>
  <x:si>
    <x:t>2025169939</x:t>
  </x:si>
  <x:si>
    <x:t>ORGANISMO AUTÓNOMO PATRONATO DE TURISMO DE LA DIPUTACIÓN DE TARRAGONA</x:t>
  </x:si>
  <x:si>
    <x:t>Servicio de asesoramiento, contratación y seguimiento de acciones de patrocini deportivo para el fomento y la divulgación de las marcas Costa Daurada y Terres de l'Ebre</x:t>
  </x:si>
  <x:si>
    <x:t>8004333048-2024-0000266 Anuncio de información previa</x:t>
  </x:si>
  <x:si>
    <x:t>Fecha prevista de publicación de un anuncio de licitación en el marco del presente procedimiento: 22/12/2025</x:t>
  </x:si>
  <x:si>
    <x:t/>
  </x:si>
  <x:si>
    <x:t>Tarragona</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</x:si>
</x:sst>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282089.91</x:v>
      </x:c>
      <x:c r="J2" s="11" t="s">
        <x:v>25</x:v>
      </x:c>
      <x:c r="K2" s="11" t="s">
        <x:v>26</x:v>
      </x:c>
      <x:c r="L2" s="12" t="str">
        <x:f xml:space="preserve">HYPERLINK("https://contractaciopublica.cat/ca/detall-publicacio/bce21523-2977-42c5-9537-67550d2a2ac2/300629191","contractaciopublica.cat/ca/detall-publicacio/bce21523-2977-42c5-9537-67550d2a2ac2/300629191")</x:f>
        <x:v>contractaciopublica.cat/ca/detall-publicacio/bce21523-2977-42c5-9537-67550d2a2ac2/300629191</x:v>
      </x:c>
      <x:c r="M2" s="11" t="s">
        <x:v>27</x:v>
      </x:c>
      <x:c r="N2" s="13" t="s">
        <x:v>28</x:v>
      </x:c>
      <x:c r="O2" s="11" t="s">
        <x:v>29</x:v>
      </x:c>
      <x:c r="P2" s="11" t="s">
        <x:v>30</x:v>
      </x:c>
      <x:c r="Q2" s="14" t="str">
        <x:f xml:space="preserve">HYPERLINK("https://www.infonalia.es/licitaciones1125/2025169232.pdf","www.infonalia.es/licitaciones1125/2025169232.pdf")</x:f>
        <x:v>www.infonalia.es/licitaciones1125/2025169232.pdf</x:v>
      </x:c>
    </x:row>
    <x:row r="3">
      <x:c r="A3" s="6" t="s">
        <x:v>17</x:v>
      </x:c>
      <x:c r="B3" s="6" t="s">
        <x:v>18</x:v>
      </x:c>
      <x:c r="C3" s="7" t="s">
        <x:v>31</x:v>
      </x:c>
      <x:c r="D3" s="8" t="s">
        <x:v>32</x:v>
      </x:c>
      <x:c r="E3" s="9" t="s">
        <x:v>21</x:v>
      </x:c>
      <x:c r="F3" s="6" t="s">
        <x:v>33</x:v>
      </x:c>
      <x:c r="G3" s="6" t="s">
        <x:v>34</x:v>
      </x:c>
      <x:c r="H3" s="6" t="s">
        <x:v>35</x:v>
      </x:c>
      <x:c r="I3" s="10" t="n">
        <x:v>62116.00</x:v>
      </x:c>
      <x:c r="J3" s="11" t="s">
        <x:v>25</x:v>
      </x:c>
      <x:c r="K3" s="11" t="s">
        <x:v>26</x:v>
      </x:c>
      <x:c r="L3" s="12" t="str">
        <x:f xml:space="preserve">HYPERLINK("https://contrataciondelestado.es/wps/poc?uri=deeplink:detalle_licitacion&amp;idEvl=zQh8mEK82Vr%2Fa9DgO%2BoYKQ%3D%3D","contrataciondelestado.es/wps/poc?uri=deeplink:detalle_licitacion&amp;idEvl=zQh8mEK82Vr%2Fa9DgO%2BoYKQ%3D%3D")</x:f>
        <x:v>contrataciondelestado.es/wps/poc?uri=deeplink:detalle_licitacion&amp;idEvl=zQh8mEK82Vr%2Fa9DgO%2BoYKQ%3D%3D</x:v>
      </x:c>
      <x:c r="M3" s="11" t="s">
        <x:v>27</x:v>
      </x:c>
      <x:c r="N3" s="13" t="s">
        <x:v>28</x:v>
      </x:c>
      <x:c r="O3" s="11" t="s">
        <x:v>36</x:v>
      </x:c>
      <x:c r="P3" s="11" t="s">
        <x:v>37</x:v>
      </x:c>
      <x:c r="Q3" s="14" t="str">
        <x:f xml:space="preserve">HYPERLINK("https://www.infonalia.es/licitaciones1125/2025169304.pdf","www.infonalia.es/licitaciones1125/2025169304.pdf")</x:f>
        <x:v>www.infonalia.es/licitaciones1125/2025169304.pdf</x:v>
      </x:c>
    </x:row>
    <x:row r="4">
      <x:c r="A4" s="6" t="s">
        <x:v>17</x:v>
      </x:c>
      <x:c r="B4" s="6" t="s">
        <x:v>18</x:v>
      </x:c>
      <x:c r="C4" s="7" t="s">
        <x:v>38</x:v>
      </x:c>
      <x:c r="D4" s="8" t="s">
        <x:v>39</x:v>
      </x:c>
      <x:c r="E4" s="9" t="s">
        <x:v>21</x:v>
      </x:c>
      <x:c r="F4" s="6" t="s">
        <x:v>40</x:v>
      </x:c>
      <x:c r="G4" s="6" t="s">
        <x:v>41</x:v>
      </x:c>
      <x:c r="H4" s="6" t="s">
        <x:v>42</x:v>
      </x:c>
      <x:c r="I4" s="10" t="n">
        <x:v>25000.00</x:v>
      </x:c>
      <x:c r="J4" s="11" t="s">
        <x:v>25</x:v>
      </x:c>
      <x:c r="K4" s="11" t="s">
        <x:v>26</x:v>
      </x:c>
      <x:c r="L4" s="12" t="str">
        <x:f xml:space="preserve">HYPERLINK("https://contrataciondelestado.es/wps/poc?uri=deeplink:detalle_licitacion&amp;idEvl=HdyjANc0b4M7u6%2B%2FR7DUoA%3D%3D","contrataciondelestado.es/wps/poc?uri=deeplink:detalle_licitacion&amp;idEvl=HdyjANc0b4M7u6%2B%2FR7DUoA%3D%3D")</x:f>
        <x:v>contrataciondelestado.es/wps/poc?uri=deeplink:detalle_licitacion&amp;idEvl=HdyjANc0b4M7u6%2B%2FR7DUoA%3D%3D</x:v>
      </x:c>
      <x:c r="M4" s="11" t="s">
        <x:v>27</x:v>
      </x:c>
      <x:c r="N4" s="13" t="s">
        <x:v>28</x:v>
      </x:c>
      <x:c r="O4" s="11" t="s">
        <x:v>43</x:v>
      </x:c>
      <x:c r="P4" s="11" t="s">
        <x:v>44</x:v>
      </x:c>
      <x:c r="Q4" s="14" t="str">
        <x:f xml:space="preserve">HYPERLINK("https://www.infonalia.es/licitaciones1125/2025169319.pdf","www.infonalia.es/licitaciones1125/2025169319.pdf")</x:f>
        <x:v>www.infonalia.es/licitaciones1125/2025169319.pdf</x:v>
      </x:c>
    </x:row>
    <x:row r="5">
      <x:c r="A5" s="6" t="s">
        <x:v>17</x:v>
      </x:c>
      <x:c r="B5" s="6" t="s">
        <x:v>18</x:v>
      </x:c>
      <x:c r="C5" s="7" t="s">
        <x:v>45</x:v>
      </x:c>
      <x:c r="D5" s="8" t="s">
        <x:v>46</x:v>
      </x:c>
      <x:c r="E5" s="9" t="s">
        <x:v>21</x:v>
      </x:c>
      <x:c r="F5" s="6" t="s">
        <x:v>47</x:v>
      </x:c>
      <x:c r="G5" s="6" t="s">
        <x:v>48</x:v>
      </x:c>
      <x:c r="H5" s="6" t="s">
        <x:v>49</x:v>
      </x:c>
      <x:c r="I5" s="10" t="n">
        <x:v>59951.82</x:v>
      </x:c>
      <x:c r="J5" s="11" t="s">
        <x:v>25</x:v>
      </x:c>
      <x:c r="K5" s="11" t="s">
        <x:v>26</x:v>
      </x:c>
      <x:c r="L5" s="12" t="str">
        <x:f xml:space="preserve">HYPERLINK("https://contrataciondelestado.es/wps/poc?uri=deeplink:detalle_licitacion&amp;idEvl=kmj6FDyf%2BQ170UvEyYJSGw%3D%3D","contrataciondelestado.es/wps/poc?uri=deeplink:detalle_licitacion&amp;idEvl=kmj6FDyf%2BQ170UvEyYJSGw%3D%3D")</x:f>
        <x:v>contrataciondelestado.es/wps/poc?uri=deeplink:detalle_licitacion&amp;idEvl=kmj6FDyf%2BQ170UvEyYJSGw%3D%3D</x:v>
      </x:c>
      <x:c r="M5" s="11" t="s">
        <x:v>27</x:v>
      </x:c>
      <x:c r="N5" s="13" t="s">
        <x:v>28</x:v>
      </x:c>
      <x:c r="O5" s="11" t="s">
        <x:v>50</x:v>
      </x:c>
      <x:c r="P5" s="11" t="s">
        <x:v>44</x:v>
      </x:c>
      <x:c r="Q5" s="14" t="str">
        <x:f xml:space="preserve">HYPERLINK("https://www.infonalia.es/licitaciones1125/2025169452.pdf","www.infonalia.es/licitaciones1125/2025169452.pdf")</x:f>
        <x:v>www.infonalia.es/licitaciones1125/2025169452.pdf</x:v>
      </x:c>
    </x:row>
    <x:row r="6">
      <x:c r="A6" s="6" t="s">
        <x:v>17</x:v>
      </x:c>
      <x:c r="B6" s="6" t="s">
        <x:v>18</x:v>
      </x:c>
      <x:c r="C6" s="7" t="s">
        <x:v>31</x:v>
      </x:c>
      <x:c r="D6" s="8" t="s">
        <x:v>51</x:v>
      </x:c>
      <x:c r="E6" s="9" t="s">
        <x:v>21</x:v>
      </x:c>
      <x:c r="F6" s="6" t="s">
        <x:v>52</x:v>
      </x:c>
      <x:c r="G6" s="6" t="s">
        <x:v>53</x:v>
      </x:c>
      <x:c r="H6" s="6" t="s">
        <x:v>54</x:v>
      </x:c>
      <x:c r="I6" s="10" t="n">
        <x:v>10416.00</x:v>
      </x:c>
      <x:c r="J6" s="11" t="s">
        <x:v>25</x:v>
      </x:c>
      <x:c r="K6" s="11" t="s">
        <x:v>26</x:v>
      </x:c>
      <x:c r="L6" s="12" t="str">
        <x:f xml:space="preserve">HYPERLINK("https://contractaciopublica.cat/ca/detall-publicacio/5dda829e-966c-44c0-8bd9-1ff8faa9bbdc/300628701","contractaciopublica.cat/ca/detall-publicacio/5dda829e-966c-44c0-8bd9-1ff8faa9bbdc/300628701")</x:f>
        <x:v>contractaciopublica.cat/ca/detall-publicacio/5dda829e-966c-44c0-8bd9-1ff8faa9bbdc/300628701</x:v>
      </x:c>
      <x:c r="M6" s="11" t="s">
        <x:v>27</x:v>
      </x:c>
      <x:c r="N6" s="13" t="s">
        <x:v>28</x:v>
      </x:c>
      <x:c r="O6" s="11" t="s">
        <x:v>55</x:v>
      </x:c>
      <x:c r="P6" s="11" t="s">
        <x:v>30</x:v>
      </x:c>
      <x:c r="Q6" s="14" t="str">
        <x:f xml:space="preserve">HYPERLINK("https://www.infonalia.es/licitaciones1125/2025169533.pdf","www.infonalia.es/licitaciones1125/2025169533.pdf")</x:f>
        <x:v>www.infonalia.es/licitaciones1125/2025169533.pdf</x:v>
      </x:c>
    </x:row>
    <x:row r="7">
      <x:c r="A7" s="6" t="s">
        <x:v>17</x:v>
      </x:c>
      <x:c r="B7" s="6" t="s">
        <x:v>18</x:v>
      </x:c>
      <x:c r="C7" s="7" t="s">
        <x:v>45</x:v>
      </x:c>
      <x:c r="D7" s="8" t="s">
        <x:v>56</x:v>
      </x:c>
      <x:c r="E7" s="9" t="s">
        <x:v>21</x:v>
      </x:c>
      <x:c r="F7" s="6" t="s">
        <x:v>57</x:v>
      </x:c>
      <x:c r="G7" s="6" t="s">
        <x:v>58</x:v>
      </x:c>
      <x:c r="H7" s="6" t="s">
        <x:v>59</x:v>
      </x:c>
      <x:c r="I7" s="10" t="n">
        <x:v>12700.00</x:v>
      </x:c>
      <x:c r="J7" s="11" t="s">
        <x:v>25</x:v>
      </x:c>
      <x:c r="K7" s="11" t="s">
        <x:v>26</x:v>
      </x:c>
      <x:c r="L7" s="12" t="str">
        <x:f xml:space="preserve">HYPERLINK("https://contrataciondelestado.es/wps/poc?uri=deeplink:detalle_licitacion&amp;idEvl=ofsCzINoF5l4zIRvjBVCSw%3D%3D","contrataciondelestado.es/wps/poc?uri=deeplink:detalle_licitacion&amp;idEvl=ofsCzINoF5l4zIRvjBVCSw%3D%3D")</x:f>
        <x:v>contrataciondelestado.es/wps/poc?uri=deeplink:detalle_licitacion&amp;idEvl=ofsCzINoF5l4zIRvjBVCSw%3D%3D</x:v>
      </x:c>
      <x:c r="M7" s="11" t="s">
        <x:v>27</x:v>
      </x:c>
      <x:c r="N7" s="13" t="s">
        <x:v>28</x:v>
      </x:c>
      <x:c r="O7" s="11" t="s">
        <x:v>60</x:v>
      </x:c>
      <x:c r="P7" s="11" t="s">
        <x:v>61</x:v>
      </x:c>
      <x:c r="Q7" s="14" t="str">
        <x:f xml:space="preserve">HYPERLINK("https://www.infonalia.es/licitaciones1125/2025169546.pdf","www.infonalia.es/licitaciones1125/2025169546.pdf")</x:f>
        <x:v>www.infonalia.es/licitaciones1125/2025169546.pdf</x:v>
      </x:c>
    </x:row>
    <x:row r="8">
      <x:c r="A8" s="6" t="s">
        <x:v>17</x:v>
      </x:c>
      <x:c r="B8" s="6" t="s">
        <x:v>18</x:v>
      </x:c>
      <x:c r="C8" s="7" t="s">
        <x:v>62</x:v>
      </x:c>
      <x:c r="D8" s="8" t="s">
        <x:v>63</x:v>
      </x:c>
      <x:c r="E8" s="9" t="s">
        <x:v>21</x:v>
      </x:c>
      <x:c r="F8" s="6" t="s">
        <x:v>64</x:v>
      </x:c>
      <x:c r="G8" s="6" t="s">
        <x:v>65</x:v>
      </x:c>
      <x:c r="H8" s="6" t="s">
        <x:v>66</x:v>
      </x:c>
      <x:c r="I8" s="10" t="n">
        <x:v>40000.00</x:v>
      </x:c>
      <x:c r="J8" s="11" t="s">
        <x:v>25</x:v>
      </x:c>
      <x:c r="K8" s="11" t="s">
        <x:v>26</x:v>
      </x:c>
      <x:c r="L8" s="12" t="str">
        <x:f xml:space="preserve">HYPERLINK("https://contrataciondelestado.es/wps/poc?uri=deeplink:detalle_licitacion&amp;idEvl=yLqpkcTGqCHzAq95uGTrDQ%3D%3D","contrataciondelestado.es/wps/poc?uri=deeplink:detalle_licitacion&amp;idEvl=yLqpkcTGqCHzAq95uGTrDQ%3D%3D")</x:f>
        <x:v>contrataciondelestado.es/wps/poc?uri=deeplink:detalle_licitacion&amp;idEvl=yLqpkcTGqCHzAq95uGTrDQ%3D%3D</x:v>
      </x:c>
      <x:c r="M8" s="11" t="s">
        <x:v>27</x:v>
      </x:c>
      <x:c r="N8" s="13" t="s">
        <x:v>28</x:v>
      </x:c>
      <x:c r="O8" s="11" t="s">
        <x:v>67</x:v>
      </x:c>
      <x:c r="P8" s="11" t="s">
        <x:v>37</x:v>
      </x:c>
      <x:c r="Q8" s="14" t="str">
        <x:f xml:space="preserve">HYPERLINK("https://www.infonalia.es/licitaciones1125/2025169579.pdf","www.infonalia.es/licitaciones1125/2025169579.pdf")</x:f>
        <x:v>www.infonalia.es/licitaciones1125/2025169579.pdf</x:v>
      </x:c>
    </x:row>
    <x:row r="9">
      <x:c r="A9" s="6" t="s">
        <x:v>17</x:v>
      </x:c>
      <x:c r="B9" s="6" t="s">
        <x:v>68</x:v>
      </x:c>
      <x:c r="C9" s="7" t="s">
        <x:v>69</x:v>
      </x:c>
      <x:c r="D9" s="8" t="s">
        <x:v>70</x:v>
      </x:c>
      <x:c r="E9" s="9" t="s">
        <x:v>21</x:v>
      </x:c>
      <x:c r="F9" s="6" t="s">
        <x:v>71</x:v>
      </x:c>
      <x:c r="G9" s="6" t="s">
        <x:v>72</x:v>
      </x:c>
      <x:c r="H9" s="6" t="s">
        <x:v>73</x:v>
      </x:c>
      <x:c r="I9" s="10" t="n">
        <x:v>14500.00</x:v>
      </x:c>
      <x:c r="J9" s="11" t="s">
        <x:v>25</x:v>
      </x:c>
      <x:c r="K9" s="11" t="s">
        <x:v>74</x:v>
      </x:c>
      <x:c r="L9" s="12" t="str">
        <x:f xml:space="preserve">HYPERLINK("https://licitacions.bcn.cat/licitacion/licitaciones/detalle?id=13820092","licitacions.bcn.cat/licitacion/licitaciones/detalle?id=13820092")</x:f>
        <x:v>licitacions.bcn.cat/licitacion/licitaciones/detalle?id=13820092</x:v>
      </x:c>
      <x:c r="M9" s="11" t="s">
        <x:v>27</x:v>
      </x:c>
      <x:c r="N9" s="13" t="s">
        <x:v>28</x:v>
      </x:c>
      <x:c r="O9" s="11" t="s">
        <x:v>75</x:v>
      </x:c>
      <x:c r="P9" s="11" t="s">
        <x:v>30</x:v>
      </x:c>
      <x:c r="Q9" s="14" t="str">
        <x:f xml:space="preserve">HYPERLINK("https://www.infonalia.es/licitaciones1125/2025169602.pdf","www.infonalia.es/licitaciones1125/2025169602.pdf")</x:f>
        <x:v>www.infonalia.es/licitaciones1125/2025169602.pdf</x:v>
      </x:c>
    </x:row>
    <x:row r="10">
      <x:c r="A10" s="6" t="s">
        <x:v>17</x:v>
      </x:c>
      <x:c r="B10" s="6" t="s">
        <x:v>76</x:v>
      </x:c>
      <x:c r="C10" s="7" t="s">
        <x:v>69</x:v>
      </x:c>
      <x:c r="D10" s="8" t="s">
        <x:v>77</x:v>
      </x:c>
      <x:c r="E10" s="9" t="s">
        <x:v>21</x:v>
      </x:c>
      <x:c r="F10" s="6" t="s">
        <x:v>78</x:v>
      </x:c>
      <x:c r="G10" s="6" t="s">
        <x:v>79</x:v>
      </x:c>
      <x:c r="H10" s="6" t="s">
        <x:v>80</x:v>
      </x:c>
      <x:c r="I10" s="10" t="n">
        <x:v>3820.00</x:v>
      </x:c>
      <x:c r="J10" s="11" t="s">
        <x:v>81</x:v>
      </x:c>
      <x:c r="K10" s="11" t="s">
        <x:v>82</x:v>
      </x:c>
      <x:c r="L10" s="12" t="str">
        <x:f xml:space="preserve">HYPERLINK("https://contractaciopublica.cat/es/detall-publicacio/300629881","contractaciopublica.cat/es/detall-publicacio/300629881")</x:f>
        <x:v>contractaciopublica.cat/es/detall-publicacio/300629881</x:v>
      </x:c>
      <x:c r="M10" s="11" t="s">
        <x:v>27</x:v>
      </x:c>
      <x:c r="N10" s="13" t="s">
        <x:v>28</x:v>
      </x:c>
      <x:c r="O10" s="11" t="s">
        <x:v>83</x:v>
      </x:c>
      <x:c r="P10" s="11" t="s">
        <x:v>30</x:v>
      </x:c>
      <x:c r="Q10" s="14" t="str">
        <x:f xml:space="preserve">HYPERLINK("https://www.infonalia.es/licitaciones1125/2025169637.pdf","www.infonalia.es/licitaciones1125/2025169637.pdf")</x:f>
        <x:v>www.infonalia.es/licitaciones1125/2025169637.pdf</x:v>
      </x:c>
    </x:row>
    <x:row r="11">
      <x:c r="A11" s="6" t="s">
        <x:v>17</x:v>
      </x:c>
      <x:c r="B11" s="6" t="s">
        <x:v>18</x:v>
      </x:c>
      <x:c r="C11" s="7" t="s">
        <x:v>84</x:v>
      </x:c>
      <x:c r="D11" s="8" t="s">
        <x:v>85</x:v>
      </x:c>
      <x:c r="E11" s="9" t="s">
        <x:v>21</x:v>
      </x:c>
      <x:c r="F11" s="6" t="s">
        <x:v>86</x:v>
      </x:c>
      <x:c r="G11" s="6" t="s">
        <x:v>87</x:v>
      </x:c>
      <x:c r="H11" s="6" t="s">
        <x:v>88</x:v>
      </x:c>
      <x:c r="I11" s="10" t="n">
        <x:v>436045.50</x:v>
      </x:c>
      <x:c r="J11" s="11" t="s">
        <x:v>25</x:v>
      </x:c>
      <x:c r="K11" s="11" t="s">
        <x:v>26</x:v>
      </x:c>
      <x:c r="L11" s="12" t="str">
        <x:f xml:space="preserve">HYPERLINK("https://contractaciopublica.cat/ca/detall-publicacio/bd886c6b-6df1-4922-a9c3-3dc94a7d5467/300629685","contractaciopublica.cat/ca/detall-publicacio/bd886c6b-6df1-4922-a9c3-3dc94a7d5467/300629685")</x:f>
        <x:v>contractaciopublica.cat/ca/detall-publicacio/bd886c6b-6df1-4922-a9c3-3dc94a7d5467/300629685</x:v>
      </x:c>
      <x:c r="M11" s="11" t="s">
        <x:v>27</x:v>
      </x:c>
      <x:c r="N11" s="13" t="s">
        <x:v>21</x:v>
      </x:c>
      <x:c r="O11" s="11" t="s">
        <x:v>89</x:v>
      </x:c>
      <x:c r="P11" s="11" t="s">
        <x:v>30</x:v>
      </x:c>
      <x:c r="Q11" s="14" t="str">
        <x:f xml:space="preserve">HYPERLINK("https://www.infonalia.es/licitaciones1125/2025169794.pdf","www.infonalia.es/licitaciones1125/2025169794.pdf")</x:f>
        <x:v>www.infonalia.es/licitaciones1125/2025169794.pdf</x:v>
      </x:c>
    </x:row>
    <x:row r="12">
      <x:c r="A12" s="6" t="s">
        <x:v>17</x:v>
      </x:c>
      <x:c r="B12" s="6" t="s">
        <x:v>18</x:v>
      </x:c>
      <x:c r="C12" s="7" t="s">
        <x:v>90</x:v>
      </x:c>
      <x:c r="D12" s="8" t="s">
        <x:v>91</x:v>
      </x:c>
      <x:c r="E12" s="9" t="s">
        <x:v>21</x:v>
      </x:c>
      <x:c r="F12" s="6" t="s">
        <x:v>92</x:v>
      </x:c>
      <x:c r="G12" s="6" t="s">
        <x:v>93</x:v>
      </x:c>
      <x:c r="H12" s="6" t="s">
        <x:v>94</x:v>
      </x:c>
      <x:c r="I12" s="10" t="n">
        <x:v>2159950.65</x:v>
      </x:c>
      <x:c r="J12" s="11" t="s">
        <x:v>25</x:v>
      </x:c>
      <x:c r="K12" s="11" t="s">
        <x:v>26</x:v>
      </x:c>
      <x:c r="L12" s="12" t="str">
        <x:f xml:space="preserve">HYPERLINK("https://contrataciondelestado.es/wps/poc?uri=deeplink:detalle_licitacion&amp;idEvl=h%2BFnBDTgVWQ%2B1TMyIiZmzw%3D%3D","contrataciondelestado.es/wps/poc?uri=deeplink:detalle_licitacion&amp;idEvl=h%2BFnBDTgVWQ%2B1TMyIiZmzw%3D%3D")</x:f>
        <x:v>contrataciondelestado.es/wps/poc?uri=deeplink:detalle_licitacion&amp;idEvl=h%2BFnBDTgVWQ%2B1TMyIiZmzw%3D%3D</x:v>
      </x:c>
      <x:c r="M12" s="11" t="s">
        <x:v>27</x:v>
      </x:c>
      <x:c r="N12" s="13" t="s">
        <x:v>21</x:v>
      </x:c>
      <x:c r="O12" s="11" t="s">
        <x:v>95</x:v>
      </x:c>
      <x:c r="P12" s="11" t="s">
        <x:v>44</x:v>
      </x:c>
      <x:c r="Q12" s="14" t="str">
        <x:f xml:space="preserve">HYPERLINK("https://www.infonalia.es/licitaciones1125/2025169843.pdf","www.infonalia.es/licitaciones1125/2025169843.pdf")</x:f>
        <x:v>www.infonalia.es/licitaciones1125/2025169843.pdf</x:v>
      </x:c>
    </x:row>
    <x:row r="13">
      <x:c r="A13" s="6" t="s">
        <x:v>17</x:v>
      </x:c>
      <x:c r="B13" s="6" t="s">
        <x:v>18</x:v>
      </x:c>
      <x:c r="C13" s="7" t="s">
        <x:v>45</x:v>
      </x:c>
      <x:c r="D13" s="8" t="s">
        <x:v>96</x:v>
      </x:c>
      <x:c r="E13" s="9" t="s">
        <x:v>21</x:v>
      </x:c>
      <x:c r="F13" s="6" t="s">
        <x:v>97</x:v>
      </x:c>
      <x:c r="G13" s="6" t="s">
        <x:v>98</x:v>
      </x:c>
      <x:c r="H13" s="6" t="s">
        <x:v>99</x:v>
      </x:c>
      <x:c r="I13" s="10" t="n">
        <x:v>675268.60</x:v>
      </x:c>
      <x:c r="J13" s="11" t="s">
        <x:v>25</x:v>
      </x:c>
      <x:c r="K13" s="11" t="s">
        <x:v>26</x:v>
      </x:c>
      <x:c r="L13" s="12" t="str">
        <x:f xml:space="preserve">HYPERLINK("https://contratos-publicos.comunidad.madrid/contrato-publico/servicio-agencia-comunicacion-2025","contratos-publicos.comunidad.madrid/contrato-publico/servicio-agencia-comunicacion-2025")</x:f>
        <x:v>contratos-publicos.comunidad.madrid/contrato-publico/servicio-agencia-comunicacion-2025</x:v>
      </x:c>
      <x:c r="M13" s="11" t="s">
        <x:v>27</x:v>
      </x:c>
      <x:c r="N13" s="13" t="s">
        <x:v>21</x:v>
      </x:c>
      <x:c r="O13" s="11" t="s">
        <x:v>100</x:v>
      </x:c>
      <x:c r="P13" s="11" t="s">
        <x:v>44</x:v>
      </x:c>
      <x:c r="Q13" s="14" t="str">
        <x:f xml:space="preserve">HYPERLINK("https://www.infonalia.es/licitaciones1125/2025169903.pdf","www.infonalia.es/licitaciones1125/2025169903.pdf")</x:f>
        <x:v>www.infonalia.es/licitaciones1125/2025169903.pdf</x:v>
      </x:c>
    </x:row>
    <x:row r="14">
      <x:c r="A14" s="6" t="s">
        <x:v>17</x:v>
      </x:c>
      <x:c r="B14" s="6" t="s">
        <x:v>101</x:v>
      </x:c>
      <x:c r="C14" s="7" t="s">
        <x:v>102</x:v>
      </x:c>
      <x:c r="D14" s="8" t="s">
        <x:v>103</x:v>
      </x:c>
      <x:c r="E14" s="9" t="s">
        <x:v>21</x:v>
      </x:c>
      <x:c r="F14" s="6" t="s">
        <x:v>104</x:v>
      </x:c>
      <x:c r="G14" s="6" t="s">
        <x:v>105</x:v>
      </x:c>
      <x:c r="H14" s="6" t="s">
        <x:v>106</x:v>
      </x:c>
      <x:c r="I14" s="10" t="n">
        <x:v>1000000.00</x:v>
      </x:c>
      <x:c r="J14" s="11" t="s">
        <x:v>107</x:v>
      </x:c>
      <x:c r="K14" s="11" t="s">
        <x:v>108</x:v>
      </x:c>
      <x:c r="L14" s="12" t="str">
        <x:f xml:space="preserve">HYPERLINK("https://ufmsecretariat.org/work-with-us/procurement","ufmsecretariat.org/work-with-us/procurement")</x:f>
        <x:v>ufmsecretariat.org/work-with-us/procurement</x:v>
      </x:c>
      <x:c r="M14" s="11" t="s">
        <x:v>109</x:v>
      </x:c>
      <x:c r="N14" s="13" t="s">
        <x:v>28</x:v>
      </x:c>
      <x:c r="O14" s="11" t="s">
        <x:v>110</x:v>
      </x:c>
      <x:c r="P14" s="11" t="s">
        <x:v>61</x:v>
      </x:c>
      <x:c r="Q14" s="14" t="str">
        <x:f xml:space="preserve">HYPERLINK("https://www.infonalia.es/licitaciones1125/2025169932.pdf","www.infonalia.es/licitaciones1125/2025169932.pdf")</x:f>
        <x:v>www.infonalia.es/licitaciones1125/2025169932.pdf</x:v>
      </x:c>
    </x:row>
    <x:row r="15">
      <x:c r="A15" s="6" t="s">
        <x:v>17</x:v>
      </x:c>
      <x:c r="B15" s="6" t="s">
        <x:v>101</x:v>
      </x:c>
      <x:c r="C15" s="7" t="s">
        <x:v>26</x:v>
      </x:c>
      <x:c r="D15" s="8" t="s">
        <x:v>111</x:v>
      </x:c>
      <x:c r="E15" s="9" t="s">
        <x:v>21</x:v>
      </x:c>
      <x:c r="F15" s="6" t="s">
        <x:v>112</x:v>
      </x:c>
      <x:c r="G15" s="6" t="s">
        <x:v>113</x:v>
      </x:c>
      <x:c r="H15" s="6" t="s">
        <x:v>114</x:v>
      </x:c>
      <x:c r="I15" s="10" t="n">
        <x:v>4549517.25</x:v>
      </x:c>
      <x:c r="J15" s="11" t="s">
        <x:v>107</x:v>
      </x:c>
      <x:c r="K15" s="11" t="s">
        <x:v>115</x:v>
      </x:c>
      <x:c r="L15" s="12" t="str">
        <x:f xml:space="preserve">HYPERLINK("https://","")</x:f>
        <x:v/>
      </x:c>
      <x:c r="M15" s="11" t="s">
        <x:v>109</x:v>
      </x:c>
      <x:c r="N15" s="13" t="s">
        <x:v>28</x:v>
      </x:c>
      <x:c r="O15" s="11" t="s">
        <x:v>116</x:v>
      </x:c>
      <x:c r="P15" s="11" t="s">
        <x:v>117</x:v>
      </x:c>
      <x:c r="Q15" s="14" t="str">
        <x:f xml:space="preserve">HYPERLINK("https://www.infonalia.es/licitaciones1125/2025169939.pdf","www.infonalia.es/licitaciones1125/2025169939.pdf")</x:f>
        <x:v>www.infonalia.es/licitaciones1125/2025169939.pdf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