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<x:sst xmlns:x="http://schemas.openxmlformats.org/spreadsheetml/2006/main" count="17" uniqueCount="17">
  <x:si>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</x:si>
  <x:si>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</x:si>
  <x:si>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</x:si>
  <x:si>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</x:si>
  <x:si>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</x:si>
  <x:si>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</x:si>
  <x:si>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</x:si>
  <x:si>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</x:si>
  <x:si>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</x:si>
  <x:si>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</x:si>
  <x:si>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</x:si>
  <x:si>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</x:si>
  <x:si>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</x:si>
  <x:si>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</x:si>
  <x:si>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</x:si>
  <x:si>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</x:si>
  <x:si>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</x:si>
  <x:si>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</x:si>
  <x:si>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</x:si>
  <x:si>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25/11/2025</x:t>
  </x:si>
  <x:si>
    <x:t>2025159604</x:t>
  </x:si>
  <x:si>
    <x:t>11/11/2025</x:t>
  </x:si>
  <x:si>
    <x:t>JUNTA DE GOBIERNO DEL AYUNTAMIENTO DE ALCOBENDAS (MADRID)</x:t>
  </x:si>
  <x:si>
    <x:t>Gala empresarial de los premios Avanza, que se celebrará en un hotel de Alcobendas donde se entregarán los premios a las empresas y personalidades que han contribuido significativamente al desarrollo de la ciudad y la región.</x:t>
  </x:si>
  <x:si>
    <x:t>EXP 23/2025</x:t>
  </x:si>
  <x:si>
    <x:t>Importe sin impuestos</x:t>
  </x:si>
  <x:si>
    <x:t/>
  </x:si>
  <x:si>
    <x:t>-----</x:t>
  </x:si>
  <x:si>
    <x:t>10/11/2025</x:t>
  </x:si>
  <x:si>
    <x:t/>
  </x:si>
  <x:si>
    <x:t>Madrid</x:t>
  </x:si>
  <x:si>
    <x:t>2025159627</x:t>
  </x:si>
  <x:si>
    <x:t>CONSELH GENERAU DE ARAN (LLEIDA)</x:t>
  </x:si>
  <x:si>
    <x:t>Servicio de producción y emisión televisiva de contenidos audiovisuaves en Aranès en territorio de Arán.</x:t>
  </x:si>
  <x:si>
    <x:t>CGA 4025-0003 2025</x:t>
  </x:si>
  <x:si>
    <x:t/>
  </x:si>
  <x:si>
    <x:t>Lleida</x:t>
  </x:si>
  <x:si>
    <x:t>27/11/2025</x:t>
  </x:si>
  <x:si>
    <x:t>2025159679</x:t>
  </x:si>
  <x:si>
    <x:t>DIPUTACIÓN DE BARCELONA</x:t>
  </x:si>
  <x:si>
    <x:t>Organización del evento de clausura del Cicle de Passejades para las Personas Mayores.</x:t>
  </x:si>
  <x:si>
    <x:t>2025/0037333</x:t>
  </x:si>
  <x:si>
    <x:t/>
  </x:si>
  <x:si>
    <x:t>Barcelona</x:t>
  </x:si>
  <x:si>
    <x:t>2025159680</x:t>
  </x:si>
  <x:si>
    <x:t>FUNDACIÓ PRIVADA INSTITUT DE FORMACIÓ CONTÍNUA DE LA UNIVERSITAT DE BARCELONA (IL3-UB) (M.P.)</x:t>
  </x:si>
  <x:si>
    <x:t>El presente contrato tiene por objeto la contratación de: • Servicio de alojamiento completo para 100 personas por el período del 18 al 22 de enero de 2026: 5 días (4 noches) y por 100 personas por el periodo del 25 al 27 de junio de 2026: 3 días (2 noches), • Servicio de forfait extra. • Servicio de 28 almuerzos y 20 almuerzos para el equipo docente participante • Diferentes espacios y salas polivalentes con materiales audiovisuales y ordenadores, • Servicio de parking con un mínimo de 75 plazas. El servicio de alojamiento completo incluye: alojamiento en habitación doble compartida o individual, desayuno buffet, coffee break mañana, comida tipo buffet, coffee break tarde y cena tipo bufé.</x:t>
  </x:si>
  <x:si>
    <x:t>14/2025</x:t>
  </x:si>
  <x:si>
    <x:t/>
  </x:si>
  <x:si>
    <x:t>24/11/2025</x:t>
  </x:si>
  <x:si>
    <x:t>2025159770</x:t>
  </x:si>
  <x:si>
    <x:t>GENERALITAT DE CATALUNYA. DEPARTAMENTO DE INTERIOR Y SEGURIDAD PÚBLICA</x:t>
  </x:si>
  <x:si>
    <x:t>Servicio de diseño, construcción y montaje y desmontaje de un stand para la Dirección General de la Policía en el Mobile World Congress 2026.</x:t>
  </x:si>
  <x:si>
    <x:t>IT-2026-55</x:t>
  </x:si>
  <x:si>
    <x:t/>
  </x:si>
  <x:si>
    <x:t>Barcelona. Perfil del Contratante del Ayuntamiento</x:t>
  </x:si>
  <x:si>
    <x:t>17/11/2025</x:t>
  </x:si>
  <x:si>
    <x:t>2025160013</x:t>
  </x:si>
  <x:si>
    <x:t>INSTITUTO DE CULTURA DE BARCELONA</x:t>
  </x:si>
  <x:si>
    <x:t>Servicios de gestión y dinamización de la estrategia de dinamización de públicos y de gestión 
digital del festival Danza Metropolitana 2026</x:t>
  </x:si>
  <x:si>
    <x:t>006_P2501595</x:t>
  </x:si>
  <x:si>
    <x:t>IVA excluido</x:t>
  </x:si>
  <x:si>
    <x:t/>
  </x:si>
  <x:si>
    <x:t/>
  </x:si>
  <x:si>
    <x:t>2025160253</x:t>
  </x:si>
  <x:si>
    <x:t>VICEPRESIDENCIA DE LA FUNDACIÓN MUNICIPAL DE CULTURA DE SIERO (ASTURIAS)</x:t>
  </x:si>
  <x:si>
    <x:t>Contratación para el desarrollo de actividades infantiles y juveniles en Navidad 2025 [Lote 1: NAVIDAD GAMER – Salón de Videojuegos en Lugones - Lote 2: Taller de manualidades de temática navideña]
</x:t>
  </x:si>
  <x:si>
    <x:t>48/2025</x:t>
  </x:si>
  <x:si>
    <x:t/>
  </x:si>
  <x:si>
    <x:t>Asturias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</x:si>
</x:sst>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57851.24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HYPERLINK("https://contrataciondelestado.es/wps/poc?uri=deeplink:detalle_licitacion&amp;idEvl=3fbCfDQnNOrVGIpKDxgsAQ%3D%3D","contrataciondelestado.es/wps/poc?uri=deeplink:detalle_licitacion&amp;idEvl=3fbCfDQnNOrVGIpKDxgsAQ%3D%3D")</x:f>
        <x:v>contrataciondelestado.es/wps/poc?uri=deeplink:detalle_licitacion&amp;idEvl=3fbCfDQnNOrVGIpKDxgsAQ%3D%3D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HYPERLINK("https://www.infonalia.es/licitaciones1125/2025159604.pdf","www.infonalia.es/licitaciones1125/2025159604.pdf")</x:f>
        <x:v>www.infonalia.es/licitaciones1125/2025159604.pdf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150000.00</x:v>
      </x:c>
      <x:c r="J3" s="11" t="s">
        <x:v>25</x:v>
      </x:c>
      <x:c r="K3" s="11" t="s">
        <x:v>26</x:v>
      </x:c>
      <x:c r="L3" s="12" t="str">
        <x:f xml:space="preserve">HYPERLINK("https://contractaciopublica.cat/oc/detall-publicacio/12a68dd1-122d-4660-9f64-e3fa45b785ea/300613321","contractaciopublica.cat/oc/detall-publicacio/12a68dd1-122d-4660-9f64-e3fa45b785ea/300613321")</x:f>
        <x:v>contractaciopublica.cat/oc/detall-publicacio/12a68dd1-122d-4660-9f64-e3fa45b785ea/300613321</x:v>
      </x:c>
      <x:c r="M3" s="11" t="s">
        <x:v>27</x:v>
      </x:c>
      <x:c r="N3" s="13" t="s">
        <x:v>28</x:v>
      </x:c>
      <x:c r="O3" s="11" t="s">
        <x:v>35</x:v>
      </x:c>
      <x:c r="P3" s="11" t="s">
        <x:v>36</x:v>
      </x:c>
      <x:c r="Q3" s="14" t="str">
        <x:f xml:space="preserve">HYPERLINK("https://www.infonalia.es/licitaciones1125/2025159627.pdf","www.infonalia.es/licitaciones1125/2025159627.pdf")</x:f>
        <x:v>www.infonalia.es/licitaciones1125/2025159627.pdf</x:v>
      </x:c>
    </x:row>
    <x:row r="4">
      <x:c r="A4" s="6" t="s">
        <x:v>17</x:v>
      </x:c>
      <x:c r="B4" s="6" t="s">
        <x:v>18</x:v>
      </x:c>
      <x:c r="C4" s="7" t="s">
        <x:v>37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47280.00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HYPERLINK("https://contractaciopublica.cat/ca/detall-publicacio/f66a0d89-949e-4baf-a4f2-7fe14a9f6963/300613348","contractaciopublica.cat/ca/detall-publicacio/f66a0d89-949e-4baf-a4f2-7fe14a9f6963/300613348")</x:f>
        <x:v>contractaciopublica.cat/ca/detall-publicacio/f66a0d89-949e-4baf-a4f2-7fe14a9f6963/300613348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HYPERLINK("https://www.infonalia.es/licitaciones1125/2025159679.pdf","www.infonalia.es/licitaciones1125/2025159679.pdf")</x:f>
        <x:v>www.infonalia.es/licitaciones1125/2025159679.pdf</x:v>
      </x:c>
    </x:row>
    <x:row r="5">
      <x:c r="A5" s="6" t="s">
        <x:v>17</x:v>
      </x:c>
      <x:c r="B5" s="6" t="s">
        <x:v>18</x:v>
      </x:c>
      <x:c r="C5" s="7" t="s">
        <x:v>19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98400.00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HYPERLINK("https://contractaciopublica.cat/ca/detall-publicacio/d98fe542-b1c3-4a6e-a951-0b2878a3654e/300613320","contractaciopublica.cat/ca/detall-publicacio/d98fe542-b1c3-4a6e-a951-0b2878a3654e/300613320")</x:f>
        <x:v>contractaciopublica.cat/ca/detall-publicacio/d98fe542-b1c3-4a6e-a951-0b2878a3654e/300613320</x:v>
      </x:c>
      <x:c r="M5" s="11" t="s">
        <x:v>27</x:v>
      </x:c>
      <x:c r="N5" s="13" t="s">
        <x:v>28</x:v>
      </x:c>
      <x:c r="O5" s="11" t="s">
        <x:v>48</x:v>
      </x:c>
      <x:c r="P5" s="11" t="s">
        <x:v>43</x:v>
      </x:c>
      <x:c r="Q5" s="14" t="str">
        <x:f xml:space="preserve">HYPERLINK("https://www.infonalia.es/licitaciones1125/2025159680.pdf","www.infonalia.es/licitaciones1125/2025159680.pdf")</x:f>
        <x:v>www.infonalia.es/licitaciones1125/2025159680.pdf</x:v>
      </x:c>
    </x:row>
    <x:row r="6">
      <x:c r="A6" s="6" t="s">
        <x:v>17</x:v>
      </x:c>
      <x:c r="B6" s="6" t="s">
        <x:v>18</x:v>
      </x:c>
      <x:c r="C6" s="7" t="s">
        <x:v>49</x:v>
      </x:c>
      <x:c r="D6" s="8" t="s">
        <x:v>50</x:v>
      </x:c>
      <x:c r="E6" s="9" t="s">
        <x:v>21</x:v>
      </x:c>
      <x:c r="F6" s="6" t="s">
        <x:v>51</x:v>
      </x:c>
      <x:c r="G6" s="6" t="s">
        <x:v>52</x:v>
      </x:c>
      <x:c r="H6" s="6" t="s">
        <x:v>53</x:v>
      </x:c>
      <x:c r="I6" s="10" t="n">
        <x:v>59000.00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HYPERLINK("https://contractaciopublica.cat/ca/detall-publicacio/8101ab3b-e1ee-4337-a689-d56ccbb23f2e/300613205","contractaciopublica.cat/ca/detall-publicacio/8101ab3b-e1ee-4337-a689-d56ccbb23f2e/300613205")</x:f>
        <x:v>contractaciopublica.cat/ca/detall-publicacio/8101ab3b-e1ee-4337-a689-d56ccbb23f2e/300613205</x:v>
      </x:c>
      <x:c r="M6" s="11" t="s">
        <x:v>27</x:v>
      </x:c>
      <x:c r="N6" s="13" t="s">
        <x:v>28</x:v>
      </x:c>
      <x:c r="O6" s="11" t="s">
        <x:v>54</x:v>
      </x:c>
      <x:c r="P6" s="11" t="s">
        <x:v>43</x:v>
      </x:c>
      <x:c r="Q6" s="14" t="str">
        <x:f xml:space="preserve">HYPERLINK("https://www.infonalia.es/licitaciones1125/2025159770.pdf","www.infonalia.es/licitaciones1125/2025159770.pdf")</x:f>
        <x:v>www.infonalia.es/licitaciones1125/2025159770.pdf</x:v>
      </x:c>
    </x:row>
    <x:row r="7">
      <x:c r="A7" s="6" t="s">
        <x:v>17</x:v>
      </x:c>
      <x:c r="B7" s="6" t="s">
        <x:v>55</x:v>
      </x:c>
      <x:c r="C7" s="7" t="s">
        <x:v>56</x:v>
      </x:c>
      <x:c r="D7" s="8" t="s">
        <x:v>57</x:v>
      </x:c>
      <x:c r="E7" s="9" t="s">
        <x:v>21</x:v>
      </x:c>
      <x:c r="F7" s="6" t="s">
        <x:v>58</x:v>
      </x:c>
      <x:c r="G7" s="6" t="s">
        <x:v>59</x:v>
      </x:c>
      <x:c r="H7" s="6" t="s">
        <x:v>60</x:v>
      </x:c>
      <x:c r="I7" s="10" t="n">
        <x:v>14999.00</x:v>
      </x:c>
      <x:c r="J7" s="11" t="s">
        <x:v>61</x:v>
      </x:c>
      <x:c r="K7" s="11" t="s">
        <x:v>62</x:v>
      </x:c>
      <x:c r="L7" s="12" t="str">
        <x:f xml:space="preserve">HYPERLINK("https://licitacions.bcn.cat/licitacion/licitaciones/detalle?id=13578927","licitacions.bcn.cat/licitacion/licitaciones/detalle?id=13578927")</x:f>
        <x:v>licitacions.bcn.cat/licitacion/licitaciones/detalle?id=13578927</x:v>
      </x:c>
      <x:c r="M7" s="11" t="s">
        <x:v>27</x:v>
      </x:c>
      <x:c r="N7" s="13" t="s">
        <x:v>28</x:v>
      </x:c>
      <x:c r="O7" s="11" t="s">
        <x:v>63</x:v>
      </x:c>
      <x:c r="P7" s="11" t="s">
        <x:v>43</x:v>
      </x:c>
      <x:c r="Q7" s="14" t="str">
        <x:f xml:space="preserve">HYPERLINK("https://www.infonalia.es/licitaciones1125/2025160013.pdf","www.infonalia.es/licitaciones1125/2025160013.pdf")</x:f>
        <x:v>www.infonalia.es/licitaciones1125/2025160013.pdf</x:v>
      </x:c>
    </x:row>
    <x:row r="8">
      <x:c r="A8" s="6" t="s">
        <x:v>17</x:v>
      </x:c>
      <x:c r="B8" s="6" t="s">
        <x:v>18</x:v>
      </x:c>
      <x:c r="C8" s="7" t="s">
        <x:v>19</x:v>
      </x:c>
      <x:c r="D8" s="8" t="s">
        <x:v>64</x:v>
      </x:c>
      <x:c r="E8" s="9" t="s">
        <x:v>21</x:v>
      </x:c>
      <x:c r="F8" s="6" t="s">
        <x:v>65</x:v>
      </x:c>
      <x:c r="G8" s="6" t="s">
        <x:v>66</x:v>
      </x:c>
      <x:c r="H8" s="6" t="s">
        <x:v>67</x:v>
      </x:c>
      <x:c r="I8" s="10" t="n">
        <x:v>6611.57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HYPERLINK("https://contrataciondelestado.es/wps/poc?uri=deeplink:detalle_licitacion&amp;idEvl=yyBruEhMPMzVGIpKDxgsAQ%3D%3D","contrataciondelestado.es/wps/poc?uri=deeplink:detalle_licitacion&amp;idEvl=yyBruEhMPMzVGIpKDxgsAQ%3D%3D")</x:f>
        <x:v>contrataciondelestado.es/wps/poc?uri=deeplink:detalle_licitacion&amp;idEvl=yyBruEhMPMzVGIpKDxgsAQ%3D%3D</x:v>
      </x:c>
      <x:c r="M8" s="11" t="s">
        <x:v>27</x:v>
      </x:c>
      <x:c r="N8" s="13" t="s">
        <x:v>21</x:v>
      </x:c>
      <x:c r="O8" s="11" t="s">
        <x:v>68</x:v>
      </x:c>
      <x:c r="P8" s="11" t="s">
        <x:v>69</x:v>
      </x:c>
      <x:c r="Q8" s="14" t="str">
        <x:f xml:space="preserve">HYPERLINK("https://www.infonalia.es/licitaciones1125/2025160253.pdf","www.infonalia.es/licitaciones1125/2025160253.pdf")</x:f>
        <x:v>www.infonalia.es/licitaciones1125/2025160253.pdf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