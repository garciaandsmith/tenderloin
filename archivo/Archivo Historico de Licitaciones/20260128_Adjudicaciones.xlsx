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<x:sst xmlns:x="http://schemas.openxmlformats.org/spreadsheetml/2006/main" count="11" uniqueCount="11">
  <x:si>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</x:si>
  <x:si>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</x:si>
  <x:si>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</x:si>
  <x:si>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</x:si>
  <x:si>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</x:si>
  <x:si>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</x:si>
  <x:si>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</x:si>
  <x:si>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</x:si>
  <x:si>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</x:si>
  <x:si>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</x:si>
  <x:si>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</x:si>
  <x:si>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</x:si>
  <x:si>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AUDIO VIDEO ZENTRALMEDIA, S.L</x:t>
  </x:si>
  <x:si>
    <x:t>28/01/2026 0:00:00</x:t>
  </x:si>
  <x:si>
    <x:t>26011924</x:t>
  </x:si>
  <x:si>
    <x:t>CORPORACIÓ CATALANA DE MITJANS AUDIOVISUALS, SA (CCMA, SA)</x:t>
  </x:si>
  <x:si>
    <x:t>Adquisición de una unidad de comentaristas para la cobertura de eventos deportivos y transmisiones en directo.</x:t>
  </x:si>
  <x:si>
    <x:t>2511MS12</x:t>
  </x:si>
  <x:si>
    <x:t>Catalunya</x:t>
  </x:si>
  <x:si>
    <x:t>NEXO EVENTS EUROPE SL</x:t>
  </x:si>
  <x:si>
    <x:t>26011930</x:t>
  </x:si>
  <x:si>
    <x:t>FUNDACIÓ UNIVERSITÀRIA BALMES</x:t>
  </x:si>
  <x:si>
    <x:t>Servicio de montaje e instalación, transporte y desmontaje del stand del Campus Vic de la UVIC-UCC en el Salón de la Enseñanza de Barcelona</x:t>
  </x:si>
  <x:si>
    <x:t>FUB202518</x:t>
  </x:si>
  <x:si>
    <x:t>Barcelona</x:t>
  </x:si>
  <x:si>
    <x:t>COMUNICACIÓN LA MAGNÉTICA S.L</x:t>
  </x:si>
  <x:si>
    <x:t>26011954</x:t>
  </x:si>
  <x:si>
    <x:t>FUNDACIÓN TECNOCAMPUS MATARÓ-MARESME</x:t>
  </x:si>
  <x:si>
    <x:t>Del servicio de planificación, ejecución y control de las campañas de marketing digital del tecnocampus</x:t>
  </x:si>
  <x:si>
    <x:t>ES_LA0011122_2025_EXP_312</x:t>
  </x:si>
  <x:si>
    <x:t>HALLON INTELLIGENCE, S.L</x:t>
  </x:si>
  <x:si>
    <x:t>26012046</x:t>
  </x:si>
  <x:si>
    <x:t>MINISTERIO DE CULTURA. DIRECCIÓN DEL MUSEO NACIONAL DEL PRADO</x:t>
  </x:si>
  <x:si>
    <x:t>Servicio de seguimiento de medios de comunicación del Museo Nacional del Prado</x:t>
  </x:si>
  <x:si>
    <x:t>25AS0470</x:t>
  </x:si>
  <x:si>
    <x:t>Madrid</x:t>
  </x:si>
  <x:si>
    <x:t>47 SEGUNDOS PRODUCCIONES, S.L</x:t>
  </x:si>
  <x:si>
    <x:t>26012157</x:t>
  </x:si>
  <x:si>
    <x:t>JUNTA DE GOBIERNO LOCAL DEL AYUNTAMIENTO DE TORRELAGUNA (MADRID)</x:t>
  </x:si>
  <x:si>
    <x:t>Servicio de gestión de la web municipal, gabinete de prensa, comunicación y promoción.</x:t>
  </x:si>
  <x:si>
    <x:t>1939/2024</x:t>
  </x:si>
  <x:si>
    <x:t>ESFERIA 54, S.L</x:t>
  </x:si>
  <x:si>
    <x:t>26012165</x:t>
  </x:si>
  <x:si>
    <x:t>GERENCIA DE LA FUNDACIÓN UNIVERSIDAD OVIEDO</x:t>
  </x:si>
  <x:si>
    <x:t>El objeto del contrato es la contratación del servicio para el diseño de la distribución y el equipamiento necesario para la realización del 23 Foro de Empleo de la Universidad de Oviedo, así como su montaje, mantenimiento y desmontaje</x:t>
  </x:si>
  <x:si>
    <x:t>FUO-03-2025</x:t>
  </x:si>
  <x:si>
    <x:t>Asturias</x:t>
  </x:si>
  <x:si>
    <x:t>FUNBRAIN, S.L</x:t>
  </x:si>
  <x:si>
    <x:t>26012300</x:t>
  </x:si>
  <x:si>
    <x:t>DIRECCIÓN DE BARCELONA SUPERCOMPUTING CENTER - CENTRO NACIONAL DE SUPERCOMPUTACIÓN (BSC-CNS)</x:t>
  </x:si>
  <x:si>
    <x:t>Servicio de promoción, organización y ejecución de las actividades educativas para la promoción de vocaciones STEM entre niñas en los centros de la Red Española de Supercomputación (RES)</x:t>
  </x:si>
  <x:si>
    <x:t>CONSER02025044OP</x:t>
  </x:si>
  <x:si>
    <x:t>LOTE 1 ENGINYERIA DE SISTEMES AUDIOVISUALS S.L; LOTE 2 R-MEDIA EVOLUTION TWF-C S.L.</x:t>
  </x:si>
  <x:si>
    <x:t>26012356</x:t>
  </x:si>
  <x:si>
    <x:t>AYUNTAMIENTO DE GRANOLLERS (BARCELONA)</x:t>
  </x:si>
  <x:si>
    <x:t>El servicio de producción de recursos digitales vinculados al proyecto de rehabilitación y valorización de las murallas medievales de Granollers con el fin de mejorar la experiencia de la visita al patrimonio de las murallas de la ciudad de Granollers y potenciar el itinerario turístico y cultural y el suministro del equipo técnico necesario. Lote 1: Producción de los recursos digitales de interpretación y difusión del proyecto. Lote 2: equipamiento técnico.</x:t>
  </x:si>
  <x:si>
    <x:t>2025/114 (116/2025/CONT)</x:t>
  </x:si>
  <x:si>
    <x:t>Ver detalle de la adjudicación</x:t>
  </x:si>
  <x:si>
    <x:t>M&amp;C SAATCHI MADRID SL</x:t>
  </x:si>
  <x:si>
    <x:t>26012427</x:t>
  </x:si>
  <x:si>
    <x:t>AENA. DIRECCIÓN DE CONTRATACIÓN</x:t>
  </x:si>
  <x:si>
    <x:t>Servicio global en comunicación corporativa.</x:t>
  </x:si>
  <x:si>
    <x:t>DCP-388/2025</x:t>
  </x:si>
  <x:si>
    <x:t>FUNDACIÓN ALBÉNIZ</x:t>
  </x:si>
  <x:si>
    <x:t>26012663</x:t>
  </x:si>
  <x:si>
    <x:t>MINISTERIO DE TRANSPORTES Y MOVILIDAD SOSTENIBLE. PRESIDENCIA DEL ORGANISMO PÚBLICO PUERTOS DEL ESTADO</x:t>
  </x:si>
  <x:si>
    <x:t>Patrocinio a favor de la Fundación Albéniz para el apoyo a las actividades de la Escuela Superior de Música Reina Sofía</x:t>
  </x:si>
  <x:si>
    <x:t>E/064/25</x:t>
  </x:si>
  <x:si>
    <x:t>Desierta</x:t>
  </x:si>
  <x:si>
    <x:t>DESIERTO</x:t>
  </x:si>
  <x:si>
    <x:t>26012887</x:t>
  </x:si>
  <x:si>
    <x:t>AYUNTAMIENTO DE SITGES (BARCELONA)</x:t>
  </x:si>
  <x:si>
    <x:t>El otorgamiento de una licencia
de aprovechamiento privativo sin transformación del dominio público local para la organización 
de una feria de Navidad</x:t>
  </x:si>
  <x:si>
    <x:t>No consta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</x:si>
</x:sst>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HYPERLINK("https://www.infonalia.es/adjudicaciones0126/26011924.pdf","www.infonalia.es/adjudicaciones0126/26011924.pdf")</x:f>
        <x:v>www.infonalia.es/adjudicaciones0126/26011924.pdf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6447.70</x:v>
      </x:c>
      <x:c r="K2" s="9" t="n">
        <x:v>6500.00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HYPERLINK("https://www.infonalia.es/adjudicaciones0126/26011930.pdf","www.infonalia.es/adjudicaciones0126/26011930.pdf")</x:f>
        <x:v>www.infonalia.es/adjudicaciones0126/26011930.pdf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n">
        <x:v>34900.00</x:v>
      </x:c>
      <x:c r="K3" s="9" t="n">
        <x:v>35500.00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HYPERLINK("https://www.infonalia.es/adjudicaciones0126/26011954.pdf","www.infonalia.es/adjudicaciones0126/26011954.pdf")</x:f>
        <x:v>www.infonalia.es/adjudicaciones0126/26011954.pdf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24</x:v>
      </x:c>
      <x:c r="J4" s="9" t="n">
        <x:v>520009.26</x:v>
      </x:c>
      <x:c r="K4" s="9" t="n">
        <x:v>535170.06</x:v>
      </x:c>
    </x:row>
    <x:row r="5">
      <x:c r="A5" s="6" t="s">
        <x:v>11</x:v>
      </x:c>
      <x:c r="B5" s="6" t="s">
        <x:v>30</x:v>
      </x:c>
      <x:c r="C5" s="6" t="s">
        <x:v>13</x:v>
      </x:c>
      <x:c r="D5" s="7" t="str">
        <x:f xml:space="preserve">HYPERLINK("https://www.infonalia.es/adjudicaciones0126/26012046.pdf","www.infonalia.es/adjudicaciones0126/26012046.pdf")</x:f>
        <x:v>www.infonalia.es/adjudicaciones0126/26012046.pdf</x:v>
      </x:c>
      <x:c r="E5" s="8" t="s">
        <x:v>31</x:v>
      </x:c>
      <x:c r="F5" s="6" t="s">
        <x:v>32</x:v>
      </x:c>
      <x:c r="G5" s="6" t="s">
        <x:v>33</x:v>
      </x:c>
      <x:c r="H5" s="6" t="s">
        <x:v>34</x:v>
      </x:c>
      <x:c r="I5" s="6" t="s">
        <x:v>35</x:v>
      </x:c>
      <x:c r="J5" s="9" t="n">
        <x:v>13289.26</x:v>
      </x:c>
      <x:c r="K5" s="9" t="n">
        <x:v>19834.71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HYPERLINK("https://www.infonalia.es/adjudicaciones0126/26012157.pdf","www.infonalia.es/adjudicaciones0126/26012157.pdf")</x:f>
        <x:v>www.infonalia.es/adjudicaciones0126/26012157.pdf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35</x:v>
      </x:c>
      <x:c r="J6" s="9" t="n">
        <x:v>18704.00</x:v>
      </x:c>
      <x:c r="K6" s="9" t="n">
        <x:v>21000.00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HYPERLINK("https://www.infonalia.es/adjudicaciones0126/26012165.pdf","www.infonalia.es/adjudicaciones0126/26012165.pdf")</x:f>
        <x:v>www.infonalia.es/adjudicaciones0126/26012165.pdf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46</x:v>
      </x:c>
      <x:c r="J7" s="9" t="n">
        <x:v>92900.00</x:v>
      </x:c>
      <x:c r="K7" s="9" t="n">
        <x:v>95000.00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HYPERLINK("https://www.infonalia.es/adjudicaciones0126/26012300.pdf","www.infonalia.es/adjudicaciones0126/26012300.pdf")</x:f>
        <x:v>www.infonalia.es/adjudicaciones0126/26012300.pdf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24</x:v>
      </x:c>
      <x:c r="J8" s="9" t="n">
        <x:v>425.00</x:v>
      </x:c>
      <x:c r="K8" s="9" t="n">
        <x:v>45454.55</x:v>
      </x:c>
    </x:row>
    <x:row r="9">
      <x:c r="A9" s="6" t="s">
        <x:v>11</x:v>
      </x:c>
      <x:c r="B9" s="6" t="s">
        <x:v>52</x:v>
      </x:c>
      <x:c r="C9" s="6" t="s">
        <x:v>13</x:v>
      </x:c>
      <x:c r="D9" s="7" t="str">
        <x:f xml:space="preserve">HYPERLINK("https://www.infonalia.es/adjudicaciones0126/26012356.pdf","www.infonalia.es/adjudicaciones0126/26012356.pdf")</x:f>
        <x:v>www.infonalia.es/adjudicaciones0126/26012356.pdf</x:v>
      </x:c>
      <x:c r="E9" s="8" t="s">
        <x:v>53</x:v>
      </x:c>
      <x:c r="F9" s="6" t="s">
        <x:v>54</x:v>
      </x:c>
      <x:c r="G9" s="6" t="s">
        <x:v>55</x:v>
      </x:c>
      <x:c r="H9" s="6" t="s">
        <x:v>56</x:v>
      </x:c>
      <x:c r="I9" s="6" t="s">
        <x:v>24</x:v>
      </x:c>
      <x:c r="J9" s="9" t="s">
        <x:v>57</x:v>
      </x:c>
      <x:c r="K9" s="9" t="n">
        <x:v>34600.00</x:v>
      </x:c>
    </x:row>
    <x:row r="10">
      <x:c r="A10" s="6" t="s">
        <x:v>11</x:v>
      </x:c>
      <x:c r="B10" s="6" t="s">
        <x:v>58</x:v>
      </x:c>
      <x:c r="C10" s="6" t="s">
        <x:v>13</x:v>
      </x:c>
      <x:c r="D10" s="7" t="str">
        <x:f xml:space="preserve">HYPERLINK("https://www.infonalia.es/adjudicaciones0126/26012427.pdf","www.infonalia.es/adjudicaciones0126/26012427.pdf")</x:f>
        <x:v>www.infonalia.es/adjudicaciones0126/26012427.pdf</x:v>
      </x:c>
      <x:c r="E10" s="8" t="s">
        <x:v>59</x:v>
      </x:c>
      <x:c r="F10" s="6" t="s">
        <x:v>60</x:v>
      </x:c>
      <x:c r="G10" s="6" t="s">
        <x:v>61</x:v>
      </x:c>
      <x:c r="H10" s="6" t="s">
        <x:v>62</x:v>
      </x:c>
      <x:c r="I10" s="6" t="s">
        <x:v>35</x:v>
      </x:c>
      <x:c r="J10" s="9" t="n">
        <x:v>125500.00</x:v>
      </x:c>
      <x:c r="K10" s="9" t="n">
        <x:v>145000.00</x:v>
      </x:c>
    </x:row>
    <x:row r="11">
      <x:c r="A11" s="6" t="s">
        <x:v>11</x:v>
      </x:c>
      <x:c r="B11" s="6" t="s">
        <x:v>63</x:v>
      </x:c>
      <x:c r="C11" s="6" t="s">
        <x:v>13</x:v>
      </x:c>
      <x:c r="D11" s="7" t="str">
        <x:f xml:space="preserve">HYPERLINK("https://www.infonalia.es/adjudicaciones0126/26012663.pdf","www.infonalia.es/adjudicaciones0126/26012663.pdf")</x:f>
        <x:v>www.infonalia.es/adjudicaciones0126/26012663.pdf</x:v>
      </x:c>
      <x:c r="E11" s="8" t="s">
        <x:v>64</x:v>
      </x:c>
      <x:c r="F11" s="6" t="s">
        <x:v>65</x:v>
      </x:c>
      <x:c r="G11" s="6" t="s">
        <x:v>66</x:v>
      </x:c>
      <x:c r="H11" s="6" t="s">
        <x:v>67</x:v>
      </x:c>
      <x:c r="I11" s="6" t="s">
        <x:v>35</x:v>
      </x:c>
      <x:c r="J11" s="9" t="n">
        <x:v>60000.00</x:v>
      </x:c>
      <x:c r="K11" s="9" t="n">
        <x:v>60000.00</x:v>
      </x:c>
    </x:row>
    <x:row r="12">
      <x:c r="A12" s="6" t="s">
        <x:v>68</x:v>
      </x:c>
      <x:c r="B12" s="6" t="s">
        <x:v>69</x:v>
      </x:c>
      <x:c r="C12" s="6" t="s">
        <x:v>13</x:v>
      </x:c>
      <x:c r="D12" s="7" t="str">
        <x:f xml:space="preserve">HYPERLINK("https://www.infonalia.es/adjudicaciones0126/26012887.pdf","www.infonalia.es/adjudicaciones0126/26012887.pdf")</x:f>
        <x:v>www.infonalia.es/adjudicaciones0126/26012887.pdf</x:v>
      </x:c>
      <x:c r="E12" s="8" t="s">
        <x:v>70</x:v>
      </x:c>
      <x:c r="F12" s="6" t="s">
        <x:v>71</x:v>
      </x:c>
      <x:c r="G12" s="6" t="s">
        <x:v>72</x:v>
      </x:c>
      <x:c r="H12" s="6" t="s">
        <x:v>73</x:v>
      </x:c>
      <x:c r="I12" s="6" t="s">
        <x:v>24</x:v>
      </x:c>
      <x:c r="J12" s="9" t="s">
        <x:v>57</x:v>
      </x:c>
      <x:c r="K12" s="9" t="s">
        <x:v>57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