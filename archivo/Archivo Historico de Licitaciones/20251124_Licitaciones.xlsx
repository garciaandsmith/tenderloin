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<x:sst xmlns:x="http://schemas.openxmlformats.org/spreadsheetml/2006/main" count="17" uniqueCount="17">
  <x:si>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</x:si>
  <x:si>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</x:si>
  <x:si>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</x:si>
  <x:si>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</x:si>
  <x:si>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</x:si>
  <x:si>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</x:si>
  <x:si>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</x:si>
  <x:si>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</x:si>
  <x:si>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</x:si>
  <x:si>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</x:si>
  <x:si>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</x:si>
  <x:si>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</x:si>
  <x:si>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</x:si>
  <x:si>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</x:si>
  <x:si>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</x:si>
  <x:si>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</x:si>
  <x:si>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</x:si>
  <x:si>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</x:si>
  <x:si>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</x:si>
  <x:si>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08/12/2025</x:t>
  </x:si>
  <x:si>
    <x:t>2025167121</x:t>
  </x:si>
  <x:si>
    <x:t>24/11/2025</x:t>
  </x:si>
  <x:si>
    <x:t>MINISTERIO DEL INTERIOR. JEFATURA DE ASUNTOS ECONÓMICOS DE LA GUARDIA CIVIL</x:t>
  </x:si>
  <x:si>
    <x:t>El suministro de un mínimo de 80.000 cuadernos divulgativos sobre competencias digitales para la seguridad de la información aportando una copia electrónica del contenido de los mismos</x:t>
  </x:si>
  <x:si>
    <x:t>A/0015/X/25/2</x:t>
  </x:si>
  <x:si>
    <x:t>Importe sin impuestos</x:t>
  </x:si>
  <x:si>
    <x:t/>
  </x:si>
  <x:si>
    <x:t>-----</x:t>
  </x:si>
  <x:si>
    <x:t>21/11/2025</x:t>
  </x:si>
  <x:si>
    <x:t/>
  </x:si>
  <x:si>
    <x:t>Madrid</x:t>
  </x:si>
  <x:si>
    <x:t>09/12/2025</x:t>
  </x:si>
  <x:si>
    <x:t>2025167297</x:t>
  </x:si>
  <x:si>
    <x:t>JUNTA DE GOBIERNO DEL AYUNTAMIENTO DE LEGANÉS (MADRID)</x:t>
  </x:si>
  <x:si>
    <x:t>Servicio para el desarrollo de la Gala del Deportes de Leganés, organizada por la Delegación de Deportes</x:t>
  </x:si>
  <x:si>
    <x:t>2025/0088</x:t>
  </x:si>
  <x:si>
    <x:t/>
  </x:si>
  <x:si>
    <x:t>Catalunya - Plataforma de Contratación</x:t>
  </x:si>
  <x:si>
    <x:t>2025167385</x:t>
  </x:si>
  <x:si>
    <x:t>DIPUTACIÓN DE GIRONA</x:t>
  </x:si>
  <x:si>
    <x:t>2025/10034 El objeto del contrato es el servicio de creación y producción de contenidos audiovisuales destinados a apoyar la difusión de contenidos institucionales y campañas de divulgación y publicidad vinculadas a los proyectos de la Oficina de Difusión de la Diputación de Girona.</x:t>
  </x:si>
  <x:si>
    <x:t>Alerta futura</x:t>
  </x:si>
  <x:si>
    <x:t>No consta</x:t>
  </x:si>
  <x:si>
    <x:t/>
  </x:si>
  <x:si>
    <x:t>Girona</x:t>
  </x:si>
  <x:si>
    <x:t>10/12/2025</x:t>
  </x:si>
  <x:si>
    <x:t>2025167418</x:t>
  </x:si>
  <x:si>
    <x:t>GENERALITAT DE CATALUNYA. DEPARTAMENTO DE POLÍTICA LINGÜÍSTICA</x:t>
  </x:si>
  <x:si>
    <x:t>Producción de 5 vídeos breves para fomentar el aprendizaje y el uso del catalán en el comercio de proximidad, dirigidos a colectivos de personas recién llegadas con presencia destacada en el sector comercial</x:t>
  </x:si>
  <x:si>
    <x:t>LI-2026-6</x:t>
  </x:si>
  <x:si>
    <x:t>IVA excuido</x:t>
  </x:si>
  <x:si>
    <x:t/>
  </x:si>
  <x:si>
    <x:t/>
  </x:si>
  <x:si>
    <x:t>Catalunya</x:t>
  </x:si>
  <x:si>
    <x:t>2025167430</x:t>
  </x:si>
  <x:si>
    <x:t>AYUNTAMIENTO DE GRANOLLERS (BARCELONA)</x:t>
  </x:si>
  <x:si>
    <x:t>Contrato de servicio de gestión de inscripciones y acogida del XVIII congreso internacional de ciudades educadoras</x:t>
  </x:si>
  <x:si>
    <x:t>2025/87 (84/2025/CONT)</x:t>
  </x:si>
  <x:si>
    <x:t/>
  </x:si>
  <x:si>
    <x:t/>
  </x:si>
  <x:si>
    <x:t>Barcelona</x:t>
  </x:si>
  <x:si>
    <x:t>22/12/2025</x:t>
  </x:si>
  <x:si>
    <x:t>2025167473</x:t>
  </x:si>
  <x:si>
    <x:t>BANCO DE SANGRE Y TEJIDOS (BST)</x:t>
  </x:si>
  <x:si>
    <x:t>Servicios de marketing y comunicación por contenido digital por el Banco de Sangre y Tejidos. Lote 1 Creación, producción y edición de contenidos. Lote 
2 Estudio de diseño gráfico para el desarrollo y adaptación de materiales gráficos. Lote 
3 Gestión de influencers, por la creación y producción de contenidos de posicionamiento de marca en las plataformas
. Lote 4 Inserción de publicidad institucional en META y GOOGLE.</x:t>
  </x:si>
  <x:si>
    <x:t>CSE/1000/1100007376/26/PO</x:t>
  </x:si>
  <x:si>
    <x:t>IVA excluido</x:t>
  </x:si>
  <x:si>
    <x:t/>
  </x:si>
  <x:si>
    <x:t/>
  </x:si>
  <x:si>
    <x:t>IFEMA - Institución Ferial de Madrid</x:t>
  </x:si>
  <x:si>
    <x:t>2025167500</x:t>
  </x:si>
  <x:si>
    <x:t>IFEMA - INSTITUCIÓN FERIAL DE MADRID</x:t>
  </x:si>
  <x:si>
    <x:t>Servicio de agencia de medios para el diseño y la implementación de un plan de medios que posicione Madrid</x:t>
  </x:si>
  <x:si>
    <x:t>25/194</x:t>
  </x:si>
  <x:si>
    <x:t/>
  </x:si>
  <x:si>
    <x:t/>
  </x:si>
  <x:si>
    <x:t>16/12/2025</x:t>
  </x:si>
  <x:si>
    <x:t>2025167593</x:t>
  </x:si>
  <x:si>
    <x:t>FUNDACIÓN PARA LA INVESTIGACIÓN BIOMÉDICA DEL HOSPITAL CLÍNICO SAN CARLOS</x:t>
  </x:si>
  <x:si>
    <x:t>Contratación de la renovación de la página web y los servicios y recursos digitales asociados a la red de enfermedades inflamatorias (REI).</x:t>
  </x:si>
  <x:si>
    <x:t>PAS 12-25</x:t>
  </x:si>
  <x:si>
    <x:t/>
  </x:si>
  <x:si>
    <x:t>11/12/2025</x:t>
  </x:si>
  <x:si>
    <x:t>2025167654</x:t>
  </x:si>
  <x:si>
    <x:t>Servicio de gestión de inscripciones y acogida del XVIII Congreso Internacional de Ciudades Educadoras que se celebrará en la ciudad de Granollers del 25 al 29 de mayo de 2026</x:t>
  </x:si>
  <x:si>
    <x:t>2025/087 (84/2025/CONT)</x:t>
  </x:si>
  <x:si>
    <x:t/>
  </x:si>
  <x:si>
    <x:t>28/01/2026</x:t>
  </x:si>
  <x:si>
    <x:t>2025167656</x:t>
  </x:si>
  <x:si>
    <x:t>GENERALITAT DE CATALUNYA.DEPARTAMENTO DE LA PRESIDENCIA</x:t>
  </x:si>
  <x:si>
    <x:t>Servicios de preproducción, realización, producción, postproducción y edición de una campaña de publicidad institucional que incluye productos audiovisuales (sean spots, cuñas u otros formatos audiovisuales), fotografías y productos gráficos (sean anuncios u otros formatos gráficos, estáticos o animados). PR-2026-21</x:t>
  </x:si>
  <x:si>
    <x:t>PR-2026-21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</x:si>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</x:sst>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69600.00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HYPERLINK("https://contrataciondelestado.es/wps/poc?uri=deeplink:detalle_licitacion&amp;idEvl=fG4TuSFsNLEzjChw4z%2FXvw%3D%3D","contrataciondelestado.es/wps/poc?uri=deeplink:detalle_licitacion&amp;idEvl=fG4TuSFsNLEzjChw4z%2FXvw%3D%3D")</x:f>
        <x:v>contrataciondelestado.es/wps/poc?uri=deeplink:detalle_licitacion&amp;idEvl=fG4TuSFsNLEzjChw4z%2FXvw%3D%3D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HYPERLINK("https://www.infonalia.es/licitaciones1125/2025167121.pdf","www.infonalia.es/licitaciones1125/2025167121.pdf")</x:f>
        <x:v>www.infonalia.es/licitaciones1125/2025167121.pdf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37850.76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HYPERLINK("https://contrataciondelestado.es/wps/poc?uri=deeplink:detalle_licitacion&amp;idEvl=4wZdtFJxJeTzAq95uGTrDQ%3D%3D","contrataciondelestado.es/wps/poc?uri=deeplink:detalle_licitacion&amp;idEvl=4wZdtFJxJeTzAq95uGTrDQ%3D%3D")</x:f>
        <x:v>contrataciondelestado.es/wps/poc?uri=deeplink:detalle_licitacion&amp;idEvl=4wZdtFJxJeTzAq95uGTrDQ%3D%3D</x:v>
      </x:c>
      <x:c r="M3" s="11" t="s">
        <x:v>27</x:v>
      </x:c>
      <x:c r="N3" s="13" t="s">
        <x:v>28</x:v>
      </x:c>
      <x:c r="O3" s="11" t="s">
        <x:v>36</x:v>
      </x:c>
      <x:c r="P3" s="11" t="s">
        <x:v>30</x:v>
      </x:c>
      <x:c r="Q3" s="14" t="str">
        <x:f xml:space="preserve">HYPERLINK("https://www.infonalia.es/licitaciones1125/2025167297.pdf","www.infonalia.es/licitaciones1125/2025167297.pdf")</x:f>
        <x:v>www.infonalia.es/licitaciones1125/2025167297.pdf</x:v>
      </x:c>
    </x:row>
    <x:row r="4">
      <x:c r="A4" s="6" t="s">
        <x:v>17</x:v>
      </x:c>
      <x:c r="B4" s="6" t="s">
        <x:v>37</x:v>
      </x:c>
      <x:c r="C4" s="7" t="s">
        <x:v>26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/>
      <x:c r="J4" s="11" t="s">
        <x:v>42</x:v>
      </x:c>
      <x:c r="K4" s="11" t="s">
        <x:v>42</x:v>
      </x:c>
      <x:c r="L4" s="12" t="str">
        <x:f xml:space="preserve">HYPERLINK("https://contractaciopublica.cat/es/detall-publicacio/300625801","contractaciopublica.cat/es/detall-publicacio/300625801")</x:f>
        <x:v>contractaciopublica.cat/es/detall-publicacio/300625801</x:v>
      </x:c>
      <x:c r="M4" s="11" t="s">
        <x:v>27</x:v>
      </x:c>
      <x:c r="N4" s="13" t="s">
        <x:v>28</x:v>
      </x:c>
      <x:c r="O4" s="11" t="s">
        <x:v>43</x:v>
      </x:c>
      <x:c r="P4" s="11" t="s">
        <x:v>44</x:v>
      </x:c>
      <x:c r="Q4" s="14" t="str">
        <x:f xml:space="preserve">HYPERLINK("https://www.infonalia.es/licitaciones1125/2025167385.pdf","www.infonalia.es/licitaciones1125/2025167385.pdf")</x:f>
        <x:v>www.infonalia.es/licitaciones1125/2025167385.pdf</x:v>
      </x:c>
    </x:row>
    <x:row r="5">
      <x:c r="A5" s="6" t="s">
        <x:v>17</x:v>
      </x:c>
      <x:c r="B5" s="6" t="s">
        <x:v>37</x:v>
      </x:c>
      <x:c r="C5" s="7" t="s">
        <x:v>45</x:v>
      </x:c>
      <x:c r="D5" s="8" t="s">
        <x:v>46</x:v>
      </x:c>
      <x:c r="E5" s="9" t="s">
        <x:v>21</x:v>
      </x:c>
      <x:c r="F5" s="6" t="s">
        <x:v>47</x:v>
      </x:c>
      <x:c r="G5" s="6" t="s">
        <x:v>48</x:v>
      </x:c>
      <x:c r="H5" s="6" t="s">
        <x:v>49</x:v>
      </x:c>
      <x:c r="I5" s="10" t="n">
        <x:v>60000.00</x:v>
      </x:c>
      <x:c r="J5" s="11" t="s">
        <x:v>50</x:v>
      </x:c>
      <x:c r="K5" s="11" t="s">
        <x:v>51</x:v>
      </x:c>
      <x:c r="L5" s="12" t="str">
        <x:f xml:space="preserve">HYPERLINK("https://contractaciopublica.cat/es/detall-publicacio/300626441","contractaciopublica.cat/es/detall-publicacio/300626441")</x:f>
        <x:v>contractaciopublica.cat/es/detall-publicacio/300626441</x:v>
      </x:c>
      <x:c r="M5" s="11" t="s">
        <x:v>27</x:v>
      </x:c>
      <x:c r="N5" s="13" t="s">
        <x:v>28</x:v>
      </x:c>
      <x:c r="O5" s="11" t="s">
        <x:v>52</x:v>
      </x:c>
      <x:c r="P5" s="11" t="s">
        <x:v>53</x:v>
      </x:c>
      <x:c r="Q5" s="14" t="str">
        <x:f xml:space="preserve">HYPERLINK("https://www.infonalia.es/licitaciones1125/2025167418.pdf","www.infonalia.es/licitaciones1125/2025167418.pdf")</x:f>
        <x:v>www.infonalia.es/licitaciones1125/2025167418.pdf</x:v>
      </x:c>
    </x:row>
    <x:row r="6">
      <x:c r="A6" s="6" t="s">
        <x:v>17</x:v>
      </x:c>
      <x:c r="B6" s="6" t="s">
        <x:v>37</x:v>
      </x:c>
      <x:c r="C6" s="7" t="s">
        <x:v>31</x:v>
      </x:c>
      <x:c r="D6" s="8" t="s">
        <x:v>54</x:v>
      </x:c>
      <x:c r="E6" s="9" t="s">
        <x:v>21</x:v>
      </x:c>
      <x:c r="F6" s="6" t="s">
        <x:v>55</x:v>
      </x:c>
      <x:c r="G6" s="6" t="s">
        <x:v>56</x:v>
      </x:c>
      <x:c r="H6" s="6" t="s">
        <x:v>57</x:v>
      </x:c>
      <x:c r="I6" s="10" t="n">
        <x:v>32214.60</x:v>
      </x:c>
      <x:c r="J6" s="11" t="s">
        <x:v>50</x:v>
      </x:c>
      <x:c r="K6" s="11" t="s">
        <x:v>58</x:v>
      </x:c>
      <x:c r="L6" s="12" t="str">
        <x:f xml:space="preserve">HYPERLINK("https://contractaciopublica.cat/es/detall-publicacio/300626327","contractaciopublica.cat/es/detall-publicacio/300626327")</x:f>
        <x:v>contractaciopublica.cat/es/detall-publicacio/300626327</x:v>
      </x:c>
      <x:c r="M6" s="11" t="s">
        <x:v>27</x:v>
      </x:c>
      <x:c r="N6" s="13" t="s">
        <x:v>28</x:v>
      </x:c>
      <x:c r="O6" s="11" t="s">
        <x:v>59</x:v>
      </x:c>
      <x:c r="P6" s="11" t="s">
        <x:v>60</x:v>
      </x:c>
      <x:c r="Q6" s="14" t="str">
        <x:f xml:space="preserve">HYPERLINK("https://www.infonalia.es/licitaciones1125/2025167430.pdf","www.infonalia.es/licitaciones1125/2025167430.pdf")</x:f>
        <x:v>www.infonalia.es/licitaciones1125/2025167430.pdf</x:v>
      </x:c>
    </x:row>
    <x:row r="7">
      <x:c r="A7" s="6" t="s">
        <x:v>17</x:v>
      </x:c>
      <x:c r="B7" s="6" t="s">
        <x:v>37</x:v>
      </x:c>
      <x:c r="C7" s="7" t="s">
        <x:v>61</x:v>
      </x:c>
      <x:c r="D7" s="8" t="s">
        <x:v>62</x:v>
      </x:c>
      <x:c r="E7" s="9" t="s">
        <x:v>21</x:v>
      </x:c>
      <x:c r="F7" s="6" t="s">
        <x:v>63</x:v>
      </x:c>
      <x:c r="G7" s="6" t="s">
        <x:v>64</x:v>
      </x:c>
      <x:c r="H7" s="6" t="s">
        <x:v>65</x:v>
      </x:c>
      <x:c r="I7" s="10" t="n">
        <x:v>280000.00</x:v>
      </x:c>
      <x:c r="J7" s="11" t="s">
        <x:v>66</x:v>
      </x:c>
      <x:c r="K7" s="11" t="s">
        <x:v>67</x:v>
      </x:c>
      <x:c r="L7" s="12" t="str">
        <x:f xml:space="preserve">HYPERLINK("https://contractaciopublica.cat/es/detall-publicacio/300625466","contractaciopublica.cat/es/detall-publicacio/300625466")</x:f>
        <x:v>contractaciopublica.cat/es/detall-publicacio/300625466</x:v>
      </x:c>
      <x:c r="M7" s="11" t="s">
        <x:v>27</x:v>
      </x:c>
      <x:c r="N7" s="13" t="s">
        <x:v>28</x:v>
      </x:c>
      <x:c r="O7" s="11" t="s">
        <x:v>68</x:v>
      </x:c>
      <x:c r="P7" s="11" t="s">
        <x:v>53</x:v>
      </x:c>
      <x:c r="Q7" s="14" t="str">
        <x:f xml:space="preserve">HYPERLINK("https://www.infonalia.es/licitaciones1125/2025167473.pdf","www.infonalia.es/licitaciones1125/2025167473.pdf")</x:f>
        <x:v>www.infonalia.es/licitaciones1125/2025167473.pdf</x:v>
      </x:c>
    </x:row>
    <x:row r="8">
      <x:c r="A8" s="6" t="s">
        <x:v>17</x:v>
      </x:c>
      <x:c r="B8" s="6" t="s">
        <x:v>69</x:v>
      </x:c>
      <x:c r="C8" s="7" t="s">
        <x:v>45</x:v>
      </x:c>
      <x:c r="D8" s="8" t="s">
        <x:v>70</x:v>
      </x:c>
      <x:c r="E8" s="9" t="s">
        <x:v>21</x:v>
      </x:c>
      <x:c r="F8" s="6" t="s">
        <x:v>71</x:v>
      </x:c>
      <x:c r="G8" s="6" t="s">
        <x:v>72</x:v>
      </x:c>
      <x:c r="H8" s="6" t="s">
        <x:v>73</x:v>
      </x:c>
      <x:c r="I8" s="10" t="n">
        <x:v>15169578.52</x:v>
      </x:c>
      <x:c r="J8" s="11" t="s">
        <x:v>25</x:v>
      </x:c>
      <x:c r="K8" s="11" t="s">
        <x:v>74</x:v>
      </x:c>
      <x:c r="L8" s="12" t="str">
        <x:f xml:space="preserve">HYPERLINK("https://licitaciones2.ifema.es/licitacion/licitaciones/detalle?id=3052675","licitaciones2.ifema.es/licitacion/licitaciones/detalle?id=3052675")</x:f>
        <x:v>licitaciones2.ifema.es/licitacion/licitaciones/detalle?id=3052675</x:v>
      </x:c>
      <x:c r="M8" s="11" t="s">
        <x:v>27</x:v>
      </x:c>
      <x:c r="N8" s="13" t="s">
        <x:v>28</x:v>
      </x:c>
      <x:c r="O8" s="11" t="s">
        <x:v>75</x:v>
      </x:c>
      <x:c r="P8" s="11" t="s">
        <x:v>30</x:v>
      </x:c>
      <x:c r="Q8" s="14" t="str">
        <x:f xml:space="preserve">HYPERLINK("https://www.infonalia.es/licitaciones1125/2025167500.pdf","www.infonalia.es/licitaciones1125/2025167500.pdf")</x:f>
        <x:v>www.infonalia.es/licitaciones1125/2025167500.pdf</x:v>
      </x:c>
    </x:row>
    <x:row r="9">
      <x:c r="A9" s="6" t="s">
        <x:v>17</x:v>
      </x:c>
      <x:c r="B9" s="6" t="s">
        <x:v>18</x:v>
      </x:c>
      <x:c r="C9" s="7" t="s">
        <x:v>76</x:v>
      </x:c>
      <x:c r="D9" s="8" t="s">
        <x:v>77</x:v>
      </x:c>
      <x:c r="E9" s="9" t="s">
        <x:v>21</x:v>
      </x:c>
      <x:c r="F9" s="6" t="s">
        <x:v>78</x:v>
      </x:c>
      <x:c r="G9" s="6" t="s">
        <x:v>79</x:v>
      </x:c>
      <x:c r="H9" s="6" t="s">
        <x:v>80</x:v>
      </x:c>
      <x:c r="I9" s="10" t="n">
        <x:v>10508.00</x:v>
      </x:c>
      <x:c r="J9" s="11" t="s">
        <x:v>25</x:v>
      </x:c>
      <x:c r="K9" s="11" t="s">
        <x:v>26</x:v>
      </x:c>
      <x:c r="L9" s="12" t="str">
        <x:f xml:space="preserve">HYPERLINK("https://contratos-publicos.comunidad.madrid/contrato-publico/pas-12-25-contratacion-renovacion-pagina-web-servicios-recursos-digitales","contratos-publicos.comunidad.madrid/contrato-publico/pas-12-25-contratacion-renovacion-pagina-web-servicios-recursos-digitales")</x:f>
        <x:v>contratos-publicos.comunidad.madrid/contrato-publico/pas-12-25-contratacion-renovacion-pagina-web-servicios-recursos-digitales</x:v>
      </x:c>
      <x:c r="M9" s="11" t="s">
        <x:v>27</x:v>
      </x:c>
      <x:c r="N9" s="13" t="s">
        <x:v>21</x:v>
      </x:c>
      <x:c r="O9" s="11" t="s">
        <x:v>81</x:v>
      </x:c>
      <x:c r="P9" s="11" t="s">
        <x:v>30</x:v>
      </x:c>
      <x:c r="Q9" s="14" t="str">
        <x:f xml:space="preserve">HYPERLINK("https://www.infonalia.es/licitaciones1125/2025167593.pdf","www.infonalia.es/licitaciones1125/2025167593.pdf")</x:f>
        <x:v>www.infonalia.es/licitaciones1125/2025167593.pdf</x:v>
      </x:c>
    </x:row>
    <x:row r="10">
      <x:c r="A10" s="6" t="s">
        <x:v>17</x:v>
      </x:c>
      <x:c r="B10" s="6" t="s">
        <x:v>18</x:v>
      </x:c>
      <x:c r="C10" s="7" t="s">
        <x:v>82</x:v>
      </x:c>
      <x:c r="D10" s="8" t="s">
        <x:v>83</x:v>
      </x:c>
      <x:c r="E10" s="9" t="s">
        <x:v>21</x:v>
      </x:c>
      <x:c r="F10" s="6" t="s">
        <x:v>55</x:v>
      </x:c>
      <x:c r="G10" s="6" t="s">
        <x:v>84</x:v>
      </x:c>
      <x:c r="H10" s="6" t="s">
        <x:v>85</x:v>
      </x:c>
      <x:c r="I10" s="10" t="n">
        <x:v>32214.60</x:v>
      </x:c>
      <x:c r="J10" s="11" t="s">
        <x:v>25</x:v>
      </x:c>
      <x:c r="K10" s="11" t="s">
        <x:v>26</x:v>
      </x:c>
      <x:c r="L10" s="12" t="str">
        <x:f xml:space="preserve">HYPERLINK("https://contractaciopublica.cat/ca/detall-publicacio/849421b7-dc00-464f-8c2f-f5ec82a54da4/300626884","contractaciopublica.cat/ca/detall-publicacio/849421b7-dc00-464f-8c2f-f5ec82a54da4/300626884")</x:f>
        <x:v>contractaciopublica.cat/ca/detall-publicacio/849421b7-dc00-464f-8c2f-f5ec82a54da4/300626884</x:v>
      </x:c>
      <x:c r="M10" s="11" t="s">
        <x:v>27</x:v>
      </x:c>
      <x:c r="N10" s="13" t="s">
        <x:v>21</x:v>
      </x:c>
      <x:c r="O10" s="11" t="s">
        <x:v>86</x:v>
      </x:c>
      <x:c r="P10" s="11" t="s">
        <x:v>60</x:v>
      </x:c>
      <x:c r="Q10" s="14" t="str">
        <x:f xml:space="preserve">HYPERLINK("https://www.infonalia.es/licitaciones1125/2025167654.pdf","www.infonalia.es/licitaciones1125/2025167654.pdf")</x:f>
        <x:v>www.infonalia.es/licitaciones1125/2025167654.pdf</x:v>
      </x:c>
    </x:row>
    <x:row r="11">
      <x:c r="A11" s="6" t="s">
        <x:v>17</x:v>
      </x:c>
      <x:c r="B11" s="6" t="s">
        <x:v>18</x:v>
      </x:c>
      <x:c r="C11" s="7" t="s">
        <x:v>87</x:v>
      </x:c>
      <x:c r="D11" s="8" t="s">
        <x:v>88</x:v>
      </x:c>
      <x:c r="E11" s="9" t="s">
        <x:v>21</x:v>
      </x:c>
      <x:c r="F11" s="6" t="s">
        <x:v>89</x:v>
      </x:c>
      <x:c r="G11" s="6" t="s">
        <x:v>90</x:v>
      </x:c>
      <x:c r="H11" s="6" t="s">
        <x:v>91</x:v>
      </x:c>
      <x:c r="I11" s="10" t="n">
        <x:v>642600.00</x:v>
      </x:c>
      <x:c r="J11" s="11" t="s">
        <x:v>25</x:v>
      </x:c>
      <x:c r="K11" s="11" t="s">
        <x:v>26</x:v>
      </x:c>
      <x:c r="L11" s="12" t="str">
        <x:f xml:space="preserve">HYPERLINK("https://contractaciopublica.cat/ca/detall-publicacio/08a8dcb7-e400-48b4-b200-bed2ec9a255c/300626877","contractaciopublica.cat/ca/detall-publicacio/08a8dcb7-e400-48b4-b200-bed2ec9a255c/300626877")</x:f>
        <x:v>contractaciopublica.cat/ca/detall-publicacio/08a8dcb7-e400-48b4-b200-bed2ec9a255c/300626877</x:v>
      </x:c>
      <x:c r="M11" s="11" t="s">
        <x:v>27</x:v>
      </x:c>
      <x:c r="N11" s="13" t="s">
        <x:v>21</x:v>
      </x:c>
      <x:c r="O11" s="11" t="s">
        <x:v>92</x:v>
      </x:c>
      <x:c r="P11" s="11" t="s">
        <x:v>53</x:v>
      </x:c>
      <x:c r="Q11" s="14" t="str">
        <x:f xml:space="preserve">HYPERLINK("https://www.infonalia.es/licitaciones1125/2025167656.pdf","www.infonalia.es/licitaciones1125/2025167656.pdf")</x:f>
        <x:v>www.infonalia.es/licitaciones1125/2025167656.pdf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