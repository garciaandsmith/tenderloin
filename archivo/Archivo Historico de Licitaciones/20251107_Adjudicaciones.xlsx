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<x:sst xmlns:x="http://schemas.openxmlformats.org/spreadsheetml/2006/main" count="11" uniqueCount="11">
  <x:si>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</x:si>
  <x:si>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</x:si>
  <x:si>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</x:si>
  <x:si>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</x:si>
  <x:si>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</x:si>
  <x:si>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</x:si>
  <x:si>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</x:si>
  <x:si>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</x:si>
  <x:si>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</x:si>
  <x:si>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</x:si>
  <x:si>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</x:si>
  <x:si>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</x:si>
  <x:si>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LOTE 1 ROOTS FOR SUSTAINABILITY, SL; LOTE 2 ASSOCIACIÓ CATALANA DE COMPTABILILTAT I DIRECCIÓ</x:t>
  </x:si>
  <x:si>
    <x:t>07/11/2025 0:00:00</x:t>
  </x:si>
  <x:si>
    <x:t>25218047</x:t>
  </x:si>
  <x:si>
    <x:t>AGÈNCIA PER A LA COMPETITIVITAT DE L'EMPRESA, ACCIÓ</x:t>
  </x:si>
  <x:si>
    <x:t>El objeto de este contrato es la contratación de los servicios especializados en valor compartido para desarrollar: Lote 1. Diez sesiones de capacitación de crecer con propósito para CEO's de empresas en proceso de crecimiento. Lote 2. Un proyecto metodológico para monetizar el impacto social de las compañías siguiendo el valor social integrado</x:t>
  </x:si>
  <x:si>
    <x:t>ACCIO-2025-49</x:t>
  </x:si>
  <x:si>
    <x:t>Barcelona</x:t>
  </x:si>
  <x:si>
    <x:t>Ver detalle de la adjudicación</x:t>
  </x:si>
  <x:si>
    <x:t>PRODUCCIONES MIC, S.L</x:t>
  </x:si>
  <x:si>
    <x:t>25218067</x:t>
  </x:si>
  <x:si>
    <x:t>AYUNTAMIENTO DE BLANES (GIRONA)</x:t>
  </x:si>
  <x:si>
    <x:t>Este contrato consiste en la realización del servicio del diseño y edición del programa de la Fiesta Mayor de Blanes en formato revista, bolsillo, cartel y adaptaciones digitales para la web municipal</x:t>
  </x:si>
  <x:si>
    <x:t>2025/5423J</x:t>
  </x:si>
  <x:si>
    <x:t>Girona</x:t>
  </x:si>
  <x:si>
    <x:t>INSTITUT ILDEFONS CERDÀ, FUNDACIÓ PRIVADA</x:t>
  </x:si>
  <x:si>
    <x:t>25218075</x:t>
  </x:si>
  <x:si>
    <x:t>GENERALITAT DE CATALUNYA. DEPARTAMENTO DE TERRITORIO, VIVIENDA Y TRANSICIÓN ECOLÓGICA</x:t>
  </x:si>
  <x:si>
    <x:t>Asistencia técnica implantación Plan de Acción Compra Pública Verde</x:t>
  </x:si>
  <x:si>
    <x:t>PTOP-2025-27</x:t>
  </x:si>
  <x:si>
    <x:t>Catalunya</x:t>
  </x:si>
  <x:si>
    <x:t>CROMÁTIKA COMUNICACION VISUAL S.L</x:t>
  </x:si>
  <x:si>
    <x:t>25218139</x:t>
  </x:si>
  <x:si>
    <x:t>INECO-COMITÉ DE DIRECCIÓN</x:t>
  </x:si>
  <x:si>
    <x:t>Servicio de diseño, montaje y desmontaje de Stand en Rail Live 2025</x:t>
  </x:si>
  <x:si>
    <x:t>20250903-00615</x:t>
  </x:si>
  <x:si>
    <x:t>Madrid</x:t>
  </x:si>
  <x:si>
    <x:t>ORDAX, ARTE Y EXPOSICIONES, S.L</x:t>
  </x:si>
  <x:si>
    <x:t>25218249</x:t>
  </x:si>
  <x:si>
    <x:t>COMUNIDAD DE MADRID. CONSEJERÍA DE CULTURA, TURISMO Y DEPORTE</x:t>
  </x:si>
  <x:si>
    <x:t>Servicios culturales necesarios para la adecuada organización del programa de exposiciones de la Red de Exposiciones Itinerantes RED ITINER 2026</x:t>
  </x:si>
  <x:si>
    <x:t>C-333A/021-25 (A/SER-026926/2025)</x:t>
  </x:si>
  <x:si>
    <x:t>LAURA GONZALEZ ORTIZ</x:t>
  </x:si>
  <x:si>
    <x:t>25218366</x:t>
  </x:si>
  <x:si>
    <x:t>PRESIDENCIA DE LA MANCOMUNIDAD COMARCA DE AVILÉS</x:t>
  </x:si>
  <x:si>
    <x:t>Contratación de los servicios de gestión, creación y difusión de contenidos y dinamización de los canales digitales de la Mancomunidad Comarca Avilés</x:t>
  </x:si>
  <x:si>
    <x:t>MCA/6/2025</x:t>
  </x:si>
  <x:si>
    <x:t>Asturias</x:t>
  </x:si>
  <x:si>
    <x:t>LOTE 1  OMNEOM SL; LOTE 2  MUUTOS EVOLUTION CONSULTING, S.L.U.; LOTE 3 CAL TIP COOPERATIVA DE CONEIXEMENT SCCL</x:t>
  </x:si>
  <x:si>
    <x:t>25218454</x:t>
  </x:si>
  <x:si>
    <x:t>AYUNTAMIENTO DE VILADECANS (BARCELONA)</x:t>
  </x:si>
  <x:si>
    <x:t>Servicio para el diseño y ejecución de diferentes programas orientados a la innovación empresarial y de los servicios para la realización de procesos de mentoring en áreas de gestión empresarial y tecnológica, en el marco de los programas de la Unidad de Empresas y emprendeduría del Área de Empleo y Empresas, mediante el fomento de la contratación de personas con dificultades particulares de inserción en el mercado laboral, y con medidas de contratación. Lote 1: Diseño y ejecución del programa Women Corporat. Lote 2: Diseño y ejecución del Programa BIP-Tech. Lote 3: Diseño y ejecución de la Hackathó, Constru-Hack. Lote 4: Servicios de mentoría en gestión empresarial. Lote 5: Servicios de mentoría tecnológica especializada.</x:t>
  </x:si>
  <x:si>
    <x:t>AOE/AGI/CONTRACTACIÓ/2025/54 – 31/2025/CSERV</x:t>
  </x:si>
  <x:si>
    <x:t>VARIOS ADJUDICATARIOS. VER TEXTO ÍNTEGRO DE LA ADJUDICACIÓN</x:t>
  </x:si>
  <x:si>
    <x:t>25218467</x:t>
  </x:si>
  <x:si>
    <x:t>DIPUTACIÓN DE BARCELONA</x:t>
  </x:si>
  <x:si>
    <x:t>Acuerdo marco para la selección de un máximo de cinco empresas para la prestación de servicios de fotografía profesional para cubrir las necesidades comunicativas de la Diputació de Barcelona</x:t>
  </x:si>
  <x:si>
    <x:t>2024/0009911</x:t>
  </x:si>
  <x:si>
    <x:t>CARAT ESPAÑA SA</x:t>
  </x:si>
  <x:si>
    <x:t>25218573</x:t>
  </x:si>
  <x:si>
    <x:t>PARADORES DE TURISMO DE ESPAÑA, S.M.E., S.A.</x:t>
  </x:si>
  <x:si>
    <x:t>Contratación del servicio de una central de compra de medios para el desarrollo de la campaña publicitaria de Paradores de Turismo de España, S.M.E. S.A</x:t>
  </x:si>
  <x:si>
    <x:t>2025-0314</x:t>
  </x:si>
  <x:si>
    <x:t>OCTASYSTEM, SL</x:t>
  </x:si>
  <x:si>
    <x:t>25218650</x:t>
  </x:si>
  <x:si>
    <x:t>AYUNTAMIENTO DE AMPOSTA (TARRAGONA)</x:t>
  </x:si>
  <x:si>
    <x:t>Suministro en régimen de alquiler de las instalaciones necesarias para la realización de la Feria de Muestras de Amposta con el servicio accesorio de montaje y desmontaje</x:t>
  </x:si>
  <x:si>
    <x:t>1431/2025/40</x:t>
  </x:si>
  <x:si>
    <x:t>Tarragona</x:t>
  </x:si>
  <x:si>
    <x:t>GROP EXPOSICIONS I MUSEOGRAFIA, S.L</x:t>
  </x:si>
  <x:si>
    <x:t>25218840</x:t>
  </x:si>
  <x:si>
    <x:t>CONSORCIO MUSEO NACIONAL DE ARTE DE CATALUNYA</x:t>
  </x:si>
  <x:si>
    <x:t>Producción, suministro, montaje y desmontaje de la museografía e instalación y desinstalación de las obras de la exposición “Sant Pere de Rodes y el Maestro de Cabestany”, con medidas de contratación pública social y ambiental</x:t>
  </x:si>
  <x:si>
    <x:t>MNAC-2025-218</x:t>
  </x:si>
  <x:si>
    <x:t>FIRA INTERNACIONAL DE BARCELONA</x:t>
  </x:si>
  <x:si>
    <x:t>25218865</x:t>
  </x:si>
  <x:si>
    <x:t>MINISTERIO DE TRANSPORTES Y MOVILIDAD SOSTENIBLE. PRESIDENCIA DEL CONSEJO DE ADMINISTRACIÓN DE LA AUTORIDAD PORTUARIA DE BARCELONA (PORT DE BARCELONA)</x:t>
  </x:si>
  <x:si>
    <x:t>Participación en el Congreso Smart City World Congress 2025 en el marco del Smart Ports: Piers of the future. Clave de Expediente: 2025N560057</x:t>
  </x:si>
  <x:si>
    <x:t>2025-00355</x:t>
  </x:si>
  <x:si>
    <x:t>NIVELL PUBLICITARI DIGITAL S.L</x:t>
  </x:si>
  <x:si>
    <x:t>25218867</x:t>
  </x:si>
  <x:si>
    <x:t>ÁREA DE GOBIERNO DE VICEALCALDÍA, PORTAVOZ, SEGURIDAD Y EMERGENCIAS DEL AYUNTAMIENTO DE MADRID</x:t>
  </x:si>
  <x:si>
    <x:t>Campaña VII Feria Asociacionismo</x:t>
  </x:si>
  <x:si>
    <x:t>511/2024/09735.27</x:t>
  </x:si>
  <x:si>
    <x:t> SEIDOR OPENTRENDS, S.L</x:t>
  </x:si>
  <x:si>
    <x:t>25218912</x:t>
  </x:si>
  <x:si>
    <x:t>AGÈNCIA DE CIBERSEGURETAT DE CATALUNYA</x:t>
  </x:si>
  <x:si>
    <x:t>Servicios de comunicación, concienciación y difusión de ciberseguridad en ámbito sanitario</x:t>
  </x:si>
  <x:si>
    <x:t>CB25AMCOML1B005</x:t>
  </x:si>
  <x:si>
    <x:t>GABRIELA SALAVERRI SOLANA</x:t>
  </x:si>
  <x:si>
    <x:t>25218963</x:t>
  </x:si>
  <x:si>
    <x:t>MADRID DESTINO CULTURA TURISMO Y NEGOCIO, S.A</x:t>
  </x:si>
  <x:si>
    <x:t>Servicios es el diseño de vestuario de los personajes que integran las comitivas reales: los tres Reyes Magos, los emisarios reales, los pajes reales, los pajes con movimiento, los pajes de los caramelos, los pajes que portan las estrellas, los abanderados y el cuerpo de bailarines que interpretará dos coreografías con dos vestuarios diferentes.</x:t>
  </x:si>
  <x:si>
    <x:t>PR25-0218.12</x:t>
  </x:si>
  <x:si>
    <x:t>UNIVERSAL MCCANN, S.A</x:t>
  </x:si>
  <x:si>
    <x:t>25218968</x:t>
  </x:si>
  <x:si>
    <x:t>Presentación de la ciudad a través de las RRSS "WeMadrid"</x:t>
  </x:si>
  <x:si>
    <x:t>511/2024/09993.2.3</x:t>
  </x:si>
  <x:si>
    <x:t>TRES TIPOS GRÁFICOS S.L</x:t>
  </x:si>
  <x:si>
    <x:t>25219004</x:t>
  </x:si>
  <x:si>
    <x:t>Guía de programas, actividades y recursos educativos del Ayuntamiento de Madrid para centros docentes, 2025-2026</x:t>
  </x:si>
  <x:si>
    <x:t>145/2023/00612.2.65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</x:si>
</x:sst>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HYPERLINK("https://www.infonalia.es/adjudicaciones1125/25218047.pdf","www.infonalia.es/adjudicaciones1125/25218047.pdf")</x:f>
        <x:v>www.infonalia.es/adjudicaciones1125/25218047.pdf</x:v>
      </x:c>
      <x:c r="E2" s="8" t="s">
        <x:v>14</x:v>
      </x:c>
      <x:c r="F2" s="6" t="s">
        <x:v>15</x:v>
      </x:c>
      <x:c r="G2" s="6" t="s">
        <x:v>16</x:v>
      </x:c>
      <x:c r="H2" s="6" t="s">
        <x:v>17</x:v>
      </x:c>
      <x:c r="I2" s="6" t="s">
        <x:v>18</x:v>
      </x:c>
      <x:c r="J2" s="9" t="s">
        <x:v>19</x:v>
      </x:c>
      <x:c r="K2" s="9" t="n">
        <x:v>67194.21</x:v>
      </x:c>
    </x:row>
    <x:row r="3">
      <x:c r="A3" s="6" t="s">
        <x:v>11</x:v>
      </x:c>
      <x:c r="B3" s="6" t="s">
        <x:v>20</x:v>
      </x:c>
      <x:c r="C3" s="6" t="s">
        <x:v>13</x:v>
      </x:c>
      <x:c r="D3" s="7" t="str">
        <x:f xml:space="preserve">HYPERLINK("https://www.infonalia.es/adjudicaciones1125/25218067.pdf","www.infonalia.es/adjudicaciones1125/25218067.pdf")</x:f>
        <x:v>www.infonalia.es/adjudicaciones1125/25218067.pdf</x:v>
      </x:c>
      <x:c r="E3" s="8" t="s">
        <x:v>21</x:v>
      </x:c>
      <x:c r="F3" s="6" t="s">
        <x:v>22</x:v>
      </x:c>
      <x:c r="G3" s="6" t="s">
        <x:v>23</x:v>
      </x:c>
      <x:c r="H3" s="6" t="s">
        <x:v>24</x:v>
      </x:c>
      <x:c r="I3" s="6" t="s">
        <x:v>25</x:v>
      </x:c>
      <x:c r="J3" s="9" t="s">
        <x:v>19</x:v>
      </x:c>
      <x:c r="K3" s="9" t="n">
        <x:v>17536.77</x:v>
      </x:c>
    </x:row>
    <x:row r="4">
      <x:c r="A4" s="6" t="s">
        <x:v>11</x:v>
      </x:c>
      <x:c r="B4" s="6" t="s">
        <x:v>26</x:v>
      </x:c>
      <x:c r="C4" s="6" t="s">
        <x:v>13</x:v>
      </x:c>
      <x:c r="D4" s="7" t="str">
        <x:f xml:space="preserve">HYPERLINK("https://www.infonalia.es/adjudicaciones1125/25218075.pdf","www.infonalia.es/adjudicaciones1125/25218075.pdf")</x:f>
        <x:v>www.infonalia.es/adjudicaciones1125/25218075.pdf</x:v>
      </x:c>
      <x:c r="E4" s="8" t="s">
        <x:v>27</x:v>
      </x:c>
      <x:c r="F4" s="6" t="s">
        <x:v>28</x:v>
      </x:c>
      <x:c r="G4" s="6" t="s">
        <x:v>29</x:v>
      </x:c>
      <x:c r="H4" s="6" t="s">
        <x:v>30</x:v>
      </x:c>
      <x:c r="I4" s="6" t="s">
        <x:v>31</x:v>
      </x:c>
      <x:c r="J4" s="9" t="s">
        <x:v>19</x:v>
      </x:c>
      <x:c r="K4" s="9" t="n">
        <x:v>29748.00</x:v>
      </x:c>
    </x:row>
    <x:row r="5">
      <x:c r="A5" s="6" t="s">
        <x:v>11</x:v>
      </x:c>
      <x:c r="B5" s="6" t="s">
        <x:v>32</x:v>
      </x:c>
      <x:c r="C5" s="6" t="s">
        <x:v>13</x:v>
      </x:c>
      <x:c r="D5" s="7" t="str">
        <x:f xml:space="preserve">HYPERLINK("https://www.infonalia.es/adjudicaciones1125/25218139.pdf","www.infonalia.es/adjudicaciones1125/25218139.pdf")</x:f>
        <x:v>www.infonalia.es/adjudicaciones1125/25218139.pdf</x:v>
      </x:c>
      <x:c r="E5" s="8" t="s">
        <x:v>33</x:v>
      </x:c>
      <x:c r="F5" s="6" t="s">
        <x:v>34</x:v>
      </x:c>
      <x:c r="G5" s="6" t="s">
        <x:v>35</x:v>
      </x:c>
      <x:c r="H5" s="6" t="s">
        <x:v>36</x:v>
      </x:c>
      <x:c r="I5" s="6" t="s">
        <x:v>37</x:v>
      </x:c>
      <x:c r="J5" s="9" t="n">
        <x:v>19768.00</x:v>
      </x:c>
      <x:c r="K5" s="9" t="n">
        <x:v>27000.00</x:v>
      </x:c>
    </x:row>
    <x:row r="6">
      <x:c r="A6" s="6" t="s">
        <x:v>11</x:v>
      </x:c>
      <x:c r="B6" s="6" t="s">
        <x:v>38</x:v>
      </x:c>
      <x:c r="C6" s="6" t="s">
        <x:v>13</x:v>
      </x:c>
      <x:c r="D6" s="7" t="str">
        <x:f xml:space="preserve">HYPERLINK("https://www.infonalia.es/adjudicaciones1125/25218249.pdf","www.infonalia.es/adjudicaciones1125/25218249.pdf")</x:f>
        <x:v>www.infonalia.es/adjudicaciones1125/25218249.pdf</x:v>
      </x:c>
      <x:c r="E6" s="8" t="s">
        <x:v>39</x:v>
      </x:c>
      <x:c r="F6" s="6" t="s">
        <x:v>40</x:v>
      </x:c>
      <x:c r="G6" s="6" t="s">
        <x:v>41</x:v>
      </x:c>
      <x:c r="H6" s="6" t="s">
        <x:v>42</x:v>
      </x:c>
      <x:c r="I6" s="6" t="s">
        <x:v>37</x:v>
      </x:c>
      <x:c r="J6" s="9" t="s">
        <x:v>19</x:v>
      </x:c>
      <x:c r="K6" s="9" t="n">
        <x:v>319729.14</x:v>
      </x:c>
    </x:row>
    <x:row r="7">
      <x:c r="A7" s="6" t="s">
        <x:v>11</x:v>
      </x:c>
      <x:c r="B7" s="6" t="s">
        <x:v>43</x:v>
      </x:c>
      <x:c r="C7" s="6" t="s">
        <x:v>13</x:v>
      </x:c>
      <x:c r="D7" s="7" t="str">
        <x:f xml:space="preserve">HYPERLINK("https://www.infonalia.es/adjudicaciones1125/25218366.pdf","www.infonalia.es/adjudicaciones1125/25218366.pdf")</x:f>
        <x:v>www.infonalia.es/adjudicaciones1125/25218366.pdf</x:v>
      </x:c>
      <x:c r="E7" s="8" t="s">
        <x:v>44</x:v>
      </x:c>
      <x:c r="F7" s="6" t="s">
        <x:v>45</x:v>
      </x:c>
      <x:c r="G7" s="6" t="s">
        <x:v>46</x:v>
      </x:c>
      <x:c r="H7" s="6" t="s">
        <x:v>47</x:v>
      </x:c>
      <x:c r="I7" s="6" t="s">
        <x:v>48</x:v>
      </x:c>
      <x:c r="J7" s="9" t="n">
        <x:v>20000.00</x:v>
      </x:c>
      <x:c r="K7" s="9" t="n">
        <x:v>30000.00</x:v>
      </x:c>
    </x:row>
    <x:row r="8">
      <x:c r="A8" s="6" t="s">
        <x:v>11</x:v>
      </x:c>
      <x:c r="B8" s="6" t="s">
        <x:v>49</x:v>
      </x:c>
      <x:c r="C8" s="6" t="s">
        <x:v>13</x:v>
      </x:c>
      <x:c r="D8" s="7" t="str">
        <x:f xml:space="preserve">HYPERLINK("https://www.infonalia.es/adjudicaciones1125/25218454.pdf","www.infonalia.es/adjudicaciones1125/25218454.pdf")</x:f>
        <x:v>www.infonalia.es/adjudicaciones1125/25218454.pdf</x:v>
      </x:c>
      <x:c r="E8" s="8" t="s">
        <x:v>50</x:v>
      </x:c>
      <x:c r="F8" s="6" t="s">
        <x:v>51</x:v>
      </x:c>
      <x:c r="G8" s="6" t="s">
        <x:v>52</x:v>
      </x:c>
      <x:c r="H8" s="6" t="s">
        <x:v>53</x:v>
      </x:c>
      <x:c r="I8" s="6" t="s">
        <x:v>18</x:v>
      </x:c>
      <x:c r="J8" s="9" t="s">
        <x:v>19</x:v>
      </x:c>
      <x:c r="K8" s="9" t="n">
        <x:v>73601.75</x:v>
      </x:c>
    </x:row>
    <x:row r="9">
      <x:c r="A9" s="6" t="s">
        <x:v>11</x:v>
      </x:c>
      <x:c r="B9" s="6" t="s">
        <x:v>54</x:v>
      </x:c>
      <x:c r="C9" s="6" t="s">
        <x:v>13</x:v>
      </x:c>
      <x:c r="D9" s="7" t="str">
        <x:f xml:space="preserve">HYPERLINK("https://www.infonalia.es/adjudicaciones1125/25218467.pdf","www.infonalia.es/adjudicaciones1125/25218467.pdf")</x:f>
        <x:v>www.infonalia.es/adjudicaciones1125/25218467.pdf</x:v>
      </x:c>
      <x:c r="E9" s="8" t="s">
        <x:v>55</x:v>
      </x:c>
      <x:c r="F9" s="6" t="s">
        <x:v>56</x:v>
      </x:c>
      <x:c r="G9" s="6" t="s">
        <x:v>57</x:v>
      </x:c>
      <x:c r="H9" s="6" t="s">
        <x:v>58</x:v>
      </x:c>
      <x:c r="I9" s="6" t="s">
        <x:v>18</x:v>
      </x:c>
      <x:c r="J9" s="9" t="s">
        <x:v>19</x:v>
      </x:c>
      <x:c r="K9" s="9" t="n">
        <x:v>206700.00</x:v>
      </x:c>
    </x:row>
    <x:row r="10">
      <x:c r="A10" s="6" t="s">
        <x:v>11</x:v>
      </x:c>
      <x:c r="B10" s="6" t="s">
        <x:v>59</x:v>
      </x:c>
      <x:c r="C10" s="6" t="s">
        <x:v>13</x:v>
      </x:c>
      <x:c r="D10" s="7" t="str">
        <x:f xml:space="preserve">HYPERLINK("https://www.infonalia.es/adjudicaciones1125/25218573.pdf","www.infonalia.es/adjudicaciones1125/25218573.pdf")</x:f>
        <x:v>www.infonalia.es/adjudicaciones1125/25218573.pdf</x:v>
      </x:c>
      <x:c r="E10" s="8" t="s">
        <x:v>60</x:v>
      </x:c>
      <x:c r="F10" s="6" t="s">
        <x:v>61</x:v>
      </x:c>
      <x:c r="G10" s="6" t="s">
        <x:v>62</x:v>
      </x:c>
      <x:c r="H10" s="6" t="s">
        <x:v>63</x:v>
      </x:c>
      <x:c r="I10" s="6" t="s">
        <x:v>37</x:v>
      </x:c>
      <x:c r="J10" s="9" t="n">
        <x:v>3850000.00</x:v>
      </x:c>
      <x:c r="K10" s="9" t="n">
        <x:v>3850000.00</x:v>
      </x:c>
    </x:row>
    <x:row r="11">
      <x:c r="A11" s="6" t="s">
        <x:v>11</x:v>
      </x:c>
      <x:c r="B11" s="6" t="s">
        <x:v>64</x:v>
      </x:c>
      <x:c r="C11" s="6" t="s">
        <x:v>13</x:v>
      </x:c>
      <x:c r="D11" s="7" t="str">
        <x:f xml:space="preserve">HYPERLINK("https://www.infonalia.es/adjudicaciones1125/25218650.pdf","www.infonalia.es/adjudicaciones1125/25218650.pdf")</x:f>
        <x:v>www.infonalia.es/adjudicaciones1125/25218650.pdf</x:v>
      </x:c>
      <x:c r="E11" s="8" t="s">
        <x:v>65</x:v>
      </x:c>
      <x:c r="F11" s="6" t="s">
        <x:v>66</x:v>
      </x:c>
      <x:c r="G11" s="6" t="s">
        <x:v>67</x:v>
      </x:c>
      <x:c r="H11" s="6" t="s">
        <x:v>68</x:v>
      </x:c>
      <x:c r="I11" s="6" t="s">
        <x:v>69</x:v>
      </x:c>
      <x:c r="J11" s="9" t="s">
        <x:v>19</x:v>
      </x:c>
      <x:c r="K11" s="9" t="n">
        <x:v>37900.00</x:v>
      </x:c>
    </x:row>
    <x:row r="12">
      <x:c r="A12" s="6" t="s">
        <x:v>11</x:v>
      </x:c>
      <x:c r="B12" s="6" t="s">
        <x:v>70</x:v>
      </x:c>
      <x:c r="C12" s="6" t="s">
        <x:v>13</x:v>
      </x:c>
      <x:c r="D12" s="7" t="str">
        <x:f xml:space="preserve">HYPERLINK("https://www.infonalia.es/adjudicaciones1125/25218840.pdf","www.infonalia.es/adjudicaciones1125/25218840.pdf")</x:f>
        <x:v>www.infonalia.es/adjudicaciones1125/25218840.pdf</x:v>
      </x:c>
      <x:c r="E12" s="8" t="s">
        <x:v>71</x:v>
      </x:c>
      <x:c r="F12" s="6" t="s">
        <x:v>72</x:v>
      </x:c>
      <x:c r="G12" s="6" t="s">
        <x:v>73</x:v>
      </x:c>
      <x:c r="H12" s="6" t="s">
        <x:v>74</x:v>
      </x:c>
      <x:c r="I12" s="6" t="s">
        <x:v>18</x:v>
      </x:c>
      <x:c r="J12" s="9" t="n">
        <x:v>339100.50</x:v>
      </x:c>
      <x:c r="K12" s="9" t="n">
        <x:v>378420.00</x:v>
      </x:c>
    </x:row>
    <x:row r="13">
      <x:c r="A13" s="6" t="s">
        <x:v>11</x:v>
      </x:c>
      <x:c r="B13" s="6" t="s">
        <x:v>75</x:v>
      </x:c>
      <x:c r="C13" s="6" t="s">
        <x:v>13</x:v>
      </x:c>
      <x:c r="D13" s="7" t="str">
        <x:f xml:space="preserve">HYPERLINK("https://www.infonalia.es/adjudicaciones1125/25218865.pdf","www.infonalia.es/adjudicaciones1125/25218865.pdf")</x:f>
        <x:v>www.infonalia.es/adjudicaciones1125/25218865.pdf</x:v>
      </x:c>
      <x:c r="E13" s="8" t="s">
        <x:v>76</x:v>
      </x:c>
      <x:c r="F13" s="6" t="s">
        <x:v>77</x:v>
      </x:c>
      <x:c r="G13" s="6" t="s">
        <x:v>78</x:v>
      </x:c>
      <x:c r="H13" s="6" t="s">
        <x:v>79</x:v>
      </x:c>
      <x:c r="I13" s="6" t="s">
        <x:v>18</x:v>
      </x:c>
      <x:c r="J13" s="9" t="n">
        <x:v>160000.00</x:v>
      </x:c>
      <x:c r="K13" s="9" t="n">
        <x:v>160000.00</x:v>
      </x:c>
    </x:row>
    <x:row r="14">
      <x:c r="A14" s="6" t="s">
        <x:v>11</x:v>
      </x:c>
      <x:c r="B14" s="6" t="s">
        <x:v>80</x:v>
      </x:c>
      <x:c r="C14" s="6" t="s">
        <x:v>13</x:v>
      </x:c>
      <x:c r="D14" s="7" t="str">
        <x:f xml:space="preserve">HYPERLINK("https://www.infonalia.es/adjudicaciones1125/25218867.pdf","www.infonalia.es/adjudicaciones1125/25218867.pdf")</x:f>
        <x:v>www.infonalia.es/adjudicaciones1125/25218867.pdf</x:v>
      </x:c>
      <x:c r="E14" s="8" t="s">
        <x:v>81</x:v>
      </x:c>
      <x:c r="F14" s="6" t="s">
        <x:v>82</x:v>
      </x:c>
      <x:c r="G14" s="6" t="s">
        <x:v>83</x:v>
      </x:c>
      <x:c r="H14" s="6" t="s">
        <x:v>84</x:v>
      </x:c>
      <x:c r="I14" s="6" t="s">
        <x:v>37</x:v>
      </x:c>
      <x:c r="J14" s="9" t="n">
        <x:v>4233.30</x:v>
      </x:c>
      <x:c r="K14" s="9" t="n">
        <x:v>4233.30</x:v>
      </x:c>
    </x:row>
    <x:row r="15">
      <x:c r="A15" s="6" t="s">
        <x:v>11</x:v>
      </x:c>
      <x:c r="B15" s="6" t="s">
        <x:v>85</x:v>
      </x:c>
      <x:c r="C15" s="6" t="s">
        <x:v>13</x:v>
      </x:c>
      <x:c r="D15" s="7" t="str">
        <x:f xml:space="preserve">HYPERLINK("https://www.infonalia.es/adjudicaciones1125/25218912.pdf","www.infonalia.es/adjudicaciones1125/25218912.pdf")</x:f>
        <x:v>www.infonalia.es/adjudicaciones1125/25218912.pdf</x:v>
      </x:c>
      <x:c r="E15" s="8" t="s">
        <x:v>86</x:v>
      </x:c>
      <x:c r="F15" s="6" t="s">
        <x:v>87</x:v>
      </x:c>
      <x:c r="G15" s="6" t="s">
        <x:v>88</x:v>
      </x:c>
      <x:c r="H15" s="6" t="s">
        <x:v>89</x:v>
      </x:c>
      <x:c r="I15" s="6" t="s">
        <x:v>18</x:v>
      </x:c>
      <x:c r="J15" s="9" t="n">
        <x:v>397320.00</x:v>
      </x:c>
      <x:c r="K15" s="9" t="n">
        <x:v>462000.00</x:v>
      </x:c>
    </x:row>
    <x:row r="16">
      <x:c r="A16" s="6" t="s">
        <x:v>11</x:v>
      </x:c>
      <x:c r="B16" s="6" t="s">
        <x:v>90</x:v>
      </x:c>
      <x:c r="C16" s="6" t="s">
        <x:v>13</x:v>
      </x:c>
      <x:c r="D16" s="7" t="str">
        <x:f xml:space="preserve">HYPERLINK("https://www.infonalia.es/adjudicaciones1125/25218963.pdf","www.infonalia.es/adjudicaciones1125/25218963.pdf")</x:f>
        <x:v>www.infonalia.es/adjudicaciones1125/25218963.pdf</x:v>
      </x:c>
      <x:c r="E16" s="8" t="s">
        <x:v>91</x:v>
      </x:c>
      <x:c r="F16" s="6" t="s">
        <x:v>92</x:v>
      </x:c>
      <x:c r="G16" s="6" t="s">
        <x:v>93</x:v>
      </x:c>
      <x:c r="H16" s="6" t="s">
        <x:v>94</x:v>
      </x:c>
      <x:c r="I16" s="6" t="s">
        <x:v>37</x:v>
      </x:c>
      <x:c r="J16" s="9" t="n">
        <x:v>17700.00</x:v>
      </x:c>
      <x:c r="K16" s="9" t="n">
        <x:v>17700.00</x:v>
      </x:c>
    </x:row>
    <x:row r="17">
      <x:c r="A17" s="6" t="s">
        <x:v>11</x:v>
      </x:c>
      <x:c r="B17" s="6" t="s">
        <x:v>95</x:v>
      </x:c>
      <x:c r="C17" s="6" t="s">
        <x:v>13</x:v>
      </x:c>
      <x:c r="D17" s="7" t="str">
        <x:f xml:space="preserve">HYPERLINK("https://www.infonalia.es/adjudicaciones1125/25218968.pdf","www.infonalia.es/adjudicaciones1125/25218968.pdf")</x:f>
        <x:v>www.infonalia.es/adjudicaciones1125/25218968.pdf</x:v>
      </x:c>
      <x:c r="E17" s="8" t="s">
        <x:v>96</x:v>
      </x:c>
      <x:c r="F17" s="6" t="s">
        <x:v>82</x:v>
      </x:c>
      <x:c r="G17" s="6" t="s">
        <x:v>97</x:v>
      </x:c>
      <x:c r="H17" s="6" t="s">
        <x:v>98</x:v>
      </x:c>
      <x:c r="I17" s="6" t="s">
        <x:v>37</x:v>
      </x:c>
      <x:c r="J17" s="9" t="n">
        <x:v>82500.00</x:v>
      </x:c>
      <x:c r="K17" s="9" t="n">
        <x:v>82500.00</x:v>
      </x:c>
    </x:row>
    <x:row r="18">
      <x:c r="A18" s="6" t="s">
        <x:v>11</x:v>
      </x:c>
      <x:c r="B18" s="6" t="s">
        <x:v>99</x:v>
      </x:c>
      <x:c r="C18" s="6" t="s">
        <x:v>13</x:v>
      </x:c>
      <x:c r="D18" s="7" t="str">
        <x:f xml:space="preserve">HYPERLINK("https://www.infonalia.es/adjudicaciones1125/25219004.pdf","www.infonalia.es/adjudicaciones1125/25219004.pdf")</x:f>
        <x:v>www.infonalia.es/adjudicaciones1125/25219004.pdf</x:v>
      </x:c>
      <x:c r="E18" s="8" t="s">
        <x:v>100</x:v>
      </x:c>
      <x:c r="F18" s="6" t="s">
        <x:v>82</x:v>
      </x:c>
      <x:c r="G18" s="6" t="s">
        <x:v>101</x:v>
      </x:c>
      <x:c r="H18" s="6" t="s">
        <x:v>102</x:v>
      </x:c>
      <x:c r="I18" s="6" t="s">
        <x:v>37</x:v>
      </x:c>
      <x:c r="J18" s="9" t="n">
        <x:v>6371.40</x:v>
      </x:c>
      <x:c r="K18" s="9" t="n">
        <x:v>6371.40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