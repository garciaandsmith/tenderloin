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Adjudicaciones" sheetId="1" r:id="rId1"/>
  </x:sheets>
  <x:definedNames>
    <x:definedName name="_xlnm._FilterDatabase" localSheetId="0" hidden="1">Adjudicaciones!$A$1:$K$1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<x:sst xmlns:x="http://schemas.openxmlformats.org/spreadsheetml/2006/main" count="11" uniqueCount="11">
  <x:si>
    <x:t>Tipo Adjudicacion</x:t>
  </x:si>
  <x:si>
    <x:t>Contratista</x:t>
  </x:si>
  <x:si>
    <x:t>Fecha</x:t>
  </x:si>
  <x:si>
    <x:t>Pdf Adjudicacion</x:t>
  </x:si>
  <x:si>
    <x:t>Referencia</x:t>
  </x:si>
  <x:si>
    <x:t>Organismo Convocante</x:t>
  </x:si>
  <x:si>
    <x:t>Objeto</x:t>
  </x:si>
  <x:si>
    <x:t>Nº Expediente</x:t>
  </x:si>
  <x:si>
    <x:t>Lugar Ejecucion</x:t>
  </x:si>
  <x:si>
    <x:t>Importe Adjudicacion</x:t>
  </x:si>
  <x:si>
    <x:t>Presupuesto Licitacion</x:t>
  </x:si>
  <x:si>
    <x:t>Adjudicado</x:t>
  </x:si>
  <x:si>
    <x:t>QUOTAS GMBH</x:t>
  </x:si>
  <x:si>
    <x:t>04/12/2025 0:00:00</x:t>
  </x:si>
  <x:si>
    <x:t>25242910</x:t>
  </x:si>
  <x:si>
    <x:t>CONSEJO DE ADMINISTRACIÓN-COMITÉ DE INVERSIONES DE LA SOCIEDAD ESTATAL CORREOS Y TELÉGRAFOS S.A.</x:t>
  </x:si>
  <x:si>
    <x:t>Contratación del servicio para la medición y el seguimiento de la calidad en plazo de la carta ordinaria nacional en la Sociedad Estatal Correos y Telégrafos S.A., S.M.E</x:t>
  </x:si>
  <x:si>
    <x:t>MI250004</x:t>
  </x:si>
  <x:si>
    <x:t>Madrid</x:t>
  </x:si>
  <x:si>
    <x:t>TÉCNICA DE TRANSPORTES INTERNACIONALES S.A.U</x:t>
  </x:si>
  <x:si>
    <x:t>25242962</x:t>
  </x:si>
  <x:si>
    <x:t>FUNDACIÓ PRIVADA ANTONI TÀPIES</x:t>
  </x:si>
  <x:si>
    <x:t>El objeto del presente contrato es la prestación de los servicios de transporte y manipulación de las obras de la exposición "Antoni Tàpies. El moviment perpetu del mur" (título provisional) del Museu Tàpies.</x:t>
  </x:si>
  <x:si>
    <x:t>04/2025</x:t>
  </x:si>
  <x:si>
    <x:t>Barcelona</x:t>
  </x:si>
  <x:si>
    <x:t>Ver detalle de la adjudicación</x:t>
  </x:si>
  <x:si>
    <x:t>JOAQUIM GARCIA DURAN</x:t>
  </x:si>
  <x:si>
    <x:t>25243310</x:t>
  </x:si>
  <x:si>
    <x:t>AYUNTAMIENTO DE L'AMETLLA DEL VALLÈS (BARCELONA)</x:t>
  </x:si>
  <x:si>
    <x:t>Prestación de los servicios de soporte en el ámbito de conceptualización gráfica, diseño gráfico y adaptación de originales para la elaboración de productos gráficos y otros elementos de comunicación promovidos por el Ayuntamiento de la Ametlla del Vallès, por la difusión de la información municipal, actividades de todo tipo, y programas y servicios del propio Consistorio</x:t>
  </x:si>
  <x:si>
    <x:t>3477/2025</x:t>
  </x:si>
  <x:si>
    <x:t>KARAVAN PRODUCTION FILMS SL</x:t>
  </x:si>
  <x:si>
    <x:t>25243328</x:t>
  </x:si>
  <x:si>
    <x:t>PROMOTORA DE EXPORTACIONS CATALANES, SA (PRODECA)</x:t>
  </x:si>
  <x:si>
    <x:t>Servicios de elaboración de materiales comunicativos para Prodeca, con el fin de apoyar a Prodeca en la realización de actividades de comunicación online y offline; la creación de eventos de marketing y la elaboración de contenidos de comunicación para una mejora del posicionamiento percibido del sector agroalimentario. Lote 1 Servicios audiovisuales. Lote 2 Servicios de diseño gráfico. Lote 3 Servicios de gabinete de prensa. Lote 4 Servicios de redes sociales. Lote 5 Servicios de programación web.</x:t>
  </x:si>
  <x:si>
    <x:t>PRODECA-2025-35</x:t>
  </x:si>
  <x:si>
    <x:t>Catalunya</x:t>
  </x:si>
  <x:si>
    <x:t>RED SQUARE EVENTOS SL</x:t>
  </x:si>
  <x:si>
    <x:t>25243373</x:t>
  </x:si>
  <x:si>
    <x:t>MINISTERIO DE CIENCIA, INNOVACIÓN Y UNIVERSIDADES. SECRETARÍA GENERAL DE LA AGENCIA ESTATAL CONSEJO SUPERIOR DE INVESTIGACIONES CIENTÍFICAS</x:t>
  </x:si>
  <x:si>
    <x:t>Servicio de asistencia técnica de gestión audiovisual para los actos que se celebren en la Organización Central de la Agencia Estatal Consejo Superior de Investigaciones Científicas</x:t>
  </x:si>
  <x:si>
    <x:t>34292/26</x:t>
  </x:si>
  <x:si>
    <x:t>CONMUNICA MEDIATRADER, S.L.U</x:t>
  </x:si>
  <x:si>
    <x:t>25243374</x:t>
  </x:si>
  <x:si>
    <x:t>MINISTERIO DE ASUNTOS EXTERIORES, UNIÓN EUROPEA Y COOPERACIÓN. SECRETARÍA DE ESTADO PARA LA UNIÓN EUROPEA</x:t>
  </x:si>
  <x:si>
    <x:t>Servicio de gestión de contenidos de la página web www.hablamosdeeuropa.es, redes sociales y difusión de oportunidades de empleo y formación en instituciones de la Unión Europea.</x:t>
  </x:si>
  <x:si>
    <x:t>2025/PD/S/12</x:t>
  </x:si>
  <x:si>
    <x:t>ARTEMAX EVENTOS SL</x:t>
  </x:si>
  <x:si>
    <x:t>25243413</x:t>
  </x:si>
  <x:si>
    <x:t>AYUNTAMIENTO DE TERRASSA (BARCELONA)</x:t>
  </x:si>
  <x:si>
    <x:t>ECAS 09262/2025 Servicio de gestión integral de la actividad del Tió de Navidad para ubicarla en los barrios de la ciudad dentro de la Campaña de Navidad del año 2025</x:t>
  </x:si>
  <x:si>
    <x:t>ECAS 09262/2025</x:t>
  </x:si>
  <x:si>
    <x:t>MULTILEM ESPAÑA, EVENTOS Y STANDS PARA FERIAS SLU</x:t>
  </x:si>
  <x:si>
    <x:t>25243426</x:t>
  </x:si>
  <x:si>
    <x:t>PRESIDENCIA Y DIRECCIÓN DE ADMINISTRACIÓN Y FINANZAS DE LA DE LA SOCIEDAD MERCANTIL ESTATAL PARA LA GESTIÓN DE LA INNOVACIÓN Y LAS TECNOLOGÍAS TURÍSTICAS, S.A.M.P. (SEGITTUR)</x:t>
  </x:si>
  <x:si>
    <x:t>Servicios de apoyo para el diseño y la construcción del stand de SEGITTUR dentro de Fitur Know-How &amp; Export 2026, así como el diseño, la producción y montaje del material decorativo de las distintas áreas de Fitur Know-How &amp; Export, tal y como se define en el “PLIEGO DE PRESCRIPCIONES TÉCNICAS DE LA CONTRATACIÓN".</x:t>
  </x:si>
  <x:si>
    <x:t>312025</x:t>
  </x:si>
  <x:si>
    <x:t>6TEMS COMUNICACIÓ INTERACTIVA S.L</x:t>
  </x:si>
  <x:si>
    <x:t>25243550</x:t>
  </x:si>
  <x:si>
    <x:t>MANCOMUNITAT DE INICIATIVES PEL DESENVOLUPAMENT INTEGRAL DEL TERRITORI (MIDIT)</x:t>
  </x:si>
  <x:si>
    <x:t>El objeto del contrato es el servicio de creación de plataforma e-commerce. Se plantea el desarrollo de una plataforma integrada de reservas turísticas que integrante en el portal turístico, que sustituya a la actual, con una e-commerce, para mejorar el proceso de planificación y reserva de viajes al destino. Esta actuación forma parte del plan de sostenibilidad turística en destino «Tierras de Mestral: Outdoor Park de la Costa Daurada».</x:t>
  </x:si>
  <x:si>
    <x:t>68/2025</x:t>
  </x:si>
  <x:si>
    <x:t>Tarragona</x:t>
  </x:si>
  <x:si>
    <x:t>LOTE 1 CARRILETS TURISTICS, S.L.U.; LOTE 2 CARRILETS TURISTICS, S.L.U.</x:t>
  </x:si>
  <x:si>
    <x:t>25243551</x:t>
  </x:si>
  <x:si>
    <x:t>Contrato mixto de alquiler de un trenecito de Navidad, y el servicio de gestión de la actividad, para recorrer diferentes barrios y el centro de la ciudad como actividad enmarcada dentro de la Campaña de Navidad, El objeto del contrato también comporta la organización y gestión integral de la actividad, así como el material necesario para su desarrollo. Lote 1: Tren de Navidad para recorrer diferentes barrios de la ciudad. Lote 2: Tren de Navidad para recorrer el centro de la ciudad.</x:t>
  </x:si>
  <x:si>
    <x:t>ECAU 09911/2025</x:t>
  </x:si>
  <x:si>
    <x:t>BOTH PEOPLE &amp; COMMS, SL</x:t>
  </x:si>
  <x:si>
    <x:t>25243555</x:t>
  </x:si>
  <x:si>
    <x:t>INSTITUTO DE CULTURA DE BARCELONA</x:t>
  </x:si>
  <x:si>
    <x:t>Servicios especializado en gestión de comunicación digital y de contenidos para los programas patrimoniales y para el Portal de Museus de Barcelona</x:t>
  </x:si>
  <x:si>
    <x:t>006_25001415</x:t>
  </x:si>
  <x:si>
    <x:t>DIVERSPORT SL</x:t>
  </x:si>
  <x:si>
    <x:t>25243556</x:t>
  </x:si>
  <x:si>
    <x:t>AYUNTAMIENTO DE SANTA PERPÈTUA DE MOGODA (BARCELONA)</x:t>
  </x:si>
  <x:si>
    <x:t>El objeto del contrato es la gestión del Servicio de Información Juvenil, ubicado en el equipamiento juvenil La Promotora. Las funciones a desarrollar en este servicio son, entre otras, la recepción y atención de jóvenes a los que hay que ofrecer información esmerada, asesoramiento, derivación y acompañamiento sobre temas de su interés y necesidades concretas, gestión de campañas específicas sobre temas de actualidad e interés juvenil y la organización y gestión de la Muestra de Enseñanza anual, que incluye asesoramientos académicos personalizados, x becas, acompañamiento en las preinscripciones y matriculaciones en los estudios reglados, etc</x:t>
  </x:si>
  <x:si>
    <x:t>2025/9921A</x:t>
  </x:si>
  <x:si>
    <x:t>UTE WORLD GREEN CONFERENCE</x:t>
  </x:si>
  <x:si>
    <x:t>25243568</x:t>
  </x:si>
  <x:si>
    <x:t>UNIVERSITAT DE LLEIDA</x:t>
  </x:si>
  <x:si>
    <x:t>Prestación del servicio de gestión y dirección técnica para la realización del Congreso Mundial de Infraestructura Verde WGIC 2026.</x:t>
  </x:si>
  <x:si>
    <x:t>2025SER82</x:t>
  </x:si>
  <x:si>
    <x:t>Lleida</x:t>
  </x:si>
  <x:si>
    <x:t>INSTITUCIÓN FERIAL DE MADRID</x:t>
  </x:si>
  <x:si>
    <x:t>25243693</x:t>
  </x:si>
  <x:si>
    <x:t>JUNTA DE EXTREMADURA. CONSEJERÍA DE CULTURA, TURISMO, JÓVENES Y DEPORTES</x:t>
  </x:si>
  <x:si>
    <x:t>Alquiler del espacio expositivo y servicios obligatorios para la participación de Extremadura en Fitur 2026</x:t>
  </x:si>
  <x:si>
    <x:t>PTR/2025/0000139256</x:t>
  </x:si>
  <x:si>
    <x:t>CLUB DEPORTIVO GRANADA POR EL BALONCESTO</x:t>
  </x:si>
  <x:si>
    <x:t>25243740</x:t>
  </x:si>
  <x:si>
    <x:t>EMPRESA PÚBLICA PARA LA GESTIÓN DEL TURISMO Y EL DEPORTE DE ANDALUCÍA, S.A</x:t>
  </x:si>
  <x:si>
    <x:t>Patrocinio equipo covirán Granada temporada 2025-2026</x:t>
  </x:si>
  <x:si>
    <x:t>C2N01-05RG-1125-0189</x:t>
  </x:si>
  <x:si>
    <x:t>Granada</x:t>
  </x:si>
  <x:si>
    <x:t>THE CONVERSATION-ESPAÑA</x:t>
  </x:si>
  <x:si>
    <x:t>25243826</x:t>
  </x:si>
  <x:si>
    <x:t>SECRETARÍA GENERAL DEL CENTRO DE INVESTIGACIONES ENERGÉTICAS, MEDIOAMBIENTALES Y TECNOLÓGICAS (CIEMAT)</x:t>
  </x:si>
  <x:si>
    <x:t>Servicio de difusión para la publicación de artículos divulgativos del personal de investigación del CIEMAT</x:t>
  </x:si>
  <x:si>
    <x:t>303249</x:t>
  </x:si>
</x:sst>
</file>

<file path=xl/styles.xml><?xml version="1.0" encoding="utf-8"?>
<styleSheet xmlns="http://schemas.openxmlformats.org/spreadsheetml/2006/main">
  <numFmts count="1">
    <numFmt numFmtId="164" formatCode="#,##0.00&quot; €&quot;;[Red]\-#,##0.00&quot; €&quot;"/>
  </numFmts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4" fillId="0" borderId="1" xfId="1" applyFont="1" applyBorder="1" applyAlignment="1" applyProtection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K2"/>
  <x:sheetViews>
    <x:sheetView showGridLines="0" tabSelected="1" zoomScaleNormal="100" workbookViewId="0">
      <x:selection sqref="A1:XFD1"/>
    </x:sheetView>
  </x:sheetViews>
  <x:sheetFormatPr baseColWidth="10" defaultColWidth="16" defaultRowHeight="12.75"/>
  <x:cols>
    <x:col min="1" max="1" width="14.42578125" style="1" customWidth="1"/>
    <x:col min="2" max="2" width="19.85546875" style="1" customWidth="1"/>
    <x:col min="3" max="3" width="11.5703125" style="1" hidden="1" customWidth="1"/>
    <x:col min="4" max="4" width="20.140625" style="1" customWidth="1"/>
    <x:col min="5" max="5" width="11.140625" style="2" customWidth="1"/>
    <x:col min="6" max="6" width="26.7109375" style="1" customWidth="1"/>
    <x:col min="7" max="7" width="47.28515625" style="1" customWidth="1"/>
    <x:col min="8" max="8" width="15.7109375" style="1" customWidth="1"/>
    <x:col min="9" max="9" width="13.42578125" style="1" customWidth="1"/>
    <x:col min="10" max="10" width="17.28515625" style="1" customWidth="1"/>
    <x:col min="11" max="11" width="18" style="1" customWidth="1"/>
    <x:col min="12" max="16384" width="16" style="1"/>
  </x:cols>
  <x:sheetData>
    <x:row r="1" spans="1:11" s="5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4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</x:row>
    <x:row r="2" spans="1:11">
      <x:c r="A2" s="6" t="s">
        <x:v>11</x:v>
      </x:c>
      <x:c r="B2" s="6" t="s">
        <x:v>12</x:v>
      </x:c>
      <x:c r="C2" s="6" t="s">
        <x:v>13</x:v>
      </x:c>
      <x:c r="D2" s="7" t="str">
        <x:f xml:space="preserve">HYPERLINK("https://www.infonalia.es/adjudicaciones1225/25242910.pdf","www.infonalia.es/adjudicaciones1225/25242910.pdf")</x:f>
        <x:v>www.infonalia.es/adjudicaciones1225/25242910.pdf</x:v>
      </x:c>
      <x:c r="E2" s="8" t="s">
        <x:v>14</x:v>
      </x:c>
      <x:c r="F2" s="6" t="s">
        <x:v>15</x:v>
      </x:c>
      <x:c r="G2" s="6" t="s">
        <x:v>16</x:v>
      </x:c>
      <x:c r="H2" s="6" t="s">
        <x:v>17</x:v>
      </x:c>
      <x:c r="I2" s="6" t="s">
        <x:v>18</x:v>
      </x:c>
      <x:c r="J2" s="9" t="n">
        <x:v>2170966.53</x:v>
      </x:c>
      <x:c r="K2" s="9" t="n">
        <x:v>2809050.00</x:v>
      </x:c>
    </x:row>
    <x:row r="3">
      <x:c r="A3" s="6" t="s">
        <x:v>11</x:v>
      </x:c>
      <x:c r="B3" s="6" t="s">
        <x:v>19</x:v>
      </x:c>
      <x:c r="C3" s="6" t="s">
        <x:v>13</x:v>
      </x:c>
      <x:c r="D3" s="7" t="str">
        <x:f xml:space="preserve">HYPERLINK("https://www.infonalia.es/adjudicaciones1225/25242962.pdf","www.infonalia.es/adjudicaciones1225/25242962.pdf")</x:f>
        <x:v>www.infonalia.es/adjudicaciones1225/25242962.pdf</x:v>
      </x:c>
      <x:c r="E3" s="8" t="s">
        <x:v>20</x:v>
      </x:c>
      <x:c r="F3" s="6" t="s">
        <x:v>21</x:v>
      </x:c>
      <x:c r="G3" s="6" t="s">
        <x:v>22</x:v>
      </x:c>
      <x:c r="H3" s="6" t="s">
        <x:v>23</x:v>
      </x:c>
      <x:c r="I3" s="6" t="s">
        <x:v>24</x:v>
      </x:c>
      <x:c r="J3" s="9" t="s">
        <x:v>25</x:v>
      </x:c>
      <x:c r="K3" s="9" t="n">
        <x:v>76486.30</x:v>
      </x:c>
    </x:row>
    <x:row r="4">
      <x:c r="A4" s="6" t="s">
        <x:v>11</x:v>
      </x:c>
      <x:c r="B4" s="6" t="s">
        <x:v>26</x:v>
      </x:c>
      <x:c r="C4" s="6" t="s">
        <x:v>13</x:v>
      </x:c>
      <x:c r="D4" s="7" t="str">
        <x:f xml:space="preserve">HYPERLINK("https://www.infonalia.es/adjudicaciones1225/25243310.pdf","www.infonalia.es/adjudicaciones1225/25243310.pdf")</x:f>
        <x:v>www.infonalia.es/adjudicaciones1225/25243310.pdf</x:v>
      </x:c>
      <x:c r="E4" s="8" t="s">
        <x:v>27</x:v>
      </x:c>
      <x:c r="F4" s="6" t="s">
        <x:v>28</x:v>
      </x:c>
      <x:c r="G4" s="6" t="s">
        <x:v>29</x:v>
      </x:c>
      <x:c r="H4" s="6" t="s">
        <x:v>30</x:v>
      </x:c>
      <x:c r="I4" s="6" t="s">
        <x:v>24</x:v>
      </x:c>
      <x:c r="J4" s="9" t="s">
        <x:v>25</x:v>
      </x:c>
      <x:c r="K4" s="9" t="n">
        <x:v>20000.00</x:v>
      </x:c>
    </x:row>
    <x:row r="5">
      <x:c r="A5" s="6" t="s">
        <x:v>11</x:v>
      </x:c>
      <x:c r="B5" s="6" t="s">
        <x:v>31</x:v>
      </x:c>
      <x:c r="C5" s="6" t="s">
        <x:v>13</x:v>
      </x:c>
      <x:c r="D5" s="7" t="str">
        <x:f xml:space="preserve">HYPERLINK("https://www.infonalia.es/adjudicaciones1225/25243328.pdf","www.infonalia.es/adjudicaciones1225/25243328.pdf")</x:f>
        <x:v>www.infonalia.es/adjudicaciones1225/25243328.pdf</x:v>
      </x:c>
      <x:c r="E5" s="8" t="s">
        <x:v>32</x:v>
      </x:c>
      <x:c r="F5" s="6" t="s">
        <x:v>33</x:v>
      </x:c>
      <x:c r="G5" s="6" t="s">
        <x:v>34</x:v>
      </x:c>
      <x:c r="H5" s="6" t="s">
        <x:v>35</x:v>
      </x:c>
      <x:c r="I5" s="6" t="s">
        <x:v>36</x:v>
      </x:c>
      <x:c r="J5" s="9" t="s">
        <x:v>25</x:v>
      </x:c>
      <x:c r="K5" s="9" t="n">
        <x:v>125286.00</x:v>
      </x:c>
    </x:row>
    <x:row r="6">
      <x:c r="A6" s="6" t="s">
        <x:v>11</x:v>
      </x:c>
      <x:c r="B6" s="6" t="s">
        <x:v>37</x:v>
      </x:c>
      <x:c r="C6" s="6" t="s">
        <x:v>13</x:v>
      </x:c>
      <x:c r="D6" s="7" t="str">
        <x:f xml:space="preserve">HYPERLINK("https://www.infonalia.es/adjudicaciones1225/25243373.pdf","www.infonalia.es/adjudicaciones1225/25243373.pdf")</x:f>
        <x:v>www.infonalia.es/adjudicaciones1225/25243373.pdf</x:v>
      </x:c>
      <x:c r="E6" s="8" t="s">
        <x:v>38</x:v>
      </x:c>
      <x:c r="F6" s="6" t="s">
        <x:v>39</x:v>
      </x:c>
      <x:c r="G6" s="6" t="s">
        <x:v>40</x:v>
      </x:c>
      <x:c r="H6" s="6" t="s">
        <x:v>41</x:v>
      </x:c>
      <x:c r="I6" s="6" t="s">
        <x:v>18</x:v>
      </x:c>
      <x:c r="J6" s="9" t="n">
        <x:v>44000.00</x:v>
      </x:c>
      <x:c r="K6" s="9" t="n">
        <x:v>104400.00</x:v>
      </x:c>
    </x:row>
    <x:row r="7">
      <x:c r="A7" s="6" t="s">
        <x:v>11</x:v>
      </x:c>
      <x:c r="B7" s="6" t="s">
        <x:v>42</x:v>
      </x:c>
      <x:c r="C7" s="6" t="s">
        <x:v>13</x:v>
      </x:c>
      <x:c r="D7" s="7" t="str">
        <x:f xml:space="preserve">HYPERLINK("https://www.infonalia.es/adjudicaciones1225/25243374.pdf","www.infonalia.es/adjudicaciones1225/25243374.pdf")</x:f>
        <x:v>www.infonalia.es/adjudicaciones1225/25243374.pdf</x:v>
      </x:c>
      <x:c r="E7" s="8" t="s">
        <x:v>43</x:v>
      </x:c>
      <x:c r="F7" s="6" t="s">
        <x:v>44</x:v>
      </x:c>
      <x:c r="G7" s="6" t="s">
        <x:v>45</x:v>
      </x:c>
      <x:c r="H7" s="6" t="s">
        <x:v>46</x:v>
      </x:c>
      <x:c r="I7" s="6" t="s">
        <x:v>18</x:v>
      </x:c>
      <x:c r="J7" s="9" t="n">
        <x:v>44957.91</x:v>
      </x:c>
      <x:c r="K7" s="9" t="n">
        <x:v>59468.14</x:v>
      </x:c>
    </x:row>
    <x:row r="8">
      <x:c r="A8" s="6" t="s">
        <x:v>11</x:v>
      </x:c>
      <x:c r="B8" s="6" t="s">
        <x:v>47</x:v>
      </x:c>
      <x:c r="C8" s="6" t="s">
        <x:v>13</x:v>
      </x:c>
      <x:c r="D8" s="7" t="str">
        <x:f xml:space="preserve">HYPERLINK("https://www.infonalia.es/adjudicaciones1225/25243413.pdf","www.infonalia.es/adjudicaciones1225/25243413.pdf")</x:f>
        <x:v>www.infonalia.es/adjudicaciones1225/25243413.pdf</x:v>
      </x:c>
      <x:c r="E8" s="8" t="s">
        <x:v>48</x:v>
      </x:c>
      <x:c r="F8" s="6" t="s">
        <x:v>49</x:v>
      </x:c>
      <x:c r="G8" s="6" t="s">
        <x:v>50</x:v>
      </x:c>
      <x:c r="H8" s="6" t="s">
        <x:v>51</x:v>
      </x:c>
      <x:c r="I8" s="6" t="s">
        <x:v>24</x:v>
      </x:c>
      <x:c r="J8" s="9" t="s">
        <x:v>25</x:v>
      </x:c>
      <x:c r="K8" s="9" t="n">
        <x:v>10650.00</x:v>
      </x:c>
    </x:row>
    <x:row r="9">
      <x:c r="A9" s="6" t="s">
        <x:v>11</x:v>
      </x:c>
      <x:c r="B9" s="6" t="s">
        <x:v>52</x:v>
      </x:c>
      <x:c r="C9" s="6" t="s">
        <x:v>13</x:v>
      </x:c>
      <x:c r="D9" s="7" t="str">
        <x:f xml:space="preserve">HYPERLINK("https://www.infonalia.es/adjudicaciones1225/25243426.pdf","www.infonalia.es/adjudicaciones1225/25243426.pdf")</x:f>
        <x:v>www.infonalia.es/adjudicaciones1225/25243426.pdf</x:v>
      </x:c>
      <x:c r="E9" s="8" t="s">
        <x:v>53</x:v>
      </x:c>
      <x:c r="F9" s="6" t="s">
        <x:v>54</x:v>
      </x:c>
      <x:c r="G9" s="6" t="s">
        <x:v>55</x:v>
      </x:c>
      <x:c r="H9" s="6" t="s">
        <x:v>56</x:v>
      </x:c>
      <x:c r="I9" s="6" t="s">
        <x:v>18</x:v>
      </x:c>
      <x:c r="J9" s="9" t="n">
        <x:v>95500.00</x:v>
      </x:c>
      <x:c r="K9" s="9" t="n">
        <x:v>97000.00</x:v>
      </x:c>
    </x:row>
    <x:row r="10">
      <x:c r="A10" s="6" t="s">
        <x:v>11</x:v>
      </x:c>
      <x:c r="B10" s="6" t="s">
        <x:v>57</x:v>
      </x:c>
      <x:c r="C10" s="6" t="s">
        <x:v>13</x:v>
      </x:c>
      <x:c r="D10" s="7" t="str">
        <x:f xml:space="preserve">HYPERLINK("https://www.infonalia.es/adjudicaciones1225/25243550.pdf","www.infonalia.es/adjudicaciones1225/25243550.pdf")</x:f>
        <x:v>www.infonalia.es/adjudicaciones1225/25243550.pdf</x:v>
      </x:c>
      <x:c r="E10" s="8" t="s">
        <x:v>58</x:v>
      </x:c>
      <x:c r="F10" s="6" t="s">
        <x:v>59</x:v>
      </x:c>
      <x:c r="G10" s="6" t="s">
        <x:v>60</x:v>
      </x:c>
      <x:c r="H10" s="6" t="s">
        <x:v>61</x:v>
      </x:c>
      <x:c r="I10" s="6" t="s">
        <x:v>62</x:v>
      </x:c>
      <x:c r="J10" s="9" t="s">
        <x:v>25</x:v>
      </x:c>
      <x:c r="K10" s="9" t="n">
        <x:v>19000.00</x:v>
      </x:c>
    </x:row>
    <x:row r="11">
      <x:c r="A11" s="6" t="s">
        <x:v>11</x:v>
      </x:c>
      <x:c r="B11" s="6" t="s">
        <x:v>63</x:v>
      </x:c>
      <x:c r="C11" s="6" t="s">
        <x:v>13</x:v>
      </x:c>
      <x:c r="D11" s="7" t="str">
        <x:f xml:space="preserve">HYPERLINK("https://www.infonalia.es/adjudicaciones1225/25243551.pdf","www.infonalia.es/adjudicaciones1225/25243551.pdf")</x:f>
        <x:v>www.infonalia.es/adjudicaciones1225/25243551.pdf</x:v>
      </x:c>
      <x:c r="E11" s="8" t="s">
        <x:v>64</x:v>
      </x:c>
      <x:c r="F11" s="6" t="s">
        <x:v>49</x:v>
      </x:c>
      <x:c r="G11" s="6" t="s">
        <x:v>65</x:v>
      </x:c>
      <x:c r="H11" s="6" t="s">
        <x:v>66</x:v>
      </x:c>
      <x:c r="I11" s="6" t="s">
        <x:v>24</x:v>
      </x:c>
      <x:c r="J11" s="9" t="s">
        <x:v>25</x:v>
      </x:c>
      <x:c r="K11" s="9" t="n">
        <x:v>46024.92</x:v>
      </x:c>
    </x:row>
    <x:row r="12">
      <x:c r="A12" s="6" t="s">
        <x:v>11</x:v>
      </x:c>
      <x:c r="B12" s="6" t="s">
        <x:v>67</x:v>
      </x:c>
      <x:c r="C12" s="6" t="s">
        <x:v>13</x:v>
      </x:c>
      <x:c r="D12" s="7" t="str">
        <x:f xml:space="preserve">HYPERLINK("https://www.infonalia.es/adjudicaciones1225/25243555.pdf","www.infonalia.es/adjudicaciones1225/25243555.pdf")</x:f>
        <x:v>www.infonalia.es/adjudicaciones1225/25243555.pdf</x:v>
      </x:c>
      <x:c r="E12" s="8" t="s">
        <x:v>68</x:v>
      </x:c>
      <x:c r="F12" s="6" t="s">
        <x:v>69</x:v>
      </x:c>
      <x:c r="G12" s="6" t="s">
        <x:v>70</x:v>
      </x:c>
      <x:c r="H12" s="6" t="s">
        <x:v>71</x:v>
      </x:c>
      <x:c r="I12" s="6" t="s">
        <x:v>24</x:v>
      </x:c>
      <x:c r="J12" s="9" t="n">
        <x:v>101180.00</x:v>
      </x:c>
      <x:c r="K12" s="9" t="n">
        <x:v>119974.40</x:v>
      </x:c>
    </x:row>
    <x:row r="13">
      <x:c r="A13" s="6" t="s">
        <x:v>11</x:v>
      </x:c>
      <x:c r="B13" s="6" t="s">
        <x:v>72</x:v>
      </x:c>
      <x:c r="C13" s="6" t="s">
        <x:v>13</x:v>
      </x:c>
      <x:c r="D13" s="7" t="str">
        <x:f xml:space="preserve">HYPERLINK("https://www.infonalia.es/adjudicaciones1225/25243556.pdf","www.infonalia.es/adjudicaciones1225/25243556.pdf")</x:f>
        <x:v>www.infonalia.es/adjudicaciones1225/25243556.pdf</x:v>
      </x:c>
      <x:c r="E13" s="8" t="s">
        <x:v>73</x:v>
      </x:c>
      <x:c r="F13" s="6" t="s">
        <x:v>74</x:v>
      </x:c>
      <x:c r="G13" s="6" t="s">
        <x:v>75</x:v>
      </x:c>
      <x:c r="H13" s="6" t="s">
        <x:v>76</x:v>
      </x:c>
      <x:c r="I13" s="6" t="s">
        <x:v>24</x:v>
      </x:c>
      <x:c r="J13" s="9" t="n">
        <x:v>60245.50</x:v>
      </x:c>
      <x:c r="K13" s="9" t="n">
        <x:v>65236.12</x:v>
      </x:c>
    </x:row>
    <x:row r="14">
      <x:c r="A14" s="6" t="s">
        <x:v>11</x:v>
      </x:c>
      <x:c r="B14" s="6" t="s">
        <x:v>77</x:v>
      </x:c>
      <x:c r="C14" s="6" t="s">
        <x:v>13</x:v>
      </x:c>
      <x:c r="D14" s="7" t="str">
        <x:f xml:space="preserve">HYPERLINK("https://www.infonalia.es/adjudicaciones1225/25243568.pdf","www.infonalia.es/adjudicaciones1225/25243568.pdf")</x:f>
        <x:v>www.infonalia.es/adjudicaciones1225/25243568.pdf</x:v>
      </x:c>
      <x:c r="E14" s="8" t="s">
        <x:v>78</x:v>
      </x:c>
      <x:c r="F14" s="6" t="s">
        <x:v>79</x:v>
      </x:c>
      <x:c r="G14" s="6" t="s">
        <x:v>80</x:v>
      </x:c>
      <x:c r="H14" s="6" t="s">
        <x:v>81</x:v>
      </x:c>
      <x:c r="I14" s="6" t="s">
        <x:v>82</x:v>
      </x:c>
      <x:c r="J14" s="9" t="n">
        <x:v>164650.00</x:v>
      </x:c>
      <x:c r="K14" s="9" t="n">
        <x:v>185000.00</x:v>
      </x:c>
    </x:row>
    <x:row r="15">
      <x:c r="A15" s="6" t="s">
        <x:v>11</x:v>
      </x:c>
      <x:c r="B15" s="6" t="s">
        <x:v>83</x:v>
      </x:c>
      <x:c r="C15" s="6" t="s">
        <x:v>13</x:v>
      </x:c>
      <x:c r="D15" s="7" t="str">
        <x:f xml:space="preserve">HYPERLINK("https://www.infonalia.es/adjudicaciones1225/25243693.pdf","www.infonalia.es/adjudicaciones1225/25243693.pdf")</x:f>
        <x:v>www.infonalia.es/adjudicaciones1225/25243693.pdf</x:v>
      </x:c>
      <x:c r="E15" s="8" t="s">
        <x:v>84</x:v>
      </x:c>
      <x:c r="F15" s="6" t="s">
        <x:v>85</x:v>
      </x:c>
      <x:c r="G15" s="6" t="s">
        <x:v>86</x:v>
      </x:c>
      <x:c r="H15" s="6" t="s">
        <x:v>87</x:v>
      </x:c>
      <x:c r="I15" s="6" t="s">
        <x:v>18</x:v>
      </x:c>
      <x:c r="J15" s="9" t="n">
        <x:v>190287.38</x:v>
      </x:c>
      <x:c r="K15" s="9" t="n">
        <x:v>190287.38</x:v>
      </x:c>
    </x:row>
    <x:row r="16">
      <x:c r="A16" s="6" t="s">
        <x:v>11</x:v>
      </x:c>
      <x:c r="B16" s="6" t="s">
        <x:v>88</x:v>
      </x:c>
      <x:c r="C16" s="6" t="s">
        <x:v>13</x:v>
      </x:c>
      <x:c r="D16" s="7" t="str">
        <x:f xml:space="preserve">HYPERLINK("https://www.infonalia.es/adjudicaciones1225/25243740.pdf","www.infonalia.es/adjudicaciones1225/25243740.pdf")</x:f>
        <x:v>www.infonalia.es/adjudicaciones1225/25243740.pdf</x:v>
      </x:c>
      <x:c r="E16" s="8" t="s">
        <x:v>89</x:v>
      </x:c>
      <x:c r="F16" s="6" t="s">
        <x:v>90</x:v>
      </x:c>
      <x:c r="G16" s="6" t="s">
        <x:v>91</x:v>
      </x:c>
      <x:c r="H16" s="6" t="s">
        <x:v>92</x:v>
      </x:c>
      <x:c r="I16" s="6" t="s">
        <x:v>93</x:v>
      </x:c>
      <x:c r="J16" s="9" t="n">
        <x:v>135123.96</x:v>
      </x:c>
      <x:c r="K16" s="9" t="n">
        <x:v>135123.97</x:v>
      </x:c>
    </x:row>
    <x:row r="17">
      <x:c r="A17" s="6" t="s">
        <x:v>11</x:v>
      </x:c>
      <x:c r="B17" s="6" t="s">
        <x:v>94</x:v>
      </x:c>
      <x:c r="C17" s="6" t="s">
        <x:v>13</x:v>
      </x:c>
      <x:c r="D17" s="7" t="str">
        <x:f xml:space="preserve">HYPERLINK("https://www.infonalia.es/adjudicaciones1225/25243826.pdf","www.infonalia.es/adjudicaciones1225/25243826.pdf")</x:f>
        <x:v>www.infonalia.es/adjudicaciones1225/25243826.pdf</x:v>
      </x:c>
      <x:c r="E17" s="8" t="s">
        <x:v>95</x:v>
      </x:c>
      <x:c r="F17" s="6" t="s">
        <x:v>96</x:v>
      </x:c>
      <x:c r="G17" s="6" t="s">
        <x:v>97</x:v>
      </x:c>
      <x:c r="H17" s="6" t="s">
        <x:v>98</x:v>
      </x:c>
      <x:c r="I17" s="6" t="s">
        <x:v>18</x:v>
      </x:c>
      <x:c r="J17" s="9" t="n">
        <x:v>24000.00</x:v>
      </x:c>
      <x:c r="K17" s="9" t="n">
        <x:v>24000.00</x:v>
      </x:c>
    </x:row>
  </x:sheetData>
  <x:autoFilter ref="A1:K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Adjudicaciones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1</cp:revision>
  <dcterms:created xsi:type="dcterms:W3CDTF">2024-12-04T08:58:32Z</dcterms:created>
  <dcterms:modified xsi:type="dcterms:W3CDTF">2025-01-20T07:55:24Z</dcterms:modified>
  <dc:language>es-ES</dc:language>
</cp:coreProperties>
</file>