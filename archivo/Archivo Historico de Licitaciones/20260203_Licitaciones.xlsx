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Licitaciones" sheetId="1" r:id="rId1"/>
  </x:sheets>
  <x:definedNames>
    <x:definedName name="_xlnm._FilterDatabase" localSheetId="0" hidden="1">Licitaciones!$A$1:$Q$1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<x:sst xmlns:x="http://schemas.openxmlformats.org/spreadsheetml/2006/main" count="17" uniqueCount="17">
  <x:si>
    <x:t>TipoDato</x:t>
  </x:si>
  <x:si>
    <x:t>CodigoBoletin</x:t>
  </x:si>
  <x:si>
    <x:t>PlazoPresentacionFecha</x:t>
  </x:si>
  <x:si>
    <x:t>Referencia</x:t>
  </x:si>
  <x:si>
    <x:t>FechaIntroduccion</x:t>
  </x:si>
  <x:si>
    <x:t>OrganismoConvocante</x:t>
  </x:si>
  <x:si>
    <x:t>Objeto</x:t>
  </x:si>
  <x:si>
    <x:t>Nº Expediente</x:t>
  </x:si>
  <x:si>
    <x:t>Presupuesto</x:t>
  </x:si>
  <x:si>
    <x:t>PresupuestoVarios</x:t>
  </x:si>
  <x:si>
    <x:t>PlazoPresentacionVarios</x:t>
  </x:si>
  <x:si>
    <x:t>InformacionWeb</x:t>
  </x:si>
  <x:si>
    <x:t>PublicacionNumero</x:t>
  </x:si>
  <x:si>
    <x:t>PublicacionFecha</x:t>
  </x:si>
  <x:si>
    <x:t>Observaciones</x:t>
  </x:si>
  <x:si>
    <x:t>LugarEjecucion</x:t>
  </x:si>
  <x:si>
    <x:t>Anuncio</x:t>
  </x:si>
  <x:si>
    <x:t>Concurso</x:t>
  </x:si>
  <x:si>
    <x:t>Plataforma de Contratación del Estado</x:t>
  </x:si>
  <x:si>
    <x:t>17/02/2026</x:t>
  </x:si>
  <x:si>
    <x:t>2026010690</x:t>
  </x:si>
  <x:si>
    <x:t>03/02/2026</x:t>
  </x:si>
  <x:si>
    <x:t>INSTITUT DE CULTURA DE BARCELONA</x:t>
  </x:si>
  <x:si>
    <x:t>Las prestaciones consisten en la selección de la dirección artística para la programación del Festival Llum de Barcelona, de conformidad con la Cláusula Tercera del PPT</x:t>
  </x:si>
  <x:si>
    <x:t>006_25002258</x:t>
  </x:si>
  <x:si>
    <x:t>Importe sin impuestos</x:t>
  </x:si>
  <x:si>
    <x:t/>
  </x:si>
  <x:si>
    <x:t>-----</x:t>
  </x:si>
  <x:si>
    <x:t>02/02/2026</x:t>
  </x:si>
  <x:si>
    <x:t/>
  </x:si>
  <x:si>
    <x:t>Barcelona</x:t>
  </x:si>
  <x:si>
    <x:t>2026010851</x:t>
  </x:si>
  <x:si>
    <x:t>XARXA AUDIOVISUAL LOCAL, SL</x:t>
  </x:si>
  <x:si>
    <x:t>El objeto del presente procedimiento es disponer de un servicio de alquileres ocasionales de equipos de iluminación y del personal que los opere para la grabación de un programa de la XAL. Se pide un número máximo de 35 servicios, a consumir durante un año como máximo. La XAL no se compromete en ningún caso a contratar una cantidad mínima de servicios. Específicamente estarán incluidos todos los servicios, provisiones y suministros que sean necesarios para la ejecución total y completa del contrato en los términos detallados, mientras no se especifique lo contrario en este pliego de prescripciones técnicas</x:t>
  </x:si>
  <x:si>
    <x:t>05/2026XAL/2026/0002268</x:t>
  </x:si>
  <x:si>
    <x:t/>
  </x:si>
  <x:si>
    <x:t>05/03/2026</x:t>
  </x:si>
  <x:si>
    <x:t>2026010857</x:t>
  </x:si>
  <x:si>
    <x:t>AYUNTAMIENTO DE GIRONA</x:t>
  </x:si>
  <x:si>
    <x:t>El contrato tiene por objeto la prestación integrada del servicio de programación, dinamización, gestión técnica y operativa del servicio público municipal de cine en versión original “Cinema Truffaut”, de acuerdo con las condiciones y requisitos establecidos en el Pliego de prescripciones técnicas</x:t>
  </x:si>
  <x:si>
    <x:t>2025052844</x:t>
  </x:si>
  <x:si>
    <x:t/>
  </x:si>
  <x:si>
    <x:t>Girona</x:t>
  </x:si>
  <x:si>
    <x:t>27/02/2026</x:t>
  </x:si>
  <x:si>
    <x:t>2026010903</x:t>
  </x:si>
  <x:si>
    <x:t>MINISTERIO DE ECONOMÍA, COMERCIO Y EMPRESA. DIRECCIÓN DE LA FUNDACIÓN ICO</x:t>
  </x:si>
  <x:si>
    <x:t>Servicio de comunicación de la actividad de la Fundación ICO</x:t>
  </x:si>
  <x:si>
    <x:t>07/2026</x:t>
  </x:si>
  <x:si>
    <x:t/>
  </x:si>
  <x:si>
    <x:t>Madrid</x:t>
  </x:si>
  <x:si>
    <x:t>2026010927</x:t>
  </x:si>
  <x:si>
    <x:t>PRESIDENTE DE LA ASOCIACIÓN DE DESARROLLO SIERRA DE GUADARRAMA</x:t>
  </x:si>
  <x:si>
    <x:t>El desarrollo de acciones que permitan mejorar la sostenibilidad, la innovación, la competitividad y la digitalización del sector turístico del municipio de Becerril de la Sierra, correspondiente a la Actuación nº16 – Eje 3, recogida en el Plan de Sostenibilidad Turística en Destino (en adelante PSTD)</x:t>
  </x:si>
  <x:si>
    <x:t>6/2026</x:t>
  </x:si>
  <x:si>
    <x:t/>
  </x:si>
  <x:si>
    <x:t>18/02/2026</x:t>
  </x:si>
  <x:si>
    <x:t>2026010941</x:t>
  </x:si>
  <x:si>
    <x:t>AYUNTAMIENTO DE BARCELONA</x:t>
  </x:si>
  <x:si>
    <x:t>Dinamización de las entidades comerciales y los comercios del Distrito y soporte logístico a la realización de actos de dinamización y promoción del comercio local en la vía pública</x:t>
  </x:si>
  <x:si>
    <x:t>001_25004390</x:t>
  </x:si>
  <x:si>
    <x:t/>
  </x:si>
  <x:si>
    <x:t>Barcelona. Perfil del Contratante del Ayuntamiento</x:t>
  </x:si>
  <x:si>
    <x:t>10/02/2026</x:t>
  </x:si>
  <x:si>
    <x:t>2026011022</x:t>
  </x:si>
  <x:si>
    <x:t>GENERALITAT DE CATALUNYA. CONSORCI DE L'AUDITORI I L'ORQUESTRA</x:t>
  </x:si>
  <x:si>
    <x:t>Servicio de subtitulación en los 93 conciertos del proyecto Cantània 2026 en L'Auditori de 
Barcelona y en los 9 teatros de la gira.</x:t>
  </x:si>
  <x:si>
    <x:t>081_P2600114</x:t>
  </x:si>
  <x:si>
    <x:t/>
  </x:si>
  <x:si>
    <x:t/>
  </x:si>
  <x:si>
    <x:t>Catalunya</x:t>
  </x:si>
  <x:si>
    <x:t>Catalunya - Plataforma de Contratación</x:t>
  </x:si>
  <x:si>
    <x:t>2026011040</x:t>
  </x:si>
  <x:si>
    <x:t>AYUNTAMIENTO DE TORROELLA DE MONTGRÍ (GIRONA)</x:t>
  </x:si>
  <x:si>
    <x:t>Plan anual de contratación del Ayuntamiento de Torroella de Montgrí, ejercicio 2026</x:t>
  </x:si>
  <x:si>
    <x:t>Alerta futura</x:t>
  </x:si>
  <x:si>
    <x:t>No consta</x:t>
  </x:si>
  <x:si>
    <x:t/>
  </x:si>
  <x:si>
    <x:t>31/03/2026</x:t>
  </x:si>
  <x:si>
    <x:t>2026011041</x:t>
  </x:si>
  <x:si>
    <x:t>CONSORCIO DE SALUD Y DE ATENCIÓN SOCIAL DE CATALUÑA </x:t>
  </x:si>
  <x:si>
    <x:t>El proyecto suHCO (Solución de Transición a la Sostenibilidad Sistémica para Organizaciones Sanitarias a través de PCP) es una iniciativa europea liderada por CSC que busca apoyar a las organizaciones sanitarias y asistenciales en su transición hacia la sostenibilidad ambiental y la circularidad.</x:t>
  </x:si>
  <x:si>
    <x:t>Consulta preliminar de mercado</x:t>
  </x:si>
  <x:si>
    <x:t>Ver pliegos</x:t>
  </x:si>
  <x:si>
    <x:t/>
  </x:si>
  <x:si>
    <x:t/>
  </x:si>
  <x:si>
    <x:t>06/02/2026</x:t>
  </x:si>
  <x:si>
    <x:t>2026011091</x:t>
  </x:si>
  <x:si>
    <x:t>COMISIÓN DELEGADA DEL PATRONATO DE LA FUNDACIÓN PARA LA INVESTIGACIÓN BIOMÉDICA DEL HOSPITAL GREGORIO MARAÑÓN</x:t>
  </x:si>
  <x:si>
    <x:t>Servicio de grabación y edición de vídeo</x:t>
  </x:si>
  <x:si>
    <x:t>CM 33-2026</x:t>
  </x:si>
  <x:si>
    <x:t/>
  </x:si>
  <x:si>
    <x:t>Madrid </x:t>
  </x:si>
  <x:si>
    <x:t>24/02/2026</x:t>
  </x:si>
  <x:si>
    <x:t>2026011126</x:t>
  </x:si>
  <x:si>
    <x:t>JUNTA DE EXTREMADURA. DIRECCIÓN GERENCIA DE LA FUNDACIÓN JÓVENES Y DEPORTE</x:t>
  </x:si>
  <x:si>
    <x:t>Patrocinio publicitario de la imagen de la FJyD y de Marca Extremadura a través del Club Deportivo Xtremadura Motorsport en su participación en el Supercars Iberian, Supercars Campeonato de España y Campeonato de España de Rallyes de Energías Alternativas durante el año 2026</x:t>
  </x:si>
  <x:si>
    <x:t>P36/26</x:t>
  </x:si>
  <x:si>
    <x:t/>
  </x:si>
  <x:si>
    <x:t>---------</x:t>
  </x:si>
  <x:si>
    <x:t>2026011127</x:t>
  </x:si>
  <x:si>
    <x:t>Patrocinio publicitario de la imagen de la FJyD y de Marca Extremadura a través de la deportista Paula de la Calle Pizarro en sus distintas participaciones en competiciones oficiales durante el año 2026</x:t>
  </x:si>
  <x:si>
    <x:t>P35/26</x:t>
  </x:si>
  <x:si>
    <x:t/>
  </x:si>
  <x:si>
    <x:t>------------</x:t>
  </x:si>
  <x:si>
    <x:t>16/02/2026</x:t>
  </x:si>
  <x:si>
    <x:t>2026011172</x:t>
  </x:si>
  <x:si>
    <x:t>CONSEJO DE ADMINISTRACIÓN-COMITÉ DE INVERSIONES DE LA SOCIEDAD ESTATAL CORREOS Y TELÉGRAFOS S.A</x:t>
  </x:si>
  <x:si>
    <x:t>Servicios de diseño, construcción, instalación y retirada de stand ferias nacionales e internacionales</x:t>
  </x:si>
  <x:si>
    <x:t>MI260303</x:t>
  </x:si>
  <x:si>
    <x:t/>
  </x:si>
  <x:si>
    <x:t>19/02/2026</x:t>
  </x:si>
  <x:si>
    <x:t>2026011188</x:t>
  </x:si>
  <x:si>
    <x:t>PRESIDENCIA DEL INSTITUTO VALENCIANO DE COMPETITIVIDAD EMPRESARIAL (IVACE)</x:t>
  </x:si>
  <x:si>
    <x:t>Servicio de asesoramiento y apoyo en destino a las empresas de la Comunitat Valenciana para si internacionalización en la India</x:t>
  </x:si>
  <x:si>
    <x:t>IVACE 1/2026</x:t>
  </x:si>
  <x:si>
    <x:t/>
  </x:si>
  <x:si>
    <x:t>India</x:t>
  </x:si>
</x:sst>
</file>

<file path=xl/styles.xml><?xml version="1.0" encoding="utf-8"?>
<styleSheet xmlns="http://schemas.openxmlformats.org/spreadsheetml/2006/main">
  <numFmts count="1">
    <numFmt numFmtId="164" formatCode="#,##0.00&quot; €&quot;;[Red]\-#,##0.00&quot; €&quot;"/>
  </numFmts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15">
    <xf numFmtId="0" fontId="0" fillId="0" borderId="0" xfId="0"/>
    <xf numFmtId="0" fontId="1" fillId="0" borderId="0" xfId="0" applyFont="1" applyAlignment="1" applyProtection="1">
      <alignment vertical="center" wrapText="1"/>
    </xf>
    <xf numFmtId="0" fontId="1" fillId="0" borderId="0" xfId="0" applyFont="1" applyAlignment="1" applyProtection="1">
      <alignment horizontal="center" vertical="center" wrapText="1"/>
    </xf>
    <xf numFmtId="0" fontId="1" fillId="0" borderId="0" xfId="0" applyFont="1" applyAlignment="1" applyProtection="1">
      <alignment vertical="center"/>
    </xf>
    <xf numFmtId="0" fontId="2" fillId="2" borderId="1" xfId="0" applyFont="1" applyFill="1" applyBorder="1" applyAlignment="1" applyProtection="1">
      <alignment horizontal="center" vertical="center" wrapText="1"/>
    </xf>
    <xf numFmtId="0" fontId="1" fillId="0" borderId="0" xfId="0" applyFont="1" applyAlignment="1" applyProtection="1">
      <alignment horizontal="center" vertical="center"/>
    </xf>
    <xf numFmtId="0" fontId="1" fillId="0" borderId="1" xfId="0" applyFont="1" applyBorder="1" applyAlignment="1" applyProtection="1">
      <alignment vertical="center" wrapText="1"/>
    </xf>
    <xf numFmtId="14" fontId="1" fillId="0" borderId="1" xfId="0" applyNumberFormat="1" applyFont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</xf>
    <xf numFmtId="14" fontId="1" fillId="0" borderId="1" xfId="0" applyNumberFormat="1" applyFont="1" applyBorder="1" applyAlignment="1" applyProtection="1">
      <alignment vertical="center" wrapText="1"/>
    </xf>
    <xf numFmtId="164" fontId="1" fillId="0" borderId="2" xfId="0" applyNumberFormat="1" applyFont="1" applyBorder="1" applyAlignment="1" applyProtection="1">
      <alignment vertical="center" wrapText="1"/>
    </xf>
    <xf numFmtId="0" fontId="1" fillId="0" borderId="2" xfId="0" applyFont="1" applyBorder="1" applyAlignment="1" applyProtection="1">
      <alignment vertical="center" wrapText="1"/>
    </xf>
    <xf numFmtId="0" fontId="4" fillId="0" borderId="2" xfId="1" applyFont="1" applyBorder="1" applyAlignment="1" applyProtection="1">
      <alignment vertical="center" wrapText="1"/>
    </xf>
    <xf numFmtId="14" fontId="1" fillId="0" borderId="2" xfId="0" applyNumberFormat="1" applyFont="1" applyBorder="1" applyAlignment="1" applyProtection="1">
      <alignment vertical="center" wrapText="1"/>
    </xf>
    <xf numFmtId="0" fontId="4" fillId="0" borderId="1" xfId="1" applyFont="1" applyBorder="1" applyAlignment="1" applyProtection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Q2"/>
  <x:sheetViews>
    <x:sheetView showGridLines="0" tabSelected="1" zoomScaleNormal="100" workbookViewId="0">
      <x:selection sqref="A1:XFD1"/>
    </x:sheetView>
  </x:sheetViews>
  <x:sheetFormatPr baseColWidth="10" defaultColWidth="11.5703125" defaultRowHeight="12.75"/>
  <x:cols>
    <x:col min="1" max="1" width="8.5703125" style="1" customWidth="1"/>
    <x:col min="2" max="2" width="18.85546875" style="1" customWidth="1"/>
    <x:col min="3" max="3" width="19.140625" style="2" customWidth="1"/>
    <x:col min="4" max="4" width="11.140625" style="2" customWidth="1"/>
    <x:col min="5" max="5" width="14.85546875" style="1" hidden="1" customWidth="1"/>
    <x:col min="6" max="6" width="24.7109375" style="1" customWidth="1"/>
    <x:col min="7" max="7" width="57.42578125" style="1" customWidth="1"/>
    <x:col min="8" max="8" width="17.140625" style="1" customWidth="1"/>
    <x:col min="9" max="9" width="14.28515625" style="1" customWidth="1"/>
    <x:col min="10" max="10" width="16.85546875" style="1" hidden="1" customWidth="1"/>
    <x:col min="11" max="11" width="19.42578125" style="1" hidden="1" customWidth="1"/>
    <x:col min="12" max="12" width="33.85546875" style="1" customWidth="1"/>
    <x:col min="13" max="13" width="15.85546875" style="1" hidden="1" customWidth="1"/>
    <x:col min="14" max="14" width="13.85546875" style="1" hidden="1" customWidth="1"/>
    <x:col min="15" max="15" width="11.7109375" style="1" hidden="1" customWidth="1"/>
    <x:col min="16" max="16" width="17.140625" style="1" customWidth="1"/>
    <x:col min="17" max="17" width="29.7109375" style="1" customWidth="1"/>
    <x:col min="18" max="16384" width="11.5703125" style="3"/>
  </x:cols>
  <x:sheetData>
    <x:row r="1" spans="1:17" s="5" customFormat="1" ht="25.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15</x:v>
      </x:c>
      <x:c r="Q1" s="4" t="s">
        <x:v>16</x:v>
      </x:c>
    </x:row>
    <x:row r="2" spans="1:17">
      <x:c r="A2" s="6" t="s">
        <x:v>17</x:v>
      </x:c>
      <x:c r="B2" s="6" t="s">
        <x:v>18</x:v>
      </x:c>
      <x:c r="C2" s="7" t="s">
        <x:v>19</x:v>
      </x:c>
      <x:c r="D2" s="8" t="s">
        <x:v>20</x:v>
      </x:c>
      <x:c r="E2" s="9" t="s">
        <x:v>21</x:v>
      </x:c>
      <x:c r="F2" s="6" t="s">
        <x:v>22</x:v>
      </x:c>
      <x:c r="G2" s="6" t="s">
        <x:v>23</x:v>
      </x:c>
      <x:c r="H2" s="6" t="s">
        <x:v>24</x:v>
      </x:c>
      <x:c r="I2" s="10" t="n">
        <x:v>74380.17</x:v>
      </x:c>
      <x:c r="J2" s="11" t="s">
        <x:v>25</x:v>
      </x:c>
      <x:c r="K2" s="11" t="s">
        <x:v>26</x:v>
      </x:c>
      <x:c r="L2" s="12" t="str">
        <x:f xml:space="preserve">HYPERLINK("https://contractaciopublica.cat/ca/detall-publicacio/3a8893d8-c792-47d9-b52b-d3d957a05a7f/300682764","contractaciopublica.cat/ca/detall-publicacio/3a8893d8-c792-47d9-b52b-d3d957a05a7f/300682764")</x:f>
        <x:v>contractaciopublica.cat/ca/detall-publicacio/3a8893d8-c792-47d9-b52b-d3d957a05a7f/300682764</x:v>
      </x:c>
      <x:c r="M2" s="11" t="s">
        <x:v>27</x:v>
      </x:c>
      <x:c r="N2" s="13" t="s">
        <x:v>28</x:v>
      </x:c>
      <x:c r="O2" s="11" t="s">
        <x:v>29</x:v>
      </x:c>
      <x:c r="P2" s="11" t="s">
        <x:v>30</x:v>
      </x:c>
      <x:c r="Q2" s="14" t="str">
        <x:f xml:space="preserve">HYPERLINK("https://www.infonalia.es/licitaciones0226/2026010690.pdf","www.infonalia.es/licitaciones0226/2026010690.pdf")</x:f>
        <x:v>www.infonalia.es/licitaciones0226/2026010690.pdf</x:v>
      </x:c>
    </x:row>
    <x:row r="3">
      <x:c r="A3" s="6" t="s">
        <x:v>17</x:v>
      </x:c>
      <x:c r="B3" s="6" t="s">
        <x:v>18</x:v>
      </x:c>
      <x:c r="C3" s="7" t="s">
        <x:v>19</x:v>
      </x:c>
      <x:c r="D3" s="8" t="s">
        <x:v>31</x:v>
      </x:c>
      <x:c r="E3" s="9" t="s">
        <x:v>21</x:v>
      </x:c>
      <x:c r="F3" s="6" t="s">
        <x:v>32</x:v>
      </x:c>
      <x:c r="G3" s="6" t="s">
        <x:v>33</x:v>
      </x:c>
      <x:c r="H3" s="6" t="s">
        <x:v>34</x:v>
      </x:c>
      <x:c r="I3" s="10" t="n">
        <x:v>29750.00</x:v>
      </x:c>
      <x:c r="J3" s="11" t="s">
        <x:v>25</x:v>
      </x:c>
      <x:c r="K3" s="11" t="s">
        <x:v>26</x:v>
      </x:c>
      <x:c r="L3" s="12" t="str">
        <x:f xml:space="preserve">HYPERLINK("https://contractaciopublica.cat/ca/detall-publicacio/3c335ee6-c697-468a-8b35-549edbccf5e5/300682282","contractaciopublica.cat/ca/detall-publicacio/3c335ee6-c697-468a-8b35-549edbccf5e5/300682282")</x:f>
        <x:v>contractaciopublica.cat/ca/detall-publicacio/3c335ee6-c697-468a-8b35-549edbccf5e5/300682282</x:v>
      </x:c>
      <x:c r="M3" s="11" t="s">
        <x:v>27</x:v>
      </x:c>
      <x:c r="N3" s="13" t="s">
        <x:v>28</x:v>
      </x:c>
      <x:c r="O3" s="11" t="s">
        <x:v>35</x:v>
      </x:c>
      <x:c r="P3" s="11" t="s">
        <x:v>30</x:v>
      </x:c>
      <x:c r="Q3" s="14" t="str">
        <x:f xml:space="preserve">HYPERLINK("https://www.infonalia.es/licitaciones0226/2026010851.pdf","www.infonalia.es/licitaciones0226/2026010851.pdf")</x:f>
        <x:v>www.infonalia.es/licitaciones0226/2026010851.pdf</x:v>
      </x:c>
    </x:row>
    <x:row r="4">
      <x:c r="A4" s="6" t="s">
        <x:v>17</x:v>
      </x:c>
      <x:c r="B4" s="6" t="s">
        <x:v>18</x:v>
      </x:c>
      <x:c r="C4" s="7" t="s">
        <x:v>36</x:v>
      </x:c>
      <x:c r="D4" s="8" t="s">
        <x:v>37</x:v>
      </x:c>
      <x:c r="E4" s="9" t="s">
        <x:v>21</x:v>
      </x:c>
      <x:c r="F4" s="6" t="s">
        <x:v>38</x:v>
      </x:c>
      <x:c r="G4" s="6" t="s">
        <x:v>39</x:v>
      </x:c>
      <x:c r="H4" s="6" t="s">
        <x:v>40</x:v>
      </x:c>
      <x:c r="I4" s="10" t="n">
        <x:v>84000.00</x:v>
      </x:c>
      <x:c r="J4" s="11" t="s">
        <x:v>25</x:v>
      </x:c>
      <x:c r="K4" s="11" t="s">
        <x:v>26</x:v>
      </x:c>
      <x:c r="L4" s="12" t="str">
        <x:f xml:space="preserve">HYPERLINK("https://contractaciopublica.cat/ca/detall-publicacio/7a3907cc-947b-4352-a4de-9519d6866379/300673866","contractaciopublica.cat/ca/detall-publicacio/7a3907cc-947b-4352-a4de-9519d6866379/300673866")</x:f>
        <x:v>contractaciopublica.cat/ca/detall-publicacio/7a3907cc-947b-4352-a4de-9519d6866379/300673866</x:v>
      </x:c>
      <x:c r="M4" s="11" t="s">
        <x:v>27</x:v>
      </x:c>
      <x:c r="N4" s="13" t="s">
        <x:v>28</x:v>
      </x:c>
      <x:c r="O4" s="11" t="s">
        <x:v>41</x:v>
      </x:c>
      <x:c r="P4" s="11" t="s">
        <x:v>42</x:v>
      </x:c>
      <x:c r="Q4" s="14" t="str">
        <x:f xml:space="preserve">HYPERLINK("https://www.infonalia.es/licitaciones0226/2026010857.pdf","www.infonalia.es/licitaciones0226/2026010857.pdf")</x:f>
        <x:v>www.infonalia.es/licitaciones0226/2026010857.pdf</x:v>
      </x:c>
    </x:row>
    <x:row r="5">
      <x:c r="A5" s="6" t="s">
        <x:v>17</x:v>
      </x:c>
      <x:c r="B5" s="6" t="s">
        <x:v>18</x:v>
      </x:c>
      <x:c r="C5" s="7" t="s">
        <x:v>43</x:v>
      </x:c>
      <x:c r="D5" s="8" t="s">
        <x:v>44</x:v>
      </x:c>
      <x:c r="E5" s="9" t="s">
        <x:v>21</x:v>
      </x:c>
      <x:c r="F5" s="6" t="s">
        <x:v>45</x:v>
      </x:c>
      <x:c r="G5" s="6" t="s">
        <x:v>46</x:v>
      </x:c>
      <x:c r="H5" s="6" t="s">
        <x:v>47</x:v>
      </x:c>
      <x:c r="I5" s="10" t="n">
        <x:v>58334.34</x:v>
      </x:c>
      <x:c r="J5" s="11" t="s">
        <x:v>25</x:v>
      </x:c>
      <x:c r="K5" s="11" t="s">
        <x:v>26</x:v>
      </x:c>
      <x:c r="L5" s="12" t="str">
        <x:f xml:space="preserve">HYPERLINK("https://contrataciondelestado.es/wps/poc?uri=deeplink:detalle_licitacion&amp;idEvl=bkl8Z6k3aGzXOjazN1Dw9Q%3D%3D","contrataciondelestado.es/wps/poc?uri=deeplink:detalle_licitacion&amp;idEvl=bkl8Z6k3aGzXOjazN1Dw9Q%3D%3D")</x:f>
        <x:v>contrataciondelestado.es/wps/poc?uri=deeplink:detalle_licitacion&amp;idEvl=bkl8Z6k3aGzXOjazN1Dw9Q%3D%3D</x:v>
      </x:c>
      <x:c r="M5" s="11" t="s">
        <x:v>27</x:v>
      </x:c>
      <x:c r="N5" s="13" t="s">
        <x:v>28</x:v>
      </x:c>
      <x:c r="O5" s="11" t="s">
        <x:v>48</x:v>
      </x:c>
      <x:c r="P5" s="11" t="s">
        <x:v>49</x:v>
      </x:c>
      <x:c r="Q5" s="14" t="str">
        <x:f xml:space="preserve">HYPERLINK("https://www.infonalia.es/licitaciones0226/2026010903.pdf","www.infonalia.es/licitaciones0226/2026010903.pdf")</x:f>
        <x:v>www.infonalia.es/licitaciones0226/2026010903.pdf</x:v>
      </x:c>
    </x:row>
    <x:row r="6">
      <x:c r="A6" s="6" t="s">
        <x:v>17</x:v>
      </x:c>
      <x:c r="B6" s="6" t="s">
        <x:v>18</x:v>
      </x:c>
      <x:c r="C6" s="7" t="s">
        <x:v>19</x:v>
      </x:c>
      <x:c r="D6" s="8" t="s">
        <x:v>50</x:v>
      </x:c>
      <x:c r="E6" s="9" t="s">
        <x:v>21</x:v>
      </x:c>
      <x:c r="F6" s="6" t="s">
        <x:v>51</x:v>
      </x:c>
      <x:c r="G6" s="6" t="s">
        <x:v>52</x:v>
      </x:c>
      <x:c r="H6" s="6" t="s">
        <x:v>53</x:v>
      </x:c>
      <x:c r="I6" s="10" t="n">
        <x:v>115582.65</x:v>
      </x:c>
      <x:c r="J6" s="11" t="s">
        <x:v>25</x:v>
      </x:c>
      <x:c r="K6" s="11" t="s">
        <x:v>26</x:v>
      </x:c>
      <x:c r="L6" s="12" t="str">
        <x:f xml:space="preserve">HYPERLINK("https://contrataciondelestado.es/wps/poc?uri=deeplink:detalle_licitacion&amp;idEvl=dNYhqU4Q94SExvMJXBMHHQ%3D%3D","contrataciondelestado.es/wps/poc?uri=deeplink:detalle_licitacion&amp;idEvl=dNYhqU4Q94SExvMJXBMHHQ%3D%3D")</x:f>
        <x:v>contrataciondelestado.es/wps/poc?uri=deeplink:detalle_licitacion&amp;idEvl=dNYhqU4Q94SExvMJXBMHHQ%3D%3D</x:v>
      </x:c>
      <x:c r="M6" s="11" t="s">
        <x:v>27</x:v>
      </x:c>
      <x:c r="N6" s="13" t="s">
        <x:v>28</x:v>
      </x:c>
      <x:c r="O6" s="11" t="s">
        <x:v>54</x:v>
      </x:c>
      <x:c r="P6" s="11" t="s">
        <x:v>49</x:v>
      </x:c>
      <x:c r="Q6" s="14" t="str">
        <x:f xml:space="preserve">HYPERLINK("https://www.infonalia.es/licitaciones0226/2026010927.pdf","www.infonalia.es/licitaciones0226/2026010927.pdf")</x:f>
        <x:v>www.infonalia.es/licitaciones0226/2026010927.pdf</x:v>
      </x:c>
    </x:row>
    <x:row r="7">
      <x:c r="A7" s="6" t="s">
        <x:v>17</x:v>
      </x:c>
      <x:c r="B7" s="6" t="s">
        <x:v>18</x:v>
      </x:c>
      <x:c r="C7" s="7" t="s">
        <x:v>55</x:v>
      </x:c>
      <x:c r="D7" s="8" t="s">
        <x:v>56</x:v>
      </x:c>
      <x:c r="E7" s="9" t="s">
        <x:v>21</x:v>
      </x:c>
      <x:c r="F7" s="6" t="s">
        <x:v>57</x:v>
      </x:c>
      <x:c r="G7" s="6" t="s">
        <x:v>58</x:v>
      </x:c>
      <x:c r="H7" s="6" t="s">
        <x:v>59</x:v>
      </x:c>
      <x:c r="I7" s="10" t="n">
        <x:v>48797.85</x:v>
      </x:c>
      <x:c r="J7" s="11" t="s">
        <x:v>25</x:v>
      </x:c>
      <x:c r="K7" s="11" t="s">
        <x:v>26</x:v>
      </x:c>
      <x:c r="L7" s="12" t="str">
        <x:f xml:space="preserve">HYPERLINK("https://contractaciopublica.cat/ca/detall-publicacio/bda43295-1a40-4c5c-ab55-8900ca710463/300682633","contractaciopublica.cat/ca/detall-publicacio/bda43295-1a40-4c5c-ab55-8900ca710463/300682633")</x:f>
        <x:v>contractaciopublica.cat/ca/detall-publicacio/bda43295-1a40-4c5c-ab55-8900ca710463/300682633</x:v>
      </x:c>
      <x:c r="M7" s="11" t="s">
        <x:v>27</x:v>
      </x:c>
      <x:c r="N7" s="13" t="s">
        <x:v>28</x:v>
      </x:c>
      <x:c r="O7" s="11" t="s">
        <x:v>60</x:v>
      </x:c>
      <x:c r="P7" s="11" t="s">
        <x:v>30</x:v>
      </x:c>
      <x:c r="Q7" s="14" t="str">
        <x:f xml:space="preserve">HYPERLINK("https://www.infonalia.es/licitaciones0226/2026010941.pdf","www.infonalia.es/licitaciones0226/2026010941.pdf")</x:f>
        <x:v>www.infonalia.es/licitaciones0226/2026010941.pdf</x:v>
      </x:c>
    </x:row>
    <x:row r="8">
      <x:c r="A8" s="6" t="s">
        <x:v>17</x:v>
      </x:c>
      <x:c r="B8" s="6" t="s">
        <x:v>61</x:v>
      </x:c>
      <x:c r="C8" s="7" t="s">
        <x:v>62</x:v>
      </x:c>
      <x:c r="D8" s="8" t="s">
        <x:v>63</x:v>
      </x:c>
      <x:c r="E8" s="9" t="s">
        <x:v>21</x:v>
      </x:c>
      <x:c r="F8" s="6" t="s">
        <x:v>64</x:v>
      </x:c>
      <x:c r="G8" s="6" t="s">
        <x:v>65</x:v>
      </x:c>
      <x:c r="H8" s="6" t="s">
        <x:v>66</x:v>
      </x:c>
      <x:c r="I8" s="10" t="n">
        <x:v>10000.00</x:v>
      </x:c>
      <x:c r="J8" s="11" t="s">
        <x:v>25</x:v>
      </x:c>
      <x:c r="K8" s="11" t="s">
        <x:v>67</x:v>
      </x:c>
      <x:c r="L8" s="12" t="str">
        <x:f xml:space="preserve">HYPERLINK("https://licitacions.bcn.cat/licitacion/licitaciones/detalle?id=14657596","licitacions.bcn.cat/licitacion/licitaciones/detalle?id=14657596")</x:f>
        <x:v>licitacions.bcn.cat/licitacion/licitaciones/detalle?id=14657596</x:v>
      </x:c>
      <x:c r="M8" s="11" t="s">
        <x:v>27</x:v>
      </x:c>
      <x:c r="N8" s="13" t="s">
        <x:v>28</x:v>
      </x:c>
      <x:c r="O8" s="11" t="s">
        <x:v>68</x:v>
      </x:c>
      <x:c r="P8" s="11" t="s">
        <x:v>69</x:v>
      </x:c>
      <x:c r="Q8" s="14" t="str">
        <x:f xml:space="preserve">HYPERLINK("https://www.infonalia.es/licitaciones0226/2026011022.pdf","www.infonalia.es/licitaciones0226/2026011022.pdf")</x:f>
        <x:v>www.infonalia.es/licitaciones0226/2026011022.pdf</x:v>
      </x:c>
    </x:row>
    <x:row r="9">
      <x:c r="A9" s="6" t="s">
        <x:v>17</x:v>
      </x:c>
      <x:c r="B9" s="6" t="s">
        <x:v>70</x:v>
      </x:c>
      <x:c r="C9" s="7" t="s">
        <x:v>26</x:v>
      </x:c>
      <x:c r="D9" s="8" t="s">
        <x:v>71</x:v>
      </x:c>
      <x:c r="E9" s="9" t="s">
        <x:v>21</x:v>
      </x:c>
      <x:c r="F9" s="6" t="s">
        <x:v>72</x:v>
      </x:c>
      <x:c r="G9" s="6" t="s">
        <x:v>73</x:v>
      </x:c>
      <x:c r="H9" s="6" t="s">
        <x:v>74</x:v>
      </x:c>
      <x:c r="I9" s="10"/>
      <x:c r="J9" s="11" t="s">
        <x:v>75</x:v>
      </x:c>
      <x:c r="K9" s="11" t="s">
        <x:v>75</x:v>
      </x:c>
      <x:c r="L9" s="12" t="str">
        <x:f xml:space="preserve">HYPERLINK("https://contractaciopublica.cat/es/detall-publicacio/300682787","contractaciopublica.cat/es/detall-publicacio/300682787")</x:f>
        <x:v>contractaciopublica.cat/es/detall-publicacio/300682787</x:v>
      </x:c>
      <x:c r="M9" s="11" t="s">
        <x:v>27</x:v>
      </x:c>
      <x:c r="N9" s="13" t="s">
        <x:v>28</x:v>
      </x:c>
      <x:c r="O9" s="11" t="s">
        <x:v>76</x:v>
      </x:c>
      <x:c r="P9" s="11" t="s">
        <x:v>42</x:v>
      </x:c>
      <x:c r="Q9" s="14" t="str">
        <x:f xml:space="preserve">HYPERLINK("https://www.infonalia.es/licitaciones0226/2026011040.pdf","www.infonalia.es/licitaciones0226/2026011040.pdf")</x:f>
        <x:v>www.infonalia.es/licitaciones0226/2026011040.pdf</x:v>
      </x:c>
    </x:row>
    <x:row r="10">
      <x:c r="A10" s="6" t="s">
        <x:v>17</x:v>
      </x:c>
      <x:c r="B10" s="6" t="s">
        <x:v>70</x:v>
      </x:c>
      <x:c r="C10" s="7" t="s">
        <x:v>77</x:v>
      </x:c>
      <x:c r="D10" s="8" t="s">
        <x:v>78</x:v>
      </x:c>
      <x:c r="E10" s="9" t="s">
        <x:v>21</x:v>
      </x:c>
      <x:c r="F10" s="6" t="s">
        <x:v>79</x:v>
      </x:c>
      <x:c r="G10" s="6" t="s">
        <x:v>80</x:v>
      </x:c>
      <x:c r="H10" s="6" t="s">
        <x:v>81</x:v>
      </x:c>
      <x:c r="I10" s="10"/>
      <x:c r="J10" s="11" t="s">
        <x:v>82</x:v>
      </x:c>
      <x:c r="K10" s="11" t="s">
        <x:v>83</x:v>
      </x:c>
      <x:c r="L10" s="12" t="str">
        <x:f xml:space="preserve">HYPERLINK("https://empirica.com/suhco/event/omc-spain-csc","empirica.com/suhco/event/omc-spain-csc")</x:f>
        <x:v>empirica.com/suhco/event/omc-spain-csc</x:v>
      </x:c>
      <x:c r="M10" s="11" t="s">
        <x:v>27</x:v>
      </x:c>
      <x:c r="N10" s="13" t="s">
        <x:v>28</x:v>
      </x:c>
      <x:c r="O10" s="11" t="s">
        <x:v>84</x:v>
      </x:c>
      <x:c r="P10" s="11" t="s">
        <x:v>82</x:v>
      </x:c>
      <x:c r="Q10" s="14" t="str">
        <x:f xml:space="preserve">HYPERLINK("https://www.infonalia.es/licitaciones0226/2026011041.pdf","www.infonalia.es/licitaciones0226/2026011041.pdf")</x:f>
        <x:v>www.infonalia.es/licitaciones0226/2026011041.pdf</x:v>
      </x:c>
    </x:row>
    <x:row r="11">
      <x:c r="A11" s="6" t="s">
        <x:v>17</x:v>
      </x:c>
      <x:c r="B11" s="6" t="s">
        <x:v>18</x:v>
      </x:c>
      <x:c r="C11" s="7" t="s">
        <x:v>85</x:v>
      </x:c>
      <x:c r="D11" s="8" t="s">
        <x:v>86</x:v>
      </x:c>
      <x:c r="E11" s="9" t="s">
        <x:v>21</x:v>
      </x:c>
      <x:c r="F11" s="6" t="s">
        <x:v>87</x:v>
      </x:c>
      <x:c r="G11" s="6" t="s">
        <x:v>88</x:v>
      </x:c>
      <x:c r="H11" s="6" t="s">
        <x:v>89</x:v>
      </x:c>
      <x:c r="I11" s="10" t="n">
        <x:v>620.00</x:v>
      </x:c>
      <x:c r="J11" s="11" t="s">
        <x:v>25</x:v>
      </x:c>
      <x:c r="K11" s="11" t="s">
        <x:v>26</x:v>
      </x:c>
      <x:c r="L11" s="12" t="str">
        <x:f xml:space="preserve">HYPERLINK("https://contrataciondelestado.es/wps/poc?uri=deeplink:detalle_licitacion&amp;idEvl=AEATcMQLbgo7u6%2B%2FR7DUoA%3D%3D","contrataciondelestado.es/wps/poc?uri=deeplink:detalle_licitacion&amp;idEvl=AEATcMQLbgo7u6%2B%2FR7DUoA%3D%3D")</x:f>
        <x:v>contrataciondelestado.es/wps/poc?uri=deeplink:detalle_licitacion&amp;idEvl=AEATcMQLbgo7u6%2B%2FR7DUoA%3D%3D</x:v>
      </x:c>
      <x:c r="M11" s="11" t="s">
        <x:v>27</x:v>
      </x:c>
      <x:c r="N11" s="13" t="s">
        <x:v>21</x:v>
      </x:c>
      <x:c r="O11" s="11" t="s">
        <x:v>90</x:v>
      </x:c>
      <x:c r="P11" s="11" t="s">
        <x:v>91</x:v>
      </x:c>
      <x:c r="Q11" s="14" t="str">
        <x:f xml:space="preserve">HYPERLINK("https://www.infonalia.es/licitaciones0226/2026011091.pdf","www.infonalia.es/licitaciones0226/2026011091.pdf")</x:f>
        <x:v>www.infonalia.es/licitaciones0226/2026011091.pdf</x:v>
      </x:c>
    </x:row>
    <x:row r="12">
      <x:c r="A12" s="6" t="s">
        <x:v>17</x:v>
      </x:c>
      <x:c r="B12" s="6" t="s">
        <x:v>18</x:v>
      </x:c>
      <x:c r="C12" s="7" t="s">
        <x:v>92</x:v>
      </x:c>
      <x:c r="D12" s="8" t="s">
        <x:v>93</x:v>
      </x:c>
      <x:c r="E12" s="9" t="s">
        <x:v>21</x:v>
      </x:c>
      <x:c r="F12" s="6" t="s">
        <x:v>94</x:v>
      </x:c>
      <x:c r="G12" s="6" t="s">
        <x:v>95</x:v>
      </x:c>
      <x:c r="H12" s="6" t="s">
        <x:v>96</x:v>
      </x:c>
      <x:c r="I12" s="10" t="n">
        <x:v>9918.18</x:v>
      </x:c>
      <x:c r="J12" s="11" t="s">
        <x:v>25</x:v>
      </x:c>
      <x:c r="K12" s="11" t="s">
        <x:v>26</x:v>
      </x:c>
      <x:c r="L12" s="12" t="str">
        <x:f xml:space="preserve">HYPERLINK("https://contrataciondelestado.es/wps/poc?uri=deeplink:detalle_licitacion&amp;idEvl=T1s9oiGp0xgeIBJRHQiPkQ%3D%3D","contrataciondelestado.es/wps/poc?uri=deeplink:detalle_licitacion&amp;idEvl=T1s9oiGp0xgeIBJRHQiPkQ%3D%3D")</x:f>
        <x:v>contrataciondelestado.es/wps/poc?uri=deeplink:detalle_licitacion&amp;idEvl=T1s9oiGp0xgeIBJRHQiPkQ%3D%3D</x:v>
      </x:c>
      <x:c r="M12" s="11" t="s">
        <x:v>27</x:v>
      </x:c>
      <x:c r="N12" s="13" t="s">
        <x:v>21</x:v>
      </x:c>
      <x:c r="O12" s="11" t="s">
        <x:v>97</x:v>
      </x:c>
      <x:c r="P12" s="11" t="s">
        <x:v>98</x:v>
      </x:c>
      <x:c r="Q12" s="14" t="str">
        <x:f xml:space="preserve">HYPERLINK("https://www.infonalia.es/licitaciones0226/2026011126.pdf","www.infonalia.es/licitaciones0226/2026011126.pdf")</x:f>
        <x:v>www.infonalia.es/licitaciones0226/2026011126.pdf</x:v>
      </x:c>
    </x:row>
    <x:row r="13">
      <x:c r="A13" s="6" t="s">
        <x:v>17</x:v>
      </x:c>
      <x:c r="B13" s="6" t="s">
        <x:v>18</x:v>
      </x:c>
      <x:c r="C13" s="7" t="s">
        <x:v>92</x:v>
      </x:c>
      <x:c r="D13" s="8" t="s">
        <x:v>99</x:v>
      </x:c>
      <x:c r="E13" s="9" t="s">
        <x:v>21</x:v>
      </x:c>
      <x:c r="F13" s="6" t="s">
        <x:v>94</x:v>
      </x:c>
      <x:c r="G13" s="6" t="s">
        <x:v>100</x:v>
      </x:c>
      <x:c r="H13" s="6" t="s">
        <x:v>101</x:v>
      </x:c>
      <x:c r="I13" s="10" t="n">
        <x:v>4132.23</x:v>
      </x:c>
      <x:c r="J13" s="11" t="s">
        <x:v>25</x:v>
      </x:c>
      <x:c r="K13" s="11" t="s">
        <x:v>26</x:v>
      </x:c>
      <x:c r="L13" s="12" t="str">
        <x:f xml:space="preserve">HYPERLINK("https://contrataciondelestado.es/wps/poc?uri=deeplink:detalle_licitacion&amp;idEvl=ZsVYkYwazUNPpzdqOdhuWg%3D%3D","contrataciondelestado.es/wps/poc?uri=deeplink:detalle_licitacion&amp;idEvl=ZsVYkYwazUNPpzdqOdhuWg%3D%3D")</x:f>
        <x:v>contrataciondelestado.es/wps/poc?uri=deeplink:detalle_licitacion&amp;idEvl=ZsVYkYwazUNPpzdqOdhuWg%3D%3D</x:v>
      </x:c>
      <x:c r="M13" s="11" t="s">
        <x:v>27</x:v>
      </x:c>
      <x:c r="N13" s="13" t="s">
        <x:v>21</x:v>
      </x:c>
      <x:c r="O13" s="11" t="s">
        <x:v>102</x:v>
      </x:c>
      <x:c r="P13" s="11" t="s">
        <x:v>103</x:v>
      </x:c>
      <x:c r="Q13" s="14" t="str">
        <x:f xml:space="preserve">HYPERLINK("https://www.infonalia.es/licitaciones0226/2026011127.pdf","www.infonalia.es/licitaciones0226/2026011127.pdf")</x:f>
        <x:v>www.infonalia.es/licitaciones0226/2026011127.pdf</x:v>
      </x:c>
    </x:row>
    <x:row r="14">
      <x:c r="A14" s="6" t="s">
        <x:v>17</x:v>
      </x:c>
      <x:c r="B14" s="6" t="s">
        <x:v>18</x:v>
      </x:c>
      <x:c r="C14" s="7" t="s">
        <x:v>104</x:v>
      </x:c>
      <x:c r="D14" s="8" t="s">
        <x:v>105</x:v>
      </x:c>
      <x:c r="E14" s="9" t="s">
        <x:v>21</x:v>
      </x:c>
      <x:c r="F14" s="6" t="s">
        <x:v>106</x:v>
      </x:c>
      <x:c r="G14" s="6" t="s">
        <x:v>107</x:v>
      </x:c>
      <x:c r="H14" s="6" t="s">
        <x:v>108</x:v>
      </x:c>
      <x:c r="I14" s="10" t="n">
        <x:v>92700.00</x:v>
      </x:c>
      <x:c r="J14" s="11" t="s">
        <x:v>25</x:v>
      </x:c>
      <x:c r="K14" s="11" t="s">
        <x:v>26</x:v>
      </x:c>
      <x:c r="L14" s="12" t="str">
        <x:f xml:space="preserve">HYPERLINK("https://contrataciondelestado.es/wps/poc?uri=deeplink:detalle_licitacion&amp;idEvl=dSDEpqMwJSadkQsA7ROvsg%3D%3D","contrataciondelestado.es/wps/poc?uri=deeplink:detalle_licitacion&amp;idEvl=dSDEpqMwJSadkQsA7ROvsg%3D%3D")</x:f>
        <x:v>contrataciondelestado.es/wps/poc?uri=deeplink:detalle_licitacion&amp;idEvl=dSDEpqMwJSadkQsA7ROvsg%3D%3D</x:v>
      </x:c>
      <x:c r="M14" s="11" t="s">
        <x:v>27</x:v>
      </x:c>
      <x:c r="N14" s="13" t="s">
        <x:v>21</x:v>
      </x:c>
      <x:c r="O14" s="11" t="s">
        <x:v>109</x:v>
      </x:c>
      <x:c r="P14" s="11" t="s">
        <x:v>49</x:v>
      </x:c>
      <x:c r="Q14" s="14" t="str">
        <x:f xml:space="preserve">HYPERLINK("https://www.infonalia.es/licitaciones0226/2026011172.pdf","www.infonalia.es/licitaciones0226/2026011172.pdf")</x:f>
        <x:v>www.infonalia.es/licitaciones0226/2026011172.pdf</x:v>
      </x:c>
    </x:row>
    <x:row r="15">
      <x:c r="A15" s="6" t="s">
        <x:v>17</x:v>
      </x:c>
      <x:c r="B15" s="6" t="s">
        <x:v>18</x:v>
      </x:c>
      <x:c r="C15" s="7" t="s">
        <x:v>110</x:v>
      </x:c>
      <x:c r="D15" s="8" t="s">
        <x:v>111</x:v>
      </x:c>
      <x:c r="E15" s="9" t="s">
        <x:v>21</x:v>
      </x:c>
      <x:c r="F15" s="6" t="s">
        <x:v>112</x:v>
      </x:c>
      <x:c r="G15" s="6" t="s">
        <x:v>113</x:v>
      </x:c>
      <x:c r="H15" s="6" t="s">
        <x:v>114</x:v>
      </x:c>
      <x:c r="I15" s="10" t="n">
        <x:v>80000.00</x:v>
      </x:c>
      <x:c r="J15" s="11" t="s">
        <x:v>25</x:v>
      </x:c>
      <x:c r="K15" s="11" t="s">
        <x:v>26</x:v>
      </x:c>
      <x:c r="L15" s="12" t="str">
        <x:f xml:space="preserve">HYPERLINK("https://contrataciondelestado.es/wps/poc?uri=deeplink:detalle_licitacion&amp;idEvl=0lTL56LcYhQXhk1FZxEyvw%3D%3D","contrataciondelestado.es/wps/poc?uri=deeplink:detalle_licitacion&amp;idEvl=0lTL56LcYhQXhk1FZxEyvw%3D%3D")</x:f>
        <x:v>contrataciondelestado.es/wps/poc?uri=deeplink:detalle_licitacion&amp;idEvl=0lTL56LcYhQXhk1FZxEyvw%3D%3D</x:v>
      </x:c>
      <x:c r="M15" s="11" t="s">
        <x:v>27</x:v>
      </x:c>
      <x:c r="N15" s="13" t="s">
        <x:v>21</x:v>
      </x:c>
      <x:c r="O15" s="11" t="s">
        <x:v>115</x:v>
      </x:c>
      <x:c r="P15" s="11" t="s">
        <x:v>116</x:v>
      </x:c>
      <x:c r="Q15" s="14" t="str">
        <x:f xml:space="preserve">HYPERLINK("https://www.infonalia.es/licitaciones0226/2026011188.pdf","www.infonalia.es/licitaciones0226/2026011188.pdf")</x:f>
        <x:v>www.infonalia.es/licitaciones0226/2026011188.pdf</x:v>
      </x:c>
    </x:row>
  </x:sheetData>
  <x:autoFilter ref="A1:Q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Licitaciones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2</cp:revision>
  <dcterms:created xsi:type="dcterms:W3CDTF">2024-12-04T08:39:24Z</dcterms:created>
  <dcterms:modified xsi:type="dcterms:W3CDTF">2025-01-20T07:55:14Z</dcterms:modified>
  <dc:language>es-ES</dc:language>
</cp:coreProperties>
</file>