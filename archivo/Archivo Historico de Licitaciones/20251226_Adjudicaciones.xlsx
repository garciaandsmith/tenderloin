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<x:sst xmlns:x="http://schemas.openxmlformats.org/spreadsheetml/2006/main" count="11" uniqueCount="11">
  <x:si>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</x:si>
  <x:si>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</x:si>
  <x:si>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</x:si>
  <x:si>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</x:si>
  <x:si>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</x:si>
  <x:si>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</x:si>
  <x:si>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</x:si>
  <x:si>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</x:si>
  <x:si>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</x:si>
  <x:si>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</x:si>
  <x:si>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</x:si>
  <x:si>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</x:si>
  <x:si>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THE QUEENS STRATEGY SL</x:t>
  </x:si>
  <x:si>
    <x:t>26/12/2025 0:00:00</x:t>
  </x:si>
  <x:si>
    <x:t>25260627</x:t>
  </x:si>
  <x:si>
    <x:t>MINISTERIO DE CULTURA. DIRECCIÓN GENERAL DE LA FUNDACIÓN DEL TEATRO REAL</x:t>
  </x:si>
  <x:si>
    <x:t>Servicio de asesoramiento para la obtención de patrocinios y donaciones para la Fundación del Teatro Real F.S.P</x:t>
  </x:si>
  <x:si>
    <x:t>CL_053/2025</x:t>
  </x:si>
  <x:si>
    <x:t>Madrid</x:t>
  </x:si>
  <x:si>
    <x:t>AGENCIA EUROPA PRESS, S.A</x:t>
  </x:si>
  <x:si>
    <x:t>25260725</x:t>
  </x:si>
  <x:si>
    <x:t>MESA DEL CONGRESO DE LOS DIPUTADOS</x:t>
  </x:si>
  <x:si>
    <x:t>Recepción del servicio de noticias de la Agencia Europa Press</x:t>
  </x:si>
  <x:si>
    <x:t>CON-P2025/0100013.0</x:t>
  </x:si>
  <x:si>
    <x:t>ASOCIACIÓN ESPAÑOLA DE CODIFICACIÓN COMERCIO (AECOC)</x:t>
  </x:si>
  <x:si>
    <x:t>25260748</x:t>
  </x:si>
  <x:si>
    <x:t>MINISTERIO DE TRANSPORTES Y MOVILIDAD SOSTENIBLE. PRESIDENCIA DEL CONSEJO DE ADMINISTRACIÓN DE LA AUTORIDAD PORTUARIA DE BARCELONA (PORT DE BARCELONA)</x:t>
  </x:si>
  <x:si>
    <x:t>Participación en el Congresos Supply Chain, organizado por AECOC, celebrado el 28 de octubre en Madrid. Clave de expediente:2025C580039</x:t>
  </x:si>
  <x:si>
    <x:t>2025-00490</x:t>
  </x:si>
  <x:si>
    <x:t>------</x:t>
  </x:si>
  <x:si>
    <x:t>Desierto</x:t>
  </x:si>
  <x:si>
    <x:t>DESIERTO</x:t>
  </x:si>
  <x:si>
    <x:t>25260837</x:t>
  </x:si>
  <x:si>
    <x:t>PRESIDENCIA DEL INSTITUTO VALENCIANO DE COMPETITIVIDAD EMPRESARIAL (IVACE)</x:t>
  </x:si>
  <x:si>
    <x:t>Servicio de asesoramiento y apoyo en destino a las empresas de la Comunitat Valenciana para su internacionalización en Europa Central.</x:t>
  </x:si>
  <x:si>
    <x:t>IVACE 11/2025</x:t>
  </x:si>
  <x:si>
    <x:t>Ver pliegos</x:t>
  </x:si>
  <x:si>
    <x:t>Ver detalle de la adjudicación</x:t>
  </x:si>
  <x:si>
    <x:t>LOTE 2 AUDIOVISUALES CREAMOS, S.L.</x:t>
  </x:si>
  <x:si>
    <x:t>25260856</x:t>
  </x:si>
  <x:si>
    <x:t>MADRID DESTINO CULTURA TURISMO Y NEGOCIO, S.A</x:t>
  </x:si>
  <x:si>
    <x:t>Servicio de construcción museográfica, montaje y desmontaje de obra de arte (Lote 1) y Suministro en régimen de alquiler, instalación, mantenimiento y desmontaje de material audiovisual (Lote 2) para la exposición Ana Juan. Wunderkammer que se exhibirá en CentroCentro</x:t>
  </x:si>
  <x:si>
    <x:t>SP25-00483 / SP25-00484</x:t>
  </x:si>
  <x:si>
    <x:t>Desistido</x:t>
  </x:si>
  <x:si>
    <x:t>LOTE 1 DESISTIDO; LOTE 2 DESISTIDO</x:t>
  </x:si>
  <x:si>
    <x:t>25260876</x:t>
  </x:si>
  <x:si>
    <x:t>MINISTERIO DE HACIENDA. PRESIDENCIA - SOCIEDAD ESTATAL DE PARTICIPACIONES INDUSTRIALES (SEPI)</x:t>
  </x:si>
  <x:si>
    <x:t>Servicios de formación para la implementación de un modelo de liderazgo para el personal de la Sociedad Estatal de Participaciones Industriales (SEPI). Lote 1: Plan de formación dirigido a toda la plantilla. Lote 2: Plan de formación específico para personal predirectivo y directivo. Lote 3: Realización de conferencias de alto impacto.</x:t>
  </x:si>
  <x:si>
    <x:t>LIC-20250010SEPI</x:t>
  </x:si>
  <x:si>
    <x:t>Formalizado</x:t>
  </x:si>
  <x:si>
    <x:t>LOTE 1 ELECTRONIC TRAFIC, S.A.</x:t>
  </x:si>
  <x:si>
    <x:t>25260940</x:t>
  </x:si>
  <x:si>
    <x:t>JUNTA DE GOBIERNO DEL AYUNTAMIENTO DE RIVAS VACIAMADRID (MADRID)</x:t>
  </x:si>
  <x:si>
    <x:t>Suministro de la solución de destino turístico inteligente integrada con la plataforma de ciudad de Rivas Vaciamadrid, Rivas Destino Joven del Ayuntamiento de Rivas-Vaciamadrid, en 3 lotes. Lote 1 Suministro de la solución, asistencias externas, formación y capacitación, implantación de tecnología y obras. Lote 2 Plan de Difusión y Comunicación. Lote 3 Auditoría. </x:t>
  </x:si>
  <x:si>
    <x:t>27878/2025</x:t>
  </x:si>
  <x:si>
    <x:t>EXPO CINEGÉTICA S.L</x:t>
  </x:si>
  <x:si>
    <x:t>25260953</x:t>
  </x:si>
  <x:si>
    <x:t>JUNTA DE EXTREMADURA. CONSEJERÍA DE GESTIÓN FORESTAL Y MUNDO RURAL</x:t>
  </x:si>
  <x:si>
    <x:t>PRICPA25108. Alquiler de Espacio y Servicios Obligatorios para la participación de la Junta de Extremadura en Cinegética 2026 (Madrid del 19 al 22 de Marzo de 2026)</x:t>
  </x:si>
  <x:si>
    <x:t>PTR/2025/0000139928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</x:si>
</x:sst>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HYPERLINK("https://www.infonalia.es/adjudicaciones1225/25260627.pdf","www.infonalia.es/adjudicaciones1225/25260627.pdf")</x:f>
        <x:v>www.infonalia.es/adjudicaciones1225/25260627.pdf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65000.00</x:v>
      </x:c>
      <x:c r="K2" s="9" t="n">
        <x:v>65000.00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HYPERLINK("https://www.infonalia.es/adjudicaciones1225/25260725.pdf","www.infonalia.es/adjudicaciones1225/25260725.pdf")</x:f>
        <x:v>www.infonalia.es/adjudicaciones1225/25260725.pdf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n">
        <x:v>214425.55</x:v>
      </x:c>
      <x:c r="K3" s="9" t="n">
        <x:v>228074.82</x:v>
      </x:c>
    </x:row>
    <x:row r="4">
      <x:c r="A4" s="6" t="s">
        <x:v>11</x:v>
      </x:c>
      <x:c r="B4" s="6" t="s">
        <x:v>24</x:v>
      </x:c>
      <x:c r="C4" s="6" t="s">
        <x:v>13</x:v>
      </x:c>
      <x:c r="D4" s="7" t="str">
        <x:f xml:space="preserve">HYPERLINK("https://www.infonalia.es/adjudicaciones1225/25260748.pdf","www.infonalia.es/adjudicaciones1225/25260748.pdf")</x:f>
        <x:v>www.infonalia.es/adjudicaciones1225/25260748.pdf</x:v>
      </x:c>
      <x:c r="E4" s="8" t="s">
        <x:v>25</x:v>
      </x:c>
      <x:c r="F4" s="6" t="s">
        <x:v>26</x:v>
      </x:c>
      <x:c r="G4" s="6" t="s">
        <x:v>27</x:v>
      </x:c>
      <x:c r="H4" s="6" t="s">
        <x:v>28</x:v>
      </x:c>
      <x:c r="I4" s="6" t="s">
        <x:v>29</x:v>
      </x:c>
      <x:c r="J4" s="9" t="n">
        <x:v>5500.00</x:v>
      </x:c>
      <x:c r="K4" s="9" t="n">
        <x:v>5500.00</x:v>
      </x:c>
    </x:row>
    <x:row r="5">
      <x:c r="A5" s="6" t="s">
        <x:v>30</x:v>
      </x:c>
      <x:c r="B5" s="6" t="s">
        <x:v>31</x:v>
      </x:c>
      <x:c r="C5" s="6" t="s">
        <x:v>13</x:v>
      </x:c>
      <x:c r="D5" s="7" t="str">
        <x:f xml:space="preserve">HYPERLINK("https://www.infonalia.es/adjudicaciones1225/25260837.pdf","www.infonalia.es/adjudicaciones1225/25260837.pdf")</x:f>
        <x:v>www.infonalia.es/adjudicaciones1225/25260837.pdf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9" t="s">
        <x:v>37</x:v>
      </x:c>
      <x:c r="K5" s="9" t="n">
        <x:v>254244.63</x:v>
      </x:c>
    </x:row>
    <x:row r="6">
      <x:c r="A6" s="6" t="s">
        <x:v>11</x:v>
      </x:c>
      <x:c r="B6" s="6" t="s">
        <x:v>38</x:v>
      </x:c>
      <x:c r="C6" s="6" t="s">
        <x:v>13</x:v>
      </x:c>
      <x:c r="D6" s="7" t="str">
        <x:f xml:space="preserve">HYPERLINK("https://www.infonalia.es/adjudicaciones1225/25260856.pdf","www.infonalia.es/adjudicaciones1225/25260856.pdf")</x:f>
        <x:v>www.infonalia.es/adjudicaciones1225/25260856.pdf</x:v>
      </x:c>
      <x:c r="E6" s="8" t="s">
        <x:v>39</x:v>
      </x:c>
      <x:c r="F6" s="6" t="s">
        <x:v>40</x:v>
      </x:c>
      <x:c r="G6" s="6" t="s">
        <x:v>41</x:v>
      </x:c>
      <x:c r="H6" s="6" t="s">
        <x:v>42</x:v>
      </x:c>
      <x:c r="I6" s="6" t="s">
        <x:v>18</x:v>
      </x:c>
      <x:c r="J6" s="9" t="n">
        <x:v>24570.00</x:v>
      </x:c>
      <x:c r="K6" s="9" t="n">
        <x:v>40725.00</x:v>
      </x:c>
    </x:row>
    <x:row r="7">
      <x:c r="A7" s="6" t="s">
        <x:v>43</x:v>
      </x:c>
      <x:c r="B7" s="6" t="s">
        <x:v>44</x:v>
      </x:c>
      <x:c r="C7" s="6" t="s">
        <x:v>13</x:v>
      </x:c>
      <x:c r="D7" s="7" t="str">
        <x:f xml:space="preserve">HYPERLINK("https://www.infonalia.es/adjudicaciones1225/25260876.pdf","www.infonalia.es/adjudicaciones1225/25260876.pdf")</x:f>
        <x:v>www.infonalia.es/adjudicaciones1225/25260876.pdf</x:v>
      </x:c>
      <x:c r="E7" s="8" t="s">
        <x:v>45</x:v>
      </x:c>
      <x:c r="F7" s="6" t="s">
        <x:v>46</x:v>
      </x:c>
      <x:c r="G7" s="6" t="s">
        <x:v>47</x:v>
      </x:c>
      <x:c r="H7" s="6" t="s">
        <x:v>48</x:v>
      </x:c>
      <x:c r="I7" s="6" t="s">
        <x:v>18</x:v>
      </x:c>
      <x:c r="J7" s="9" t="s">
        <x:v>37</x:v>
      </x:c>
      <x:c r="K7" s="9" t="n">
        <x:v>117000.00</x:v>
      </x:c>
    </x:row>
    <x:row r="8">
      <x:c r="A8" s="6" t="s">
        <x:v>49</x:v>
      </x:c>
      <x:c r="B8" s="6" t="s">
        <x:v>50</x:v>
      </x:c>
      <x:c r="C8" s="6" t="s">
        <x:v>13</x:v>
      </x:c>
      <x:c r="D8" s="7" t="str">
        <x:f xml:space="preserve">HYPERLINK("https://www.infonalia.es/adjudicaciones1225/25260940.pdf","www.infonalia.es/adjudicaciones1225/25260940.pdf")</x:f>
        <x:v>www.infonalia.es/adjudicaciones1225/25260940.pdf</x:v>
      </x:c>
      <x:c r="E8" s="8" t="s">
        <x:v>51</x:v>
      </x:c>
      <x:c r="F8" s="6" t="s">
        <x:v>52</x:v>
      </x:c>
      <x:c r="G8" s="6" t="s">
        <x:v>53</x:v>
      </x:c>
      <x:c r="H8" s="6" t="s">
        <x:v>54</x:v>
      </x:c>
      <x:c r="I8" s="6" t="s">
        <x:v>18</x:v>
      </x:c>
      <x:c r="J8" s="9" t="n">
        <x:v>1476770.25</x:v>
      </x:c>
      <x:c r="K8" s="9" t="n">
        <x:v>1476770.25</x:v>
      </x:c>
    </x:row>
    <x:row r="9">
      <x:c r="A9" s="6" t="s">
        <x:v>49</x:v>
      </x:c>
      <x:c r="B9" s="6" t="s">
        <x:v>55</x:v>
      </x:c>
      <x:c r="C9" s="6" t="s">
        <x:v>13</x:v>
      </x:c>
      <x:c r="D9" s="7" t="str">
        <x:f xml:space="preserve">HYPERLINK("https://www.infonalia.es/adjudicaciones1225/25260953.pdf","www.infonalia.es/adjudicaciones1225/25260953.pdf")</x:f>
        <x:v>www.infonalia.es/adjudicaciones1225/25260953.pdf</x:v>
      </x:c>
      <x:c r="E9" s="8" t="s">
        <x:v>56</x:v>
      </x:c>
      <x:c r="F9" s="6" t="s">
        <x:v>57</x:v>
      </x:c>
      <x:c r="G9" s="6" t="s">
        <x:v>58</x:v>
      </x:c>
      <x:c r="H9" s="6" t="s">
        <x:v>59</x:v>
      </x:c>
      <x:c r="I9" s="6" t="s">
        <x:v>18</x:v>
      </x:c>
      <x:c r="J9" s="9" t="n">
        <x:v>11071.20</x:v>
      </x:c>
      <x:c r="K9" s="9" t="n">
        <x:v>11150.20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