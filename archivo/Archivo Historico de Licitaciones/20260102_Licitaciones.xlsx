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<x:sst xmlns:x="http://schemas.openxmlformats.org/spreadsheetml/2006/main" count="17" uniqueCount="17">
  <x:si>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</x:si>
  <x:si>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</x:si>
  <x:si>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</x:si>
  <x:si>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</x:si>
  <x:si>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</x:si>
  <x:si>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</x:si>
  <x:si>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</x:si>
  <x:si>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</x:si>
  <x:si>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</x:si>
  <x:si>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</x:si>
  <x:si>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</x:si>
  <x:si>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</x:si>
  <x:si>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</x:si>
  <x:si>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</x:si>
  <x:si>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</x:si>
  <x:si>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</x:si>
  <x:si>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</x:si>
  <x:si>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</x:si>
  <x:si>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</x:si>
  <x:si>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29/01/2026</x:t>
  </x:si>
  <x:si>
    <x:t>2026000062</x:t>
  </x:si>
  <x:si>
    <x:t>02/01/2026</x:t>
  </x:si>
  <x:si>
    <x:t>CONSEJERÍA DE PRESIDENCIA, RETO DEMOGRÁFICO, IGUALDAD Y TURISMO DEL PRINCIPADO DE ASTURIAS</x:t>
  </x:si>
  <x:si>
    <x:t>Contratación de los servicios de creatividad y planificación de medios para una campaña de prevención y sensibilización frente a los incendios forestales en el Principado de Asturias, a adjudicar por tramitación anticipado de gasto y procedimiento abierto. Lote 1: Estrategia, creatividad, desarrollo y producción de las piezas. Lote 2: Planificación, compra y ejecución de medios. </x:t>
  </x:si>
  <x:si>
    <x:t>2025001112</x:t>
  </x:si>
  <x:si>
    <x:t>Importe sin impuestos</x:t>
  </x:si>
  <x:si>
    <x:t/>
  </x:si>
  <x:si>
    <x:t>-----</x:t>
  </x:si>
  <x:si>
    <x:t>31/12/2025</x:t>
  </x:si>
  <x:si>
    <x:t/>
  </x:si>
  <x:si>
    <x:t>Asturias</x:t>
  </x:si>
  <x:si>
    <x:t>19/01/2026</x:t>
  </x:si>
  <x:si>
    <x:t>2026000068</x:t>
  </x:si>
  <x:si>
    <x:t>ÁREA DE GOBIERNO DE VICEALCALDÍA, PORTAVOZ, SEGURIDAD Y EMERGENCIAS DEL AYUNTAMIENTO DE MADRID</x:t>
  </x:si>
  <x:si>
    <x:t>Apoyo a la gestión de redes sociales y la creación de piezas audiovisuales para los canales online dependientes de la Dirección General de Participación Ciudadana</x:t>
  </x:si>
  <x:si>
    <x:t>300/2025/02433</x:t>
  </x:si>
  <x:si>
    <x:t/>
  </x:si>
  <x:si>
    <x:t>Madrid</x:t>
  </x:si>
  <x:si>
    <x:t>02/02/2026</x:t>
  </x:si>
  <x:si>
    <x:t>2026000072</x:t>
  </x:si>
  <x:si>
    <x:t>CONSEJERO DELEGADO DE INGENIERÍA DE SISTEMAS PARA LA DEFENSA DE ESPAÑA S.A., S.M.E. Y M.P</x:t>
  </x:si>
  <x:si>
    <x:t>Servicio apoyo técnico en materia de control del comercio exterior de productos y tecnologías de doble uso, control de las transferencias de tecnología nacional a terceros países y en la gestión de inversiones extranjeras</x:t>
  </x:si>
  <x:si>
    <x:t>2025-01919</x:t>
  </x:si>
  <x:si>
    <x:t/>
  </x:si>
  <x:si>
    <x:t>Catalunya - Plataforma de Contratación</x:t>
  </x:si>
  <x:si>
    <x:t>2026000114</x:t>
  </x:si>
  <x:si>
    <x:t>GENERALITAT DE CATALUNYA. DEPARTAMENTO DE POLÍTICA LINGÜÍSTICA</x:t>
  </x:si>
  <x:si>
    <x:t>Cobertura audiovisual de los actos del Departamento de Política Lingüística durante 2026</x:t>
  </x:si>
  <x:si>
    <x:t>LI-2026-4</x:t>
  </x:si>
  <x:si>
    <x:t>IVA excluido</x:t>
  </x:si>
  <x:si>
    <x:t/>
  </x:si>
  <x:si>
    <x:t>01/01/2026</x:t>
  </x:si>
  <x:si>
    <x:t/>
  </x:si>
  <x:si>
    <x:t>Catalunya</x:t>
  </x:si>
  <x:si>
    <x:t>16/01/2026</x:t>
  </x:si>
  <x:si>
    <x:t>2026000135</x:t>
  </x:si>
  <x:si>
    <x:t>INSTITUTO MUNICIPAL DE MERCADOS DE BARCELONA</x:t>
  </x:si>
  <x:si>
    <x:t>Servicio de registro y gestión de los dominios de internet y hosting de servidores web del IMMB</x:t>
  </x:si>
  <x:si>
    <x:t>008_25000194</x:t>
  </x:si>
  <x:si>
    <x:t/>
  </x:si>
  <x:si>
    <x:t/>
  </x:si>
  <x:si>
    <x:t>Barcelona</x:t>
  </x:si>
  <x:si>
    <x:t>15/01/2026</x:t>
  </x:si>
  <x:si>
    <x:t>2026000139</x:t>
  </x:si>
  <x:si>
    <x:t>INSTITUTO DE CULTURA DE BARCELONA</x:t>
  </x:si>
  <x:si>
    <x:t>Contrato de servicios para la contratación del servicio de dirección artística, coordinación general, mediación cultural, apoyo a la producción y oficina técnica del festival Barcelona dibuja, con medidas de contratación pública sostenible</x:t>
  </x:si>
  <x:si>
    <x:t>006_25002086</x:t>
  </x:si>
  <x:si>
    <x:t/>
  </x:si>
  <x:si>
    <x:t/>
  </x:si>
  <x:si>
    <x:t>2026000149</x:t>
  </x:si>
  <x:si>
    <x:t>AYUNTAMIENTO DE BARCELONA. GERENCIA DE ÁREA DE CULTURA, EDUCACIÓN, CICLOS DE VIDA, FEMINISMOS Y LGTBI</x:t>
  </x:si>
  <x:si>
    <x:t>Servicios para la organización de la celebración del día del Orgullo Friki</x:t>
  </x:si>
  <x:si>
    <x:t>001_25003681</x:t>
  </x:si>
  <x:si>
    <x:t/>
  </x:si>
  <x:si>
    <x:t/>
  </x:si>
  <x:si>
    <x:t>2026000209</x:t>
  </x:si>
  <x:si>
    <x:t>INSTITUT CATALÀ DEL SÒL (INCASÒL)</x:t>
  </x:si>
  <x:si>
    <x:t>2026_23 MAG/LCA - Servicio de diseño de los stands del proyecto Barcelona Catalonia en las ferias Mipim, Expo Real y The District 2026. Así como la producción y construcción, montaje, desmontaje, transporte y almacenamiento del stand de Mipim 2026, que tendrá lugar del 10 al 13 de marzo</x:t>
  </x:si>
  <x:si>
    <x:t>ICSOL-2026-23</x:t>
  </x:si>
  <x:si>
    <x:t>IVA excuido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</x:si>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</x:sst>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312423.00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HYPERLINK("https://contrataciondelestado.es/wps/poc?uri=deeplink:detalle_licitacion&amp;idEvl=33Bkg%2BRJX3vi0Kd8%2Brcp6w%3D%3D","contrataciondelestado.es/wps/poc?uri=deeplink:detalle_licitacion&amp;idEvl=33Bkg%2BRJX3vi0Kd8%2Brcp6w%3D%3D")</x:f>
        <x:v>contrataciondelestado.es/wps/poc?uri=deeplink:detalle_licitacion&amp;idEvl=33Bkg%2BRJX3vi0Kd8%2Brcp6w%3D%3D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HYPERLINK("https://www.infonalia.es/licitaciones0126/2026000062.pdf","www.infonalia.es/licitaciones0126/2026000062.pdf")</x:f>
        <x:v>www.infonalia.es/licitaciones0126/2026000062.pdf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115959.71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HYPERLINK("https://contrataciondelestado.es/wps/poc?uri=deeplink:detalle_licitacion&amp;idEvl=u00x6HjAq%2BX%2Fa9DgO%2BoYKQ%3D%3D","contrataciondelestado.es/wps/poc?uri=deeplink:detalle_licitacion&amp;idEvl=u00x6HjAq%2BX%2Fa9DgO%2BoYKQ%3D%3D")</x:f>
        <x:v>contrataciondelestado.es/wps/poc?uri=deeplink:detalle_licitacion&amp;idEvl=u00x6HjAq%2BX%2Fa9DgO%2BoYKQ%3D%3D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HYPERLINK("https://www.infonalia.es/licitaciones0126/2026000068.pdf","www.infonalia.es/licitaciones0126/2026000068.pdf")</x:f>
        <x:v>www.infonalia.es/licitaciones0126/2026000068.pdf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84000.00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HYPERLINK("https://contrataciondelestado.es/wps/poc?uri=deeplink:detalle_licitacion&amp;idEvl=m7sDv9VX6IqP66GS%2BONYvQ%3D%3D","contrataciondelestado.es/wps/poc?uri=deeplink:detalle_licitacion&amp;idEvl=m7sDv9VX6IqP66GS%2BONYvQ%3D%3D")</x:f>
        <x:v>contrataciondelestado.es/wps/poc?uri=deeplink:detalle_licitacion&amp;idEvl=m7sDv9VX6IqP66GS%2BONYvQ%3D%3D</x:v>
      </x:c>
      <x:c r="M4" s="11" t="s">
        <x:v>27</x:v>
      </x:c>
      <x:c r="N4" s="13" t="s">
        <x:v>28</x:v>
      </x:c>
      <x:c r="O4" s="11" t="s">
        <x:v>43</x:v>
      </x:c>
      <x:c r="P4" s="11" t="s">
        <x:v>37</x:v>
      </x:c>
      <x:c r="Q4" s="14" t="str">
        <x:f xml:space="preserve">HYPERLINK("https://www.infonalia.es/licitaciones0126/2026000072.pdf","www.infonalia.es/licitaciones0126/2026000072.pdf")</x:f>
        <x:v>www.infonalia.es/licitaciones0126/2026000072.pdf</x:v>
      </x:c>
    </x:row>
    <x:row r="5">
      <x:c r="A5" s="6" t="s">
        <x:v>17</x:v>
      </x:c>
      <x:c r="B5" s="6" t="s">
        <x:v>44</x:v>
      </x:c>
      <x:c r="C5" s="7" t="s">
        <x:v>31</x:v>
      </x:c>
      <x:c r="D5" s="8" t="s">
        <x:v>45</x:v>
      </x:c>
      <x:c r="E5" s="9" t="s">
        <x:v>21</x:v>
      </x:c>
      <x:c r="F5" s="6" t="s">
        <x:v>46</x:v>
      </x:c>
      <x:c r="G5" s="6" t="s">
        <x:v>47</x:v>
      </x:c>
      <x:c r="H5" s="6" t="s">
        <x:v>48</x:v>
      </x:c>
      <x:c r="I5" s="10" t="n">
        <x:v>50000.00</x:v>
      </x:c>
      <x:c r="J5" s="11" t="s">
        <x:v>49</x:v>
      </x:c>
      <x:c r="K5" s="11" t="s">
        <x:v>50</x:v>
      </x:c>
      <x:c r="L5" s="12" t="str">
        <x:f xml:space="preserve">HYPERLINK("https://contractaciopublica.cat/es/detall-publicacio/300657577","contractaciopublica.cat/es/detall-publicacio/300657577")</x:f>
        <x:v>contractaciopublica.cat/es/detall-publicacio/300657577</x:v>
      </x:c>
      <x:c r="M5" s="11" t="s">
        <x:v>27</x:v>
      </x:c>
      <x:c r="N5" s="13" t="s">
        <x:v>51</x:v>
      </x:c>
      <x:c r="O5" s="11" t="s">
        <x:v>52</x:v>
      </x:c>
      <x:c r="P5" s="11" t="s">
        <x:v>53</x:v>
      </x:c>
      <x:c r="Q5" s="14" t="str">
        <x:f xml:space="preserve">HYPERLINK("https://www.infonalia.es/licitaciones0126/2026000114.pdf","www.infonalia.es/licitaciones0126/2026000114.pdf")</x:f>
        <x:v>www.infonalia.es/licitaciones0126/2026000114.pdf</x:v>
      </x:c>
    </x:row>
    <x:row r="6">
      <x:c r="A6" s="6" t="s">
        <x:v>17</x:v>
      </x:c>
      <x:c r="B6" s="6" t="s">
        <x:v>44</x:v>
      </x:c>
      <x:c r="C6" s="7" t="s">
        <x:v>54</x:v>
      </x:c>
      <x:c r="D6" s="8" t="s">
        <x:v>55</x:v>
      </x:c>
      <x:c r="E6" s="9" t="s">
        <x:v>21</x:v>
      </x:c>
      <x:c r="F6" s="6" t="s">
        <x:v>56</x:v>
      </x:c>
      <x:c r="G6" s="6" t="s">
        <x:v>57</x:v>
      </x:c>
      <x:c r="H6" s="6" t="s">
        <x:v>58</x:v>
      </x:c>
      <x:c r="I6" s="10" t="n">
        <x:v>20040.00</x:v>
      </x:c>
      <x:c r="J6" s="11" t="s">
        <x:v>49</x:v>
      </x:c>
      <x:c r="K6" s="11" t="s">
        <x:v>59</x:v>
      </x:c>
      <x:c r="L6" s="12" t="str">
        <x:f xml:space="preserve">HYPERLINK("https://contractaciopublica.cat/es/detall-publicacio/300657397","contractaciopublica.cat/es/detall-publicacio/300657397")</x:f>
        <x:v>contractaciopublica.cat/es/detall-publicacio/300657397</x:v>
      </x:c>
      <x:c r="M6" s="11" t="s">
        <x:v>27</x:v>
      </x:c>
      <x:c r="N6" s="13" t="s">
        <x:v>28</x:v>
      </x:c>
      <x:c r="O6" s="11" t="s">
        <x:v>60</x:v>
      </x:c>
      <x:c r="P6" s="11" t="s">
        <x:v>61</x:v>
      </x:c>
      <x:c r="Q6" s="14" t="str">
        <x:f xml:space="preserve">HYPERLINK("https://www.infonalia.es/licitaciones0126/2026000135.pdf","www.infonalia.es/licitaciones0126/2026000135.pdf")</x:f>
        <x:v>www.infonalia.es/licitaciones0126/2026000135.pdf</x:v>
      </x:c>
    </x:row>
    <x:row r="7">
      <x:c r="A7" s="6" t="s">
        <x:v>17</x:v>
      </x:c>
      <x:c r="B7" s="6" t="s">
        <x:v>44</x:v>
      </x:c>
      <x:c r="C7" s="7" t="s">
        <x:v>62</x:v>
      </x:c>
      <x:c r="D7" s="8" t="s">
        <x:v>63</x:v>
      </x:c>
      <x:c r="E7" s="9" t="s">
        <x:v>21</x:v>
      </x:c>
      <x:c r="F7" s="6" t="s">
        <x:v>64</x:v>
      </x:c>
      <x:c r="G7" s="6" t="s">
        <x:v>65</x:v>
      </x:c>
      <x:c r="H7" s="6" t="s">
        <x:v>66</x:v>
      </x:c>
      <x:c r="I7" s="10" t="n">
        <x:v>43445.13</x:v>
      </x:c>
      <x:c r="J7" s="11" t="s">
        <x:v>49</x:v>
      </x:c>
      <x:c r="K7" s="11" t="s">
        <x:v>67</x:v>
      </x:c>
      <x:c r="L7" s="12" t="str">
        <x:f xml:space="preserve">HYPERLINK("https://contractaciopublica.cat/es/detall-publicacio/300657143","contractaciopublica.cat/es/detall-publicacio/300657143")</x:f>
        <x:v>contractaciopublica.cat/es/detall-publicacio/300657143</x:v>
      </x:c>
      <x:c r="M7" s="11" t="s">
        <x:v>27</x:v>
      </x:c>
      <x:c r="N7" s="13" t="s">
        <x:v>28</x:v>
      </x:c>
      <x:c r="O7" s="11" t="s">
        <x:v>68</x:v>
      </x:c>
      <x:c r="P7" s="11" t="s">
        <x:v>61</x:v>
      </x:c>
      <x:c r="Q7" s="14" t="str">
        <x:f xml:space="preserve">HYPERLINK("https://www.infonalia.es/licitaciones0126/2026000139.pdf","www.infonalia.es/licitaciones0126/2026000139.pdf")</x:f>
        <x:v>www.infonalia.es/licitaciones0126/2026000139.pdf</x:v>
      </x:c>
    </x:row>
    <x:row r="8">
      <x:c r="A8" s="6" t="s">
        <x:v>17</x:v>
      </x:c>
      <x:c r="B8" s="6" t="s">
        <x:v>44</x:v>
      </x:c>
      <x:c r="C8" s="7" t="s">
        <x:v>62</x:v>
      </x:c>
      <x:c r="D8" s="8" t="s">
        <x:v>69</x:v>
      </x:c>
      <x:c r="E8" s="9" t="s">
        <x:v>21</x:v>
      </x:c>
      <x:c r="F8" s="6" t="s">
        <x:v>70</x:v>
      </x:c>
      <x:c r="G8" s="6" t="s">
        <x:v>71</x:v>
      </x:c>
      <x:c r="H8" s="6" t="s">
        <x:v>72</x:v>
      </x:c>
      <x:c r="I8" s="10" t="n">
        <x:v>115950.73</x:v>
      </x:c>
      <x:c r="J8" s="11" t="s">
        <x:v>49</x:v>
      </x:c>
      <x:c r="K8" s="11" t="s">
        <x:v>73</x:v>
      </x:c>
      <x:c r="L8" s="12" t="str">
        <x:f xml:space="preserve">HYPERLINK("https://contractaciopublica.cat/es/detall-publicacio/300657178","contractaciopublica.cat/es/detall-publicacio/300657178")</x:f>
        <x:v>contractaciopublica.cat/es/detall-publicacio/300657178</x:v>
      </x:c>
      <x:c r="M8" s="11" t="s">
        <x:v>27</x:v>
      </x:c>
      <x:c r="N8" s="13" t="s">
        <x:v>28</x:v>
      </x:c>
      <x:c r="O8" s="11" t="s">
        <x:v>74</x:v>
      </x:c>
      <x:c r="P8" s="11" t="s">
        <x:v>61</x:v>
      </x:c>
      <x:c r="Q8" s="14" t="str">
        <x:f xml:space="preserve">HYPERLINK("https://www.infonalia.es/licitaciones0126/2026000149.pdf","www.infonalia.es/licitaciones0126/2026000149.pdf")</x:f>
        <x:v>www.infonalia.es/licitaciones0126/2026000149.pdf</x:v>
      </x:c>
    </x:row>
    <x:row r="9">
      <x:c r="A9" s="6" t="s">
        <x:v>17</x:v>
      </x:c>
      <x:c r="B9" s="6" t="s">
        <x:v>44</x:v>
      </x:c>
      <x:c r="C9" s="7" t="s">
        <x:v>31</x:v>
      </x:c>
      <x:c r="D9" s="8" t="s">
        <x:v>75</x:v>
      </x:c>
      <x:c r="E9" s="9" t="s">
        <x:v>21</x:v>
      </x:c>
      <x:c r="F9" s="6" t="s">
        <x:v>76</x:v>
      </x:c>
      <x:c r="G9" s="6" t="s">
        <x:v>77</x:v>
      </x:c>
      <x:c r="H9" s="6" t="s">
        <x:v>78</x:v>
      </x:c>
      <x:c r="I9" s="10" t="n">
        <x:v>198347.11</x:v>
      </x:c>
      <x:c r="J9" s="11" t="s">
        <x:v>79</x:v>
      </x:c>
      <x:c r="K9" s="11" t="s">
        <x:v>80</x:v>
      </x:c>
      <x:c r="L9" s="12" t="str">
        <x:f xml:space="preserve">HYPERLINK("https://contractaciopublica.cat/es/detall-publicacio/300649733","contractaciopublica.cat/es/detall-publicacio/300649733")</x:f>
        <x:v>contractaciopublica.cat/es/detall-publicacio/300649733</x:v>
      </x:c>
      <x:c r="M9" s="11" t="s">
        <x:v>27</x:v>
      </x:c>
      <x:c r="N9" s="13" t="s">
        <x:v>21</x:v>
      </x:c>
      <x:c r="O9" s="11" t="s">
        <x:v>81</x:v>
      </x:c>
      <x:c r="P9" s="11" t="s">
        <x:v>61</x:v>
      </x:c>
      <x:c r="Q9" s="14" t="str">
        <x:f xml:space="preserve">HYPERLINK("https://www.infonalia.es/licitaciones0126/2026000209.pdf","www.infonalia.es/licitaciones0126/2026000209.pdf")</x:f>
        <x:v>www.infonalia.es/licitaciones0126/2026000209.pdf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