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<x:sst xmlns:x="http://schemas.openxmlformats.org/spreadsheetml/2006/main" count="11" uniqueCount="11">
  <x:si>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</x:si>
  <x:si>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</x:si>
  <x:si>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</x:si>
  <x:si>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</x:si>
  <x:si>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</x:si>
  <x:si>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</x:si>
  <x:si>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</x:si>
  <x:si>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</x:si>
  <x:si>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</x:si>
  <x:si>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</x:si>
  <x:si>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</x:si>
  <x:si>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</x:si>
  <x:si>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VARIOS ADJUDICATARIOS. VER TEXTO ÍNTEGRO DE LA ADJUDICACIÓN</x:t>
  </x:si>
  <x:si>
    <x:t>14/11/2025 0:00:00</x:t>
  </x:si>
  <x:si>
    <x:t>25224278</x:t>
  </x:si>
  <x:si>
    <x:t>PATRONAT DE TURISME DE LA DIPUTACIÓ DE TARRAGONA</x:t>
  </x:si>
  <x:si>
    <x:t>Patrocinio de eventos deportivos y equipos deportivos para visibilizar y difundir las marcas “Costa Daurada” y/o “Terres de l'Ebre” y de los valores asociados a las mismas. 15 Lotes</x:t>
  </x:si>
  <x:si>
    <x:t>8004330048-2025-0000139</x:t>
  </x:si>
  <x:si>
    <x:t>Tarragona</x:t>
  </x:si>
  <x:si>
    <x:t>Ver detalle de la adjudicación</x:t>
  </x:si>
  <x:si>
    <x:t>GOOD NEWS TELEVISION SL</x:t>
  </x:si>
  <x:si>
    <x:t>25224414</x:t>
  </x:si>
  <x:si>
    <x:t>MINISTERIO DE ASUNTOS EXTERIORES, UNIÓN EUROPEA Y COOPERACIÓN. DIRECCIÓN GENERAL DE COMUNICACIÓN, DIPLOMACIA PÚBLICA Y REDES</x:t>
  </x:si>
  <x:si>
    <x:t>servicio de apoyo en la cobertura de eventos y su organización, servicio de creatividad y diseño gráfico, actualización de contenidos de páginas web, creación de contenidos audiovisuales y realización de eventos en directo</x:t>
  </x:si>
  <x:si>
    <x:t>202500000010</x:t>
  </x:si>
  <x:si>
    <x:t>Madrid</x:t>
  </x:si>
  <x:si>
    <x:t>MARIA ISABEL CAMPILLO RODRIGUEZ</x:t>
  </x:si>
  <x:si>
    <x:t>25224436</x:t>
  </x:si>
  <x:si>
    <x:t>ALCALDÍA DEL AYUNTAMIENTO DE SAN FERNANDO DE HENARES (MADRID)</x:t>
  </x:si>
  <x:si>
    <x:t>Servicio para realizar actividades de astronomía y exposición científica en San Fernando de Henares.</x:t>
  </x:si>
  <x:si>
    <x:t>2025COMP000126</x:t>
  </x:si>
  <x:si>
    <x:t>CUATRO GOTES PRODUCCIONES, SL</x:t>
  </x:si>
  <x:si>
    <x:t>25224445</x:t>
  </x:si>
  <x:si>
    <x:t>ALCALDIA DEL AYUNTAMIENTO DE CASTRILLÓN (ASTURIAS)</x:t>
  </x:si>
  <x:si>
    <x:t>Contrato de servicios para la producción y entrega de videos y fotos Expo Premios Empresariales 2025 - 2026</x:t>
  </x:si>
  <x:si>
    <x:t>19610M</x:t>
  </x:si>
  <x:si>
    <x:t>Asturias</x:t>
  </x:si>
  <x:si>
    <x:t>LOTE 1 ACTIVIDADES DE OCIO Y EDUCACIÓN SL. ; LOTE 2 KAURI SPORTWEAR S.L </x:t>
  </x:si>
  <x:si>
    <x:t>25224534</x:t>
  </x:si>
  <x:si>
    <x:t>MINISTERIO DE CIENCIA, INNOVACIÓN Y UNIVERSIDADES. DIRECCIÓN GENERAL DEL CENTRO PARA EL DESARROLLO TECNOLÓGICO Y LA INNOVACIÓN, E.P.E</x:t>
  </x:si>
  <x:si>
    <x:t>Servicios de apoyo a la gestión y organización de eventos de CDTI. Lote 1: Servicios de apoyo a la gestión de eventos de promoción del CDTI. Lote 2: Suministro de material promocional para eventos del CDTI. Lote 3: Servicios de apoyo a la gestión de eventos institucionales y corporativos del CDTI.</x:t>
  </x:si>
  <x:si>
    <x:t>09/2025 AB (SG)</x:t>
  </x:si>
  <x:si>
    <x:t>SOFTTEK DIGITAL SOLUTIONS SLU</x:t>
  </x:si>
  <x:si>
    <x:t>25224584</x:t>
  </x:si>
  <x:si>
    <x:t>MINISTERIO DE LA PRESIDENCIA, JUSTICIA Y RELACIONES CON LAS CORTES. DIRECCIÓN DEL CENTRO DE ESTUDIOS JURÍDICOS O.A.</x:t>
  </x:si>
  <x:si>
    <x:t>Prestación de un servicio de comunicación integral para el Centro de Estudios Jurídicos.</x:t>
  </x:si>
  <x:si>
    <x:t>2025CT013JE</x:t>
  </x:si>
  <x:si>
    <x:t>EDITORIAL ALFASUR S.L</x:t>
  </x:si>
  <x:si>
    <x:t>25224722</x:t>
  </x:si>
  <x:si>
    <x:t>JUNTA DE GOBIERNO DEL AYUNTAMIENTO DE SAN MARTÍN DE LA VEGA (MADRID)</x:t>
  </x:si>
  <x:si>
    <x:t>Suministro-Servicios de publicación e impresión en prensa escrita local de publicidad institucional y campañas municipales para el Ayuntamiento de San Martín de la Vega</x:t>
  </x:si>
  <x:si>
    <x:t>2390/2025</x:t>
  </x:si>
  <x:si>
    <x:t>TÉCNICOS ASOCIADOS INFORMÁTICA, SAU</x:t>
  </x:si>
  <x:si>
    <x:t>25225003</x:t>
  </x:si>
  <x:si>
    <x:t>MINISTERIO DE HACIENDA. D.G. DE RACIONALIZACIÓN Y CENTRALIZACIÓN DE LA CONTRATACIÓN</x:t>
  </x:si>
  <x:si>
    <x:t>Actualización De La Licencia Corporativa De Solución De Gestión Energética Con Destino A La Agencia Estatal De Administración Tributaria (Servicio De Gestión Económica De La A.E.A.T.)</x:t>
  </x:si>
  <x:si>
    <x:t>CEA4992/2025</x:t>
  </x:si>
  <x:si>
    <x:t>TAELUS SL</x:t>
  </x:si>
  <x:si>
    <x:t>25225052</x:t>
  </x:si>
  <x:si>
    <x:t>AYUNTAMIENTO DE SABADELL (BARCELONA)</x:t>
  </x:si>
  <x:si>
    <x:t>El objeto del contrato es la contratación de los servicios de inserción en el medio (digital y televisión) "TV Sabadell", de anuncios de varias campañas de publicidad, servicios y actividades organizadas por el Ayuntamiento de Sabadell.</x:t>
  </x:si>
  <x:si>
    <x:t>COM/2024/64</x:t>
  </x:si>
  <x:si>
    <x:t>Barcelona</x:t>
  </x:si>
  <x:si>
    <x:t>COMUNICACIONS AUDIOVISUALS DE SABADELL, SLU</x:t>
  </x:si>
  <x:si>
    <x:t>25225059</x:t>
  </x:si>
  <x:si>
    <x:t>El objeto del contrato es la contratación de los servicios de inserción de cuñas informativas, y también en versión digital, "Radio Sabadell", de anuncios de varias campañas de publicidad, servicios y actividades organizadas por el Ayuntamiento de Sabadell.</x:t>
  </x:si>
  <x:si>
    <x:t>COM/2024/63</x:t>
  </x:si>
  <x:si>
    <x:t>JORDI DE ARRIBA DE LA CALLE</x:t>
  </x:si>
  <x:si>
    <x:t>25225096</x:t>
  </x:si>
  <x:si>
    <x:t>El objeto del contrato es la contratación de los servicios de inserción en el medio digital "iSabadell", de anuncios de varias campañas de publicidad, servicios y actividades organizadas por el Ayuntamiento de Sabadell.</x:t>
  </x:si>
  <x:si>
    <x:t>COM/2024/62</x:t>
  </x:si>
  <x:si>
    <x:t>KNOM DESIGN S.L</x:t>
  </x:si>
  <x:si>
    <x:t>25225100</x:t>
  </x:si>
  <x:si>
    <x:t>ÁREA DE GOBIERNO DE VICEALCALDÍA, PORTAVOZ, SEGURIDAD Y EMERGENCIAS DEL AYUNTAMIENTO DE MADRID</x:t>
  </x:si>
  <x:si>
    <x:t>Feria de Asociaciones del distrito de Carabanchel 2025</x:t>
  </x:si>
  <x:si>
    <x:t>145/2023/00612.1.26</x:t>
  </x:si>
  <x:si>
    <x:t>IRISMEDIA AGENCIA DE MEDIOS S.L</x:t>
  </x:si>
  <x:si>
    <x:t>25225169</x:t>
  </x:si>
  <x:si>
    <x:t>Campaña Institucional para la promoción imagen de Ciudad.</x:t>
  </x:si>
  <x:si>
    <x:t>511/2024/09993.1.52</x:t>
  </x:si>
  <x:si>
    <x:t>25225173</x:t>
  </x:si>
  <x:si>
    <x:t>Día de la Constitución 2025.</x:t>
  </x:si>
  <x:si>
    <x:t>511/2024/09993.1.51</x:t>
  </x:si>
  <x:si>
    <x:t>BREAMO EDITORIAL, S.L.U</x:t>
  </x:si>
  <x:si>
    <x:t>25225175</x:t>
  </x:si>
  <x:si>
    <x:t>MADRID DESTINO CULTURA TURISMO Y NEGOCIO, S.A</x:t>
  </x:si>
  <x:si>
    <x:t>Servicio de organización, producción y exhibición del Proyecto Expositivo “Belenes del Mundo” integrado por cinco exposiciones de belenes de los cinco continentes de la Colección Basanta-Martín.</x:t>
  </x:si>
  <x:si>
    <x:t>PR25-0214.5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</x:si>
</x:sst>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HYPERLINK("https://www.infonalia.es/adjudicaciones1125/25224278.pdf","www.infonalia.es/adjudicaciones1125/25224278.pdf")</x:f>
        <x:v>www.infonalia.es/adjudicaciones1125/25224278.pdf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s">
        <x:v>19</x:v>
      </x:c>
      <x:c r="K2" s="9" t="n">
        <x:v>960000.00</x:v>
      </x:c>
    </x:row>
    <x:row r="3">
      <x:c r="A3" s="6" t="s">
        <x:v>11</x:v>
      </x:c>
      <x:c r="B3" s="6" t="s">
        <x:v>20</x:v>
      </x:c>
      <x:c r="C3" s="6" t="s">
        <x:v>13</x:v>
      </x:c>
      <x:c r="D3" s="7" t="str">
        <x:f xml:space="preserve">HYPERLINK("https://www.infonalia.es/adjudicaciones1125/25224414.pdf","www.infonalia.es/adjudicaciones1125/25224414.pdf")</x:f>
        <x:v>www.infonalia.es/adjudicaciones1125/25224414.pdf</x:v>
      </x:c>
      <x:c r="E3" s="8" t="s">
        <x:v>21</x:v>
      </x:c>
      <x:c r="F3" s="6" t="s">
        <x:v>22</x:v>
      </x:c>
      <x:c r="G3" s="6" t="s">
        <x:v>23</x:v>
      </x:c>
      <x:c r="H3" s="6" t="s">
        <x:v>24</x:v>
      </x:c>
      <x:c r="I3" s="6" t="s">
        <x:v>25</x:v>
      </x:c>
      <x:c r="J3" s="9" t="n">
        <x:v>231358.20</x:v>
      </x:c>
      <x:c r="K3" s="9" t="n">
        <x:v>325856.62</x:v>
      </x:c>
    </x:row>
    <x:row r="4">
      <x:c r="A4" s="6" t="s">
        <x:v>11</x:v>
      </x:c>
      <x:c r="B4" s="6" t="s">
        <x:v>26</x:v>
      </x:c>
      <x:c r="C4" s="6" t="s">
        <x:v>13</x:v>
      </x:c>
      <x:c r="D4" s="7" t="str">
        <x:f xml:space="preserve">HYPERLINK("https://www.infonalia.es/adjudicaciones1125/25224436.pdf","www.infonalia.es/adjudicaciones1125/25224436.pdf")</x:f>
        <x:v>www.infonalia.es/adjudicaciones1125/25224436.pdf</x:v>
      </x:c>
      <x:c r="E4" s="8" t="s">
        <x:v>27</x:v>
      </x:c>
      <x:c r="F4" s="6" t="s">
        <x:v>28</x:v>
      </x:c>
      <x:c r="G4" s="6" t="s">
        <x:v>29</x:v>
      </x:c>
      <x:c r="H4" s="6" t="s">
        <x:v>30</x:v>
      </x:c>
      <x:c r="I4" s="6" t="s">
        <x:v>25</x:v>
      </x:c>
      <x:c r="J4" s="9" t="n">
        <x:v>10800.00</x:v>
      </x:c>
      <x:c r="K4" s="9" t="n">
        <x:v>10950.42</x:v>
      </x:c>
    </x:row>
    <x:row r="5">
      <x:c r="A5" s="6" t="s">
        <x:v>11</x:v>
      </x:c>
      <x:c r="B5" s="6" t="s">
        <x:v>31</x:v>
      </x:c>
      <x:c r="C5" s="6" t="s">
        <x:v>13</x:v>
      </x:c>
      <x:c r="D5" s="7" t="str">
        <x:f xml:space="preserve">HYPERLINK("https://www.infonalia.es/adjudicaciones1125/25224445.pdf","www.infonalia.es/adjudicaciones1125/25224445.pdf")</x:f>
        <x:v>www.infonalia.es/adjudicaciones1125/25224445.pdf</x:v>
      </x:c>
      <x:c r="E5" s="8" t="s">
        <x:v>32</x:v>
      </x:c>
      <x:c r="F5" s="6" t="s">
        <x:v>33</x:v>
      </x:c>
      <x:c r="G5" s="6" t="s">
        <x:v>34</x:v>
      </x:c>
      <x:c r="H5" s="6" t="s">
        <x:v>35</x:v>
      </x:c>
      <x:c r="I5" s="6" t="s">
        <x:v>36</x:v>
      </x:c>
      <x:c r="J5" s="9" t="n">
        <x:v>8320.00</x:v>
      </x:c>
      <x:c r="K5" s="9" t="n">
        <x:v>11743.32</x:v>
      </x:c>
    </x:row>
    <x:row r="6">
      <x:c r="A6" s="6" t="s">
        <x:v>11</x:v>
      </x:c>
      <x:c r="B6" s="6" t="s">
        <x:v>37</x:v>
      </x:c>
      <x:c r="C6" s="6" t="s">
        <x:v>13</x:v>
      </x:c>
      <x:c r="D6" s="7" t="str">
        <x:f xml:space="preserve">HYPERLINK("https://www.infonalia.es/adjudicaciones1125/25224534.pdf","www.infonalia.es/adjudicaciones1125/25224534.pdf")</x:f>
        <x:v>www.infonalia.es/adjudicaciones1125/25224534.pdf</x:v>
      </x:c>
      <x:c r="E6" s="8" t="s">
        <x:v>38</x:v>
      </x:c>
      <x:c r="F6" s="6" t="s">
        <x:v>39</x:v>
      </x:c>
      <x:c r="G6" s="6" t="s">
        <x:v>40</x:v>
      </x:c>
      <x:c r="H6" s="6" t="s">
        <x:v>41</x:v>
      </x:c>
      <x:c r="I6" s="6" t="s">
        <x:v>25</x:v>
      </x:c>
      <x:c r="J6" s="9" t="s">
        <x:v>19</x:v>
      </x:c>
      <x:c r="K6" s="9" t="n">
        <x:v>1061222.57</x:v>
      </x:c>
    </x:row>
    <x:row r="7">
      <x:c r="A7" s="6" t="s">
        <x:v>11</x:v>
      </x:c>
      <x:c r="B7" s="6" t="s">
        <x:v>42</x:v>
      </x:c>
      <x:c r="C7" s="6" t="s">
        <x:v>13</x:v>
      </x:c>
      <x:c r="D7" s="7" t="str">
        <x:f xml:space="preserve">HYPERLINK("https://www.infonalia.es/adjudicaciones1125/25224584.pdf","www.infonalia.es/adjudicaciones1125/25224584.pdf")</x:f>
        <x:v>www.infonalia.es/adjudicaciones1125/25224584.pdf</x:v>
      </x:c>
      <x:c r="E7" s="8" t="s">
        <x:v>43</x:v>
      </x:c>
      <x:c r="F7" s="6" t="s">
        <x:v>44</x:v>
      </x:c>
      <x:c r="G7" s="6" t="s">
        <x:v>45</x:v>
      </x:c>
      <x:c r="H7" s="6" t="s">
        <x:v>46</x:v>
      </x:c>
      <x:c r="I7" s="6" t="s">
        <x:v>25</x:v>
      </x:c>
      <x:c r="J7" s="9" t="n">
        <x:v>49280.00</x:v>
      </x:c>
      <x:c r="K7" s="9" t="n">
        <x:v>58969.65</x:v>
      </x:c>
    </x:row>
    <x:row r="8">
      <x:c r="A8" s="6" t="s">
        <x:v>11</x:v>
      </x:c>
      <x:c r="B8" s="6" t="s">
        <x:v>47</x:v>
      </x:c>
      <x:c r="C8" s="6" t="s">
        <x:v>13</x:v>
      </x:c>
      <x:c r="D8" s="7" t="str">
        <x:f xml:space="preserve">HYPERLINK("https://www.infonalia.es/adjudicaciones1125/25224722.pdf","www.infonalia.es/adjudicaciones1125/25224722.pdf")</x:f>
        <x:v>www.infonalia.es/adjudicaciones1125/25224722.pdf</x:v>
      </x:c>
      <x:c r="E8" s="8" t="s">
        <x:v>48</x:v>
      </x:c>
      <x:c r="F8" s="6" t="s">
        <x:v>49</x:v>
      </x:c>
      <x:c r="G8" s="6" t="s">
        <x:v>50</x:v>
      </x:c>
      <x:c r="H8" s="6" t="s">
        <x:v>51</x:v>
      </x:c>
      <x:c r="I8" s="6" t="s">
        <x:v>25</x:v>
      </x:c>
      <x:c r="J8" s="9" t="n">
        <x:v>52894.76</x:v>
      </x:c>
      <x:c r="K8" s="9" t="n">
        <x:v>59513.14</x:v>
      </x:c>
    </x:row>
    <x:row r="9">
      <x:c r="A9" s="6" t="s">
        <x:v>11</x:v>
      </x:c>
      <x:c r="B9" s="6" t="s">
        <x:v>52</x:v>
      </x:c>
      <x:c r="C9" s="6" t="s">
        <x:v>13</x:v>
      </x:c>
      <x:c r="D9" s="7" t="str">
        <x:f xml:space="preserve">HYPERLINK("https://www.infonalia.es/adjudicaciones1125/25225003.pdf","www.infonalia.es/adjudicaciones1125/25225003.pdf")</x:f>
        <x:v>www.infonalia.es/adjudicaciones1125/25225003.pdf</x:v>
      </x:c>
      <x:c r="E9" s="8" t="s">
        <x:v>53</x:v>
      </x:c>
      <x:c r="F9" s="6" t="s">
        <x:v>54</x:v>
      </x:c>
      <x:c r="G9" s="6" t="s">
        <x:v>55</x:v>
      </x:c>
      <x:c r="H9" s="6" t="s">
        <x:v>56</x:v>
      </x:c>
      <x:c r="I9" s="6" t="s">
        <x:v>25</x:v>
      </x:c>
      <x:c r="J9" s="9" t="n">
        <x:v>45407.10</x:v>
      </x:c>
      <x:c r="K9" s="9" t="n">
        <x:v>47520.66</x:v>
      </x:c>
    </x:row>
    <x:row r="10">
      <x:c r="A10" s="6" t="s">
        <x:v>11</x:v>
      </x:c>
      <x:c r="B10" s="6" t="s">
        <x:v>57</x:v>
      </x:c>
      <x:c r="C10" s="6" t="s">
        <x:v>13</x:v>
      </x:c>
      <x:c r="D10" s="7" t="str">
        <x:f xml:space="preserve">HYPERLINK("https://www.infonalia.es/adjudicaciones1125/25225052.pdf","www.infonalia.es/adjudicaciones1125/25225052.pdf")</x:f>
        <x:v>www.infonalia.es/adjudicaciones1125/25225052.pdf</x:v>
      </x:c>
      <x:c r="E10" s="8" t="s">
        <x:v>58</x:v>
      </x:c>
      <x:c r="F10" s="6" t="s">
        <x:v>59</x:v>
      </x:c>
      <x:c r="G10" s="6" t="s">
        <x:v>60</x:v>
      </x:c>
      <x:c r="H10" s="6" t="s">
        <x:v>61</x:v>
      </x:c>
      <x:c r="I10" s="6" t="s">
        <x:v>62</x:v>
      </x:c>
      <x:c r="J10" s="9" t="n">
        <x:v>40384.30</x:v>
      </x:c>
      <x:c r="K10" s="9" t="n">
        <x:v>40384.30</x:v>
      </x:c>
    </x:row>
    <x:row r="11">
      <x:c r="A11" s="6" t="s">
        <x:v>11</x:v>
      </x:c>
      <x:c r="B11" s="6" t="s">
        <x:v>63</x:v>
      </x:c>
      <x:c r="C11" s="6" t="s">
        <x:v>13</x:v>
      </x:c>
      <x:c r="D11" s="7" t="str">
        <x:f xml:space="preserve">HYPERLINK("https://www.infonalia.es/adjudicaciones1125/25225059.pdf","www.infonalia.es/adjudicaciones1125/25225059.pdf")</x:f>
        <x:v>www.infonalia.es/adjudicaciones1125/25225059.pdf</x:v>
      </x:c>
      <x:c r="E11" s="8" t="s">
        <x:v>64</x:v>
      </x:c>
      <x:c r="F11" s="6" t="s">
        <x:v>59</x:v>
      </x:c>
      <x:c r="G11" s="6" t="s">
        <x:v>65</x:v>
      </x:c>
      <x:c r="H11" s="6" t="s">
        <x:v>66</x:v>
      </x:c>
      <x:c r="I11" s="6" t="s">
        <x:v>62</x:v>
      </x:c>
      <x:c r="J11" s="9" t="n">
        <x:v>29090.91</x:v>
      </x:c>
      <x:c r="K11" s="9" t="n">
        <x:v>29090.91</x:v>
      </x:c>
    </x:row>
    <x:row r="12">
      <x:c r="A12" s="6" t="s">
        <x:v>11</x:v>
      </x:c>
      <x:c r="B12" s="6" t="s">
        <x:v>67</x:v>
      </x:c>
      <x:c r="C12" s="6" t="s">
        <x:v>13</x:v>
      </x:c>
      <x:c r="D12" s="7" t="str">
        <x:f xml:space="preserve">HYPERLINK("https://www.infonalia.es/adjudicaciones1125/25225096.pdf","www.infonalia.es/adjudicaciones1125/25225096.pdf")</x:f>
        <x:v>www.infonalia.es/adjudicaciones1125/25225096.pdf</x:v>
      </x:c>
      <x:c r="E12" s="8" t="s">
        <x:v>68</x:v>
      </x:c>
      <x:c r="F12" s="6" t="s">
        <x:v>59</x:v>
      </x:c>
      <x:c r="G12" s="6" t="s">
        <x:v>69</x:v>
      </x:c>
      <x:c r="H12" s="6" t="s">
        <x:v>70</x:v>
      </x:c>
      <x:c r="I12" s="6" t="s">
        <x:v>62</x:v>
      </x:c>
      <x:c r="J12" s="9" t="n">
        <x:v>52727.27</x:v>
      </x:c>
      <x:c r="K12" s="9" t="n">
        <x:v>52727.27</x:v>
      </x:c>
    </x:row>
    <x:row r="13">
      <x:c r="A13" s="6" t="s">
        <x:v>11</x:v>
      </x:c>
      <x:c r="B13" s="6" t="s">
        <x:v>71</x:v>
      </x:c>
      <x:c r="C13" s="6" t="s">
        <x:v>13</x:v>
      </x:c>
      <x:c r="D13" s="7" t="str">
        <x:f xml:space="preserve">HYPERLINK("https://www.infonalia.es/adjudicaciones1125/25225100.pdf","www.infonalia.es/adjudicaciones1125/25225100.pdf")</x:f>
        <x:v>www.infonalia.es/adjudicaciones1125/25225100.pdf</x:v>
      </x:c>
      <x:c r="E13" s="8" t="s">
        <x:v>72</x:v>
      </x:c>
      <x:c r="F13" s="6" t="s">
        <x:v>73</x:v>
      </x:c>
      <x:c r="G13" s="6" t="s">
        <x:v>74</x:v>
      </x:c>
      <x:c r="H13" s="6" t="s">
        <x:v>75</x:v>
      </x:c>
      <x:c r="I13" s="6" t="s">
        <x:v>25</x:v>
      </x:c>
      <x:c r="J13" s="9" t="n">
        <x:v>943.50</x:v>
      </x:c>
      <x:c r="K13" s="9" t="n">
        <x:v>943.50</x:v>
      </x:c>
    </x:row>
    <x:row r="14">
      <x:c r="A14" s="6" t="s">
        <x:v>11</x:v>
      </x:c>
      <x:c r="B14" s="6" t="s">
        <x:v>76</x:v>
      </x:c>
      <x:c r="C14" s="6" t="s">
        <x:v>13</x:v>
      </x:c>
      <x:c r="D14" s="7" t="str">
        <x:f xml:space="preserve">HYPERLINK("https://www.infonalia.es/adjudicaciones1125/25225169.pdf","www.infonalia.es/adjudicaciones1125/25225169.pdf")</x:f>
        <x:v>www.infonalia.es/adjudicaciones1125/25225169.pdf</x:v>
      </x:c>
      <x:c r="E14" s="8" t="s">
        <x:v>77</x:v>
      </x:c>
      <x:c r="F14" s="6" t="s">
        <x:v>73</x:v>
      </x:c>
      <x:c r="G14" s="6" t="s">
        <x:v>78</x:v>
      </x:c>
      <x:c r="H14" s="6" t="s">
        <x:v>79</x:v>
      </x:c>
      <x:c r="I14" s="6" t="s">
        <x:v>25</x:v>
      </x:c>
      <x:c r="J14" s="9" t="n">
        <x:v>123966.94</x:v>
      </x:c>
      <x:c r="K14" s="9" t="n">
        <x:v>123966.94</x:v>
      </x:c>
    </x:row>
    <x:row r="15">
      <x:c r="A15" s="6" t="s">
        <x:v>11</x:v>
      </x:c>
      <x:c r="B15" s="6" t="s">
        <x:v>76</x:v>
      </x:c>
      <x:c r="C15" s="6" t="s">
        <x:v>13</x:v>
      </x:c>
      <x:c r="D15" s="7" t="str">
        <x:f xml:space="preserve">HYPERLINK("https://www.infonalia.es/adjudicaciones1125/25225173.pdf","www.infonalia.es/adjudicaciones1125/25225173.pdf")</x:f>
        <x:v>www.infonalia.es/adjudicaciones1125/25225173.pdf</x:v>
      </x:c>
      <x:c r="E15" s="8" t="s">
        <x:v>80</x:v>
      </x:c>
      <x:c r="F15" s="6" t="s">
        <x:v>73</x:v>
      </x:c>
      <x:c r="G15" s="6" t="s">
        <x:v>81</x:v>
      </x:c>
      <x:c r="H15" s="6" t="s">
        <x:v>82</x:v>
      </x:c>
      <x:c r="I15" s="6" t="s">
        <x:v>25</x:v>
      </x:c>
      <x:c r="J15" s="9" t="n">
        <x:v>123966.94</x:v>
      </x:c>
      <x:c r="K15" s="9" t="n">
        <x:v>123966.94</x:v>
      </x:c>
    </x:row>
    <x:row r="16">
      <x:c r="A16" s="6" t="s">
        <x:v>11</x:v>
      </x:c>
      <x:c r="B16" s="6" t="s">
        <x:v>83</x:v>
      </x:c>
      <x:c r="C16" s="6" t="s">
        <x:v>13</x:v>
      </x:c>
      <x:c r="D16" s="7" t="str">
        <x:f xml:space="preserve">HYPERLINK("https://www.infonalia.es/adjudicaciones1125/25225175.pdf","www.infonalia.es/adjudicaciones1125/25225175.pdf")</x:f>
        <x:v>www.infonalia.es/adjudicaciones1125/25225175.pdf</x:v>
      </x:c>
      <x:c r="E16" s="8" t="s">
        <x:v>84</x:v>
      </x:c>
      <x:c r="F16" s="6" t="s">
        <x:v>85</x:v>
      </x:c>
      <x:c r="G16" s="6" t="s">
        <x:v>86</x:v>
      </x:c>
      <x:c r="H16" s="6" t="s">
        <x:v>87</x:v>
      </x:c>
      <x:c r="I16" s="6" t="s">
        <x:v>25</x:v>
      </x:c>
      <x:c r="J16" s="9" t="n">
        <x:v>40000.00</x:v>
      </x:c>
      <x:c r="K16" s="9" t="n">
        <x:v>40000.00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