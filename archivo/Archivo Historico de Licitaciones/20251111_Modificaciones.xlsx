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Modificaciones" sheetId="1" r:id="rId1"/>
  </x:sheets>
  <x:definedNames>
    <x:definedName name="_xlnm._FilterDatabase" localSheetId="0" hidden="1">Modificaciones!$A$1:$F$1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<x:sst xmlns:x="http://schemas.openxmlformats.org/spreadsheetml/2006/main" count="6" uniqueCount="6">
  <x:si>
    <x:t>Referencia</x:t>
  </x:si>
  <x:si>
    <x:t>Tipo</x:t>
  </x:si>
  <x:si>
    <x:t>OrganismoConvocante</x:t>
  </x:si>
  <x:si>
    <x:t>Objeto</x:t>
  </x:si>
  <x:si>
    <x:t>Modificación</x:t>
  </x:si>
  <x:si>
    <x:t>Anuncio</x:t>
  </x:si>
  <x:si>
    <x:t>2025073836</x:t>
  </x:si>
  <x:si>
    <x:t>Renuncia</x:t>
  </x:si>
  <x:si>
    <x:t>JUNTA DE CONTRATACIÓN DEL MINISTERIO DE LA PRESIDENCIA, JUSTICIA Y RELACIONES CON LAS CORTES</x:t>
  </x:si>
  <x:si>
    <x:t>Contratación de diseño de la creatividad y de la estrategia de una campaña de publicidad con motivo del 47 aniversario de la Constitución Española</x:t>
  </x:si>
  <x:si>
    <x:t>2025147790</x:t>
  </x:si>
  <x:si>
    <x:t>Aclaración / Ampliación de pliegos</x:t>
  </x:si>
  <x:si>
    <x:t>LA RIOJA 360 GRADOS AVANZA, SOCIEDAD DE PROMOCIÓN DE LA RIOJA, SAU</x:t>
  </x:si>
  <x:si>
    <x:t>Promoción de La Rioja como destino turístico y de negocio a través de acciones de patrocinio en el ámbito del transporte aéreo de viajeros en la ruta entre Logroño y Barcelona.</x:t>
  </x:si>
  <x:si>
    <x:t>2025155305</x:t>
  </x:si>
  <x:si>
    <x:t>AYUNTAMIENTO DE LLEIDA</x:t>
  </x:si>
  <x:si>
    <x:t>Contratación de un servicio de fotografía y vídeo profesional por el Ayuntamiento de Lleida y establecimiento de un mecanismo de trabajo profesional audiovisual en relación con los actos oficiales y actividades municipales que dependen de la Sección de Comunicación. Organizar un sistema de trabajo para la realización, retoque y archivo de las fotografías y vídeos solicitadas por la Sección de Comunicación.</x:t>
  </x:si>
  <x:si>
    <x:t>2025157031</x:t>
  </x:si>
  <x:si>
    <x:t>CONSORCI MUSEU NACIONAL DE ART DE CATALUNYA</x:t>
  </x:si>
  <x:si>
    <x:t>Producción, suministro, montaje y desmontaje de museografía e instalación y desintalación de obra de arte de la exposición temporal “Los depósitos franquistas del SDPAN en el Museo Nacional” en las salas 63, 64, con medidas de contratación pública responsable social y ambiental.</x:t>
  </x:si>
  <x:si>
    <x:t>2025158493</x:t>
  </x:si>
  <x:si>
    <x:t>JUNTA DE ANDALUCÍA. AGENCIA EMPRESARIAL PARA LA TRANSFORMACIÓN Y EL DESARROLLO ECONÓMICO</x:t>
  </x:si>
  <x:si>
    <x:t>Servicios a demanda relacionados con la internacionalización de empresas andaluzas en Indonesia, Singapur y Malasia.</x:t>
  </x:si>
  <x:si>
    <x:t>2025158700</x:t>
  </x:si>
  <x:si>
    <x:t>MINISTERIO DE DEFENSA. INTENDENCIA DE MADRID</x:t>
  </x:si>
  <x:si>
    <x:t>T.A Asistencia Técnica para la elaboración del plan de comunicación y su seguimiento durante la conmemoración del centenario del Buque Escuela JSE.</x:t>
  </x:si>
  <x:si>
    <x:t>2025158708</x:t>
  </x:si>
  <x:si>
    <x:t>SECRETARÍA GENERAL DE LA FEDERACIÓN ESPAÑOLA DE MUNICIPIOS Y PROVINCIAS</x:t>
  </x:si>
  <x:si>
    <x:t>Contrato de los servicios para el diseño y desarrollo y de una red de ontologías aplicables al ámbito Smart City en el espacio de datos de infraestructuras urbanas inteligentes (EDINT), en el marco del Plan de Recuperación, Transformación y Resiliencia financiado por la Unión Europea – Next Generation EU.</x:t>
  </x:si>
  <x:si>
    <x:t>2025159126</x:t>
  </x:si>
  <x:si>
    <x:t>UNIVERSITAT ROVIRA I VIRGILI</x:t>
  </x:si>
  <x:si>
    <x:t>Servicio de diseño, producción, transporte de materiales, mantenimiento, montaje y desmontaje del stand de la Universidad Rovira i Virgili en el Salón de la Enseñanza de Barcelona SE 11/26</x:t>
  </x:si>
</x:sst>
</file>

<file path=xl/styles.xml><?xml version="1.0" encoding="utf-8"?>
<styleSheet xmlns="http://schemas.openxmlformats.org/spreadsheetml/2006/main"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0" fontId="1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F2"/>
  <x:sheetViews>
    <x:sheetView showGridLines="0" tabSelected="1" zoomScaleNormal="100" workbookViewId="0">
      <x:selection sqref="A1:XFD1"/>
    </x:sheetView>
  </x:sheetViews>
  <x:sheetFormatPr baseColWidth="10" defaultColWidth="11.5703125" defaultRowHeight="12.75"/>
  <x:cols>
    <x:col min="1" max="1" width="11" style="1" customWidth="1"/>
    <x:col min="2" max="2" width="26.140625" style="1" customWidth="1"/>
    <x:col min="3" max="3" width="25" style="1" customWidth="1"/>
    <x:col min="4" max="4" width="48.85546875" style="1" customWidth="1"/>
    <x:col min="5" max="5" width="41.42578125" style="1" customWidth="1"/>
    <x:col min="6" max="6" width="38.7109375" style="1" customWidth="1"/>
    <x:col min="7" max="16384" width="11.5703125" style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3" t="s">
        <x:v>6</x:v>
      </x:c>
      <x:c r="B2" s="4" t="s">
        <x:v>7</x:v>
      </x:c>
      <x:c r="C2" s="4" t="s">
        <x:v>8</x:v>
      </x:c>
      <x:c r="D2" s="4" t="s">
        <x:v>9</x:v>
      </x:c>
      <x:c r="E2" s="5" t="str">
        <x:f xml:space="preserve">HYPERLINK("https://www.infonalia.es/modificaciones1125/2025073836.pdf","www.infonalia.es/modificaciones1125/2025073836.pdf")</x:f>
        <x:v>www.infonalia.es/modificaciones1125/2025073836.pdf</x:v>
      </x:c>
      <x:c r="F2" s="5" t="str">
        <x:f xml:space="preserve">HYPERLINK("https://www.infonalia.es/licitaciones0625/2025073836.pdf","www.infonalia.es/licitaciones0625/2025073836.pdf")</x:f>
        <x:v>www.infonalia.es/licitaciones0625/2025073836.pdf</x:v>
      </x:c>
    </x:row>
    <x:row r="3">
      <x:c r="A3" s="3" t="s">
        <x:v>10</x:v>
      </x:c>
      <x:c r="B3" s="4" t="s">
        <x:v>11</x:v>
      </x:c>
      <x:c r="C3" s="4" t="s">
        <x:v>12</x:v>
      </x:c>
      <x:c r="D3" s="4" t="s">
        <x:v>13</x:v>
      </x:c>
      <x:c r="E3" s="5" t="str">
        <x:f xml:space="preserve">HYPERLINK("https://www.infonalia.es/modificaciones1125/2025147790.pdf","www.infonalia.es/modificaciones1125/2025147790.pdf")</x:f>
        <x:v>www.infonalia.es/modificaciones1125/2025147790.pdf</x:v>
      </x:c>
      <x:c r="F3" s="5" t="str">
        <x:f xml:space="preserve">HYPERLINK("https://www.infonalia.es/licitaciones1025/2025147790.pdf","www.infonalia.es/licitaciones1025/2025147790.pdf")</x:f>
        <x:v>www.infonalia.es/licitaciones1025/2025147790.pdf</x:v>
      </x:c>
    </x:row>
    <x:row r="4">
      <x:c r="A4" s="3" t="s">
        <x:v>14</x:v>
      </x:c>
      <x:c r="B4" s="4" t="s">
        <x:v>11</x:v>
      </x:c>
      <x:c r="C4" s="4" t="s">
        <x:v>15</x:v>
      </x:c>
      <x:c r="D4" s="4" t="s">
        <x:v>16</x:v>
      </x:c>
      <x:c r="E4" s="5" t="str">
        <x:f xml:space="preserve">HYPERLINK("https://www.infonalia.es/modificaciones1125/2025155305.pdf","www.infonalia.es/modificaciones1125/2025155305.pdf")</x:f>
        <x:v>www.infonalia.es/modificaciones1125/2025155305.pdf</x:v>
      </x:c>
      <x:c r="F4" s="5" t="str">
        <x:f xml:space="preserve">HYPERLINK("https://www.infonalia.es/licitaciones1125/2025155305.pdf","www.infonalia.es/licitaciones1125/2025155305.pdf")</x:f>
        <x:v>www.infonalia.es/licitaciones1125/2025155305.pdf</x:v>
      </x:c>
    </x:row>
    <x:row r="5">
      <x:c r="A5" s="3" t="s">
        <x:v>17</x:v>
      </x:c>
      <x:c r="B5" s="4" t="s">
        <x:v>11</x:v>
      </x:c>
      <x:c r="C5" s="4" t="s">
        <x:v>18</x:v>
      </x:c>
      <x:c r="D5" s="4" t="s">
        <x:v>19</x:v>
      </x:c>
      <x:c r="E5" s="5" t="str">
        <x:f xml:space="preserve">HYPERLINK("https://www.infonalia.es/modificaciones1125/2025157031.pdf","www.infonalia.es/modificaciones1125/2025157031.pdf")</x:f>
        <x:v>www.infonalia.es/modificaciones1125/2025157031.pdf</x:v>
      </x:c>
      <x:c r="F5" s="5" t="str">
        <x:f xml:space="preserve">HYPERLINK("https://www.infonalia.es/licitaciones1125/2025157031.pdf","www.infonalia.es/licitaciones1125/2025157031.pdf")</x:f>
        <x:v>www.infonalia.es/licitaciones1125/2025157031.pdf</x:v>
      </x:c>
    </x:row>
    <x:row r="6">
      <x:c r="A6" s="3" t="s">
        <x:v>20</x:v>
      </x:c>
      <x:c r="B6" s="4" t="s">
        <x:v>11</x:v>
      </x:c>
      <x:c r="C6" s="4" t="s">
        <x:v>21</x:v>
      </x:c>
      <x:c r="D6" s="4" t="s">
        <x:v>22</x:v>
      </x:c>
      <x:c r="E6" s="5" t="str">
        <x:f xml:space="preserve">HYPERLINK("https://www.infonalia.es/modificaciones1125/2025158493.pdf","www.infonalia.es/modificaciones1125/2025158493.pdf")</x:f>
        <x:v>www.infonalia.es/modificaciones1125/2025158493.pdf</x:v>
      </x:c>
      <x:c r="F6" s="5" t="str">
        <x:f xml:space="preserve">HYPERLINK("https://www.infonalia.es/licitaciones1125/2025158493.pdf","www.infonalia.es/licitaciones1125/2025158493.pdf")</x:f>
        <x:v>www.infonalia.es/licitaciones1125/2025158493.pdf</x:v>
      </x:c>
    </x:row>
    <x:row r="7">
      <x:c r="A7" s="3" t="s">
        <x:v>23</x:v>
      </x:c>
      <x:c r="B7" s="4" t="s">
        <x:v>11</x:v>
      </x:c>
      <x:c r="C7" s="4" t="s">
        <x:v>24</x:v>
      </x:c>
      <x:c r="D7" s="4" t="s">
        <x:v>25</x:v>
      </x:c>
      <x:c r="E7" s="5" t="str">
        <x:f xml:space="preserve">HYPERLINK("https://www.infonalia.es/modificaciones1125/2025158700.pdf","www.infonalia.es/modificaciones1125/2025158700.pdf")</x:f>
        <x:v>www.infonalia.es/modificaciones1125/2025158700.pdf</x:v>
      </x:c>
      <x:c r="F7" s="5" t="str">
        <x:f xml:space="preserve">HYPERLINK("https://www.infonalia.es/licitaciones1125/2025158700.pdf","www.infonalia.es/licitaciones1125/2025158700.pdf")</x:f>
        <x:v>www.infonalia.es/licitaciones1125/2025158700.pdf</x:v>
      </x:c>
    </x:row>
    <x:row r="8">
      <x:c r="A8" s="3" t="s">
        <x:v>26</x:v>
      </x:c>
      <x:c r="B8" s="4" t="s">
        <x:v>11</x:v>
      </x:c>
      <x:c r="C8" s="4" t="s">
        <x:v>27</x:v>
      </x:c>
      <x:c r="D8" s="4" t="s">
        <x:v>28</x:v>
      </x:c>
      <x:c r="E8" s="5" t="str">
        <x:f xml:space="preserve">HYPERLINK("https://www.infonalia.es/modificaciones1125/2025158708.pdf","www.infonalia.es/modificaciones1125/2025158708.pdf")</x:f>
        <x:v>www.infonalia.es/modificaciones1125/2025158708.pdf</x:v>
      </x:c>
      <x:c r="F8" s="5" t="str">
        <x:f xml:space="preserve">HYPERLINK("https://www.infonalia.es/licitaciones1125/2025158708.pdf","www.infonalia.es/licitaciones1125/2025158708.pdf")</x:f>
        <x:v>www.infonalia.es/licitaciones1125/2025158708.pdf</x:v>
      </x:c>
    </x:row>
    <x:row r="9">
      <x:c r="A9" s="3" t="s">
        <x:v>29</x:v>
      </x:c>
      <x:c r="B9" s="4" t="s">
        <x:v>11</x:v>
      </x:c>
      <x:c r="C9" s="4" t="s">
        <x:v>30</x:v>
      </x:c>
      <x:c r="D9" s="4" t="s">
        <x:v>31</x:v>
      </x:c>
      <x:c r="E9" s="5" t="str">
        <x:f xml:space="preserve">HYPERLINK("https://www.infonalia.es/modificaciones1125/2025159126.pdf","www.infonalia.es/modificaciones1125/2025159126.pdf")</x:f>
        <x:v>www.infonalia.es/modificaciones1125/2025159126.pdf</x:v>
      </x:c>
      <x:c r="F9" s="5" t="str">
        <x:f xml:space="preserve">HYPERLINK("https://www.infonalia.es/licitaciones1125/2025159126.pdf","www.infonalia.es/licitaciones1125/2025159126.pdf")</x:f>
        <x:v>www.infonalia.es/licitaciones1125/2025159126.pdf</x:v>
      </x:c>
    </x:row>
  </x:sheetData>
  <x:autoFilter ref="A1:F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2024-12-04T08:51:00Z</dcterms:created>
  <dcterms:modified xsi:type="dcterms:W3CDTF">2025-01-20T07:55:35Z</dcterms:modified>
  <dc:language>es-ES</dc:language>
</cp:coreProperties>
</file>