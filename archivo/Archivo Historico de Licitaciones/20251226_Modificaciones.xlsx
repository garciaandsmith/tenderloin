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<x:sst xmlns:x="http://schemas.openxmlformats.org/spreadsheetml/2006/main" count="6" uniqueCount="6">
  <x:si>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</x:si>
  <x:si>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</x:si>
  <x:si>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</x:si>
  <x:si>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</x:si>
  <x:si>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</x:si>
  <x:si>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</x:si>
  <x:si>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2025176327</x:t>
  </x:si>
  <x:si>
    <x:t>Aclaración / Ampliación de pliegos</x:t>
  </x:si>
  <x:si>
    <x:t>AYUNTAMIENTO DE SANTA COLOMA DE GRAMENET (BARCELONA)</x:t>
  </x:si>
  <x:si>
    <x:t>Servicios de una central de medios para la gestión e inserción de la publicidad institucional del Ayuntamiento de Santa Coloma de Gramenet (2 lotes). Lote 1: Publicidad institucional. Lote 2: Anuncios oficiales.</x:t>
  </x:si>
  <x:si>
    <x:t>2025181983</x:t>
  </x:si>
  <x:si>
    <x:t>CONSEJERÍA DE PRESIDENCIA, RETO DEMOGRÁFICO, IGUALDAD Y TURISMO DEL PRINCIPADO DE ASTURIAS</x:t>
  </x:si>
  <x:si>
    <x:t>Servicios de creatividad y planificación de medios para una campaña de publicidad sobre las deducciones fiscales autonómicas a las que se pueden acoger los ciudadanos de la Comunidad Autónoma durante las campañas de la renta 2025 y 2026. Lote 1: Creatividad, producción y estrategia de despliegue. Lote 2: Plan de medios.</x:t>
  </x:si>
  <x:si>
    <x:t>2025182008</x:t>
  </x:si>
  <x:si>
    <x:t>Corrección de errores</x:t>
  </x:si>
  <x:si>
    <x:t>MINISTERIO DE DEFENSA. CONSEJERO DELEGADO DE INGENIERÍA DE SISTEMAS PARA LA DEFENSA DE ESPAÑA S.A., S.M.E. Y M.P.</x:t>
  </x:si>
  <x:si>
    <x:t>Contratación de servicios de apoyo a la comunicación audiovisual del área de información y captación del Ministerios de Defensa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</x:si>
</x:sst>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HYPERLINK("https://www.infonalia.es/modificaciones1225/2025176327.pdf","www.infonalia.es/modificaciones1225/2025176327.pdf")</x:f>
        <x:v>www.infonalia.es/modificaciones1225/2025176327.pdf</x:v>
      </x:c>
      <x:c r="F2" s="5" t="str">
        <x:f xml:space="preserve">HYPERLINK("https://www.infonalia.es/licitaciones1225/2025176327.pdf","www.infonalia.es/licitaciones1225/2025176327.pdf")</x:f>
        <x:v>www.infonalia.es/licitaciones1225/2025176327.pdf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HYPERLINK("https://www.infonalia.es/modificaciones1225/2025181983.pdf","www.infonalia.es/modificaciones1225/2025181983.pdf")</x:f>
        <x:v>www.infonalia.es/modificaciones1225/2025181983.pdf</x:v>
      </x:c>
      <x:c r="F3" s="5" t="str">
        <x:f xml:space="preserve">HYPERLINK("https://www.infonalia.es/licitaciones1225/2025181983.pdf","www.infonalia.es/licitaciones1225/2025181983.pdf")</x:f>
        <x:v>www.infonalia.es/licitaciones1225/2025181983.pdf</x:v>
      </x:c>
    </x:row>
    <x:row r="4">
      <x:c r="A4" s="3" t="s">
        <x:v>13</x:v>
      </x:c>
      <x:c r="B4" s="4" t="s">
        <x:v>14</x:v>
      </x:c>
      <x:c r="C4" s="4" t="s">
        <x:v>15</x:v>
      </x:c>
      <x:c r="D4" s="4" t="s">
        <x:v>16</x:v>
      </x:c>
      <x:c r="E4" s="5" t="str">
        <x:f xml:space="preserve">HYPERLINK("https://www.infonalia.es/modificaciones1225/2025182008.pdf","www.infonalia.es/modificaciones1225/2025182008.pdf")</x:f>
        <x:v>www.infonalia.es/modificaciones1225/2025182008.pdf</x:v>
      </x:c>
      <x:c r="F4" s="5" t="str">
        <x:f xml:space="preserve">HYPERLINK("https://www.infonalia.es/licitaciones1225/2025182008.pdf","www.infonalia.es/licitaciones1225/2025182008.pdf")</x:f>
        <x:v>www.infonalia.es/licitaciones1225/2025182008.pdf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