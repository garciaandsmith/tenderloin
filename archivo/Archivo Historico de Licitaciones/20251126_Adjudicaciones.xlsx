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Adjudicaciones" sheetId="1" r:id="rId1"/>
  </x:sheets>
  <x:definedNames>
    <x:definedName name="_xlnm._FilterDatabase" localSheetId="0" hidden="1">Adjudicaciones!$A$1:$K$1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<x:sst xmlns:x="http://schemas.openxmlformats.org/spreadsheetml/2006/main" count="11" uniqueCount="11">
  <x:si>
    <x:t>Tipo Adjudicacion</x:t>
  </x:si>
  <x:si>
    <x:t>Contratista</x:t>
  </x:si>
  <x:si>
    <x:t>Fecha</x:t>
  </x:si>
  <x:si>
    <x:t>Pdf Adjudicacion</x:t>
  </x:si>
  <x:si>
    <x:t>Referencia</x:t>
  </x:si>
  <x:si>
    <x:t>Organismo Convocante</x:t>
  </x:si>
  <x:si>
    <x:t>Objeto</x:t>
  </x:si>
  <x:si>
    <x:t>Nº Expediente</x:t>
  </x:si>
  <x:si>
    <x:t>Lugar Ejecucion</x:t>
  </x:si>
  <x:si>
    <x:t>Importe Adjudicacion</x:t>
  </x:si>
  <x:si>
    <x:t>Presupuesto Licitacion</x:t>
  </x:si>
  <x:si>
    <x:t>Adjudicado</x:t>
  </x:si>
  <x:si>
    <x:t>MODULA COMMUNICATION, S.L</x:t>
  </x:si>
  <x:si>
    <x:t>26/11/2025 0:00:00</x:t>
  </x:si>
  <x:si>
    <x:t>25234603</x:t>
  </x:si>
  <x:si>
    <x:t>UNIVERSITAT DE BARCELONA</x:t>
  </x:si>
  <x:si>
    <x:t>Servicio de comunicación y promoción del Servicio de Deportes de la Universidad de Barcelona para potenciar la presencia del Servicio de Deportes y de la actividad física y salud entre la comunidad universitaria, de acuerdo con lo indicado en el pliego de prescripciones técnicas. El ámbito objetivo comprende: a) Estrategia y planificación de comunicación. b) Producción de contenidos y gestión de canales. c) Producción semanal de vídeos breves sobre las competiciones deportivas universitarias. d) Materiales gráficos. e) Comunicación institucional y relación con medios. f) Evaluación e informes. Ver el alcance objetivo en detalle en los puntos 3 del pliego de prescripciones técnicas</x:t>
  </x:si>
  <x:si>
    <x:t>2025/112</x:t>
  </x:si>
  <x:si>
    <x:t>Barcelona</x:t>
  </x:si>
  <x:si>
    <x:t>Ver detalle de la adjudicación</x:t>
  </x:si>
  <x:si>
    <x:t>E2S CREATIVA, SL</x:t>
  </x:si>
  <x:si>
    <x:t>25234615</x:t>
  </x:si>
  <x:si>
    <x:t>AYUNTAMIENTO DE CERDANYOLA DEL VALLÈS (BARCELONA)</x:t>
  </x:si>
  <x:si>
    <x:t>Servicio de creatividad, conceptualización, diseño y producción de una campaña institucional para profundizar, difundir y reafirmar mediante el personaje del Hada Alba la marca “Cerdanyola Ciudad del Conocimiento”</x:t>
  </x:si>
  <x:si>
    <x:t>154/2025/0031</x:t>
  </x:si>
  <x:si>
    <x:t>LOTE 1 FERNANDEZ MIRANDA SA; LOTE 2 REALIZACIONES PUBLICITARIAS GAMA S.L </x:t>
  </x:si>
  <x:si>
    <x:t>25234662</x:t>
  </x:si>
  <x:si>
    <x:t>JUNTA DE GOBIERNO DEL AYUNTAMIENTO DE POZUELO DE ALARCÓN (MADRID)</x:t>
  </x:si>
  <x:si>
    <x:t>Servicio de impresión, montaje, mantenimiento y desmontaje de lonas y banderolas y la maquetación, producción y, en su caso, colocación de material gráfico en espacios con programación cultural.</x:t>
  </x:si>
  <x:si>
    <x:t>2025/PA/022</x:t>
  </x:si>
  <x:si>
    <x:t>Madrid</x:t>
  </x:si>
  <x:si>
    <x:t>LAVOLA 1981, SAU</x:t>
  </x:si>
  <x:si>
    <x:t>25234816</x:t>
  </x:si>
  <x:si>
    <x:t>AYUNTAMIENTO DE SANTA COLOMA DE GRAMENET (BARCELONA)</x:t>
  </x:si>
  <x:si>
    <x:t>El suministro de carpetas didácticas destinadas al alumnado de primaria (ciclos medio y superior) y secundaria (ESO), orientadas a dar a conocer el Refugio de Biodiversidad del río Besòs – Fase II en el término municipal de Santa Coloma de Gramenet, y fomentar la educación ambiental y el conocimiento de la biodiversidad urbana. El objeto incluye, como prestaciones necesarias y asociadas, el diseño gráfico, la redacción de contenidos, la maquetación y la producción de las citadas carpetas, de acuerdo con las características, cantidades y condiciones que establece el Pliego de Prescripciones Técnicas (PPT). El contrato tiene la naturaleza de contrato mixto al integrar prestaciones de suministro y servicios. Dada la preponderancia económica y funcional del suministro, que representa el 70,69% del presupuesto estimado de licitación, el régimen jurídico aplicable será el propio de los contratos de suministro, restando las prestaciones de diseño, redacción, maquetación y producción como accesorias e indispensables para la adecuada ejecución del objeto principal. Complementariamente, es objeto del contrato mejorar el medio ambiente y el fomento de principios de economía circular de carácter ambiental y evitar posibles impactos negativos significativos en el medio ambiente (DNSH).</x:t>
  </x:si>
  <x:si>
    <x:t>2025-SUB-OSA-17</x:t>
  </x:si>
  <x:si>
    <x:t>LOTE 1 MERCER CONSULTING SL; LOTE 2 AON CONSULTING SERVICES SA; LOTE 3 CHEQUE DEJEUNER ESPAÑA SA </x:t>
  </x:si>
  <x:si>
    <x:t>25234854</x:t>
  </x:si>
  <x:si>
    <x:t>ADIF - PRESIDENCIA</x:t>
  </x:si>
  <x:si>
    <x:t>Servicios para la gestión integral del Plan de Retribución Flexible 2026 2027 de ADIF / ADIF AV en régimen de pedido abierto. 3 Lotes. Lote 1: Gestión integral de todos los productos del PRF. Lote 2: Mediación para contratación de Seguros Médicos. Lote 3: Gestión y distribución de productos Restaurante, Guardería, Transporte y Formación.</x:t>
  </x:si>
  <x:si>
    <x:t>2.25/04110.0114</x:t>
  </x:si>
  <x:si>
    <x:t>Ver pliegos</x:t>
  </x:si>
  <x:si>
    <x:t>SPICA, S.L</x:t>
  </x:si>
  <x:si>
    <x:t>25234880</x:t>
  </x:si>
  <x:si>
    <x:t>JUNTA DE GOBIERNO DEL AYUNTAMIENTO DE PARLA (MADRID)</x:t>
  </x:si>
  <x:si>
    <x:t>Suministro e implementación de equipamiento de grabación y sonido para el salón de plenos en régimen de alquiler con opción a compra y el servicio de emisión, alojamiento y retransmisión de sesiones del Pleno Municipal en el Ayuntamiento de Parla</x:t>
  </x:si>
  <x:si>
    <x:t>76/25 AYTOPARLA</x:t>
  </x:si>
  <x:si>
    <x:t>LIGHT-EXPO SERVICIOS CULTURALES S.L</x:t>
  </x:si>
  <x:si>
    <x:t>25234883</x:t>
  </x:si>
  <x:si>
    <x:t>JUNTA RECTORA DE LA FUNDACIÓN MUNICIPAL DE CULTURA, EDUCACIÓN Y UNIVERSIDAD POPULAR DEL AYUNTAMIENTO DE GIJÓN (ASTURIAS)</x:t>
  </x:si>
  <x:si>
    <x:t>Servicio de Infraestructra y Atención Técnica para FETEN 2026.</x:t>
  </x:si>
  <x:si>
    <x:t>106178Q/2025</x:t>
  </x:si>
  <x:si>
    <x:t>Asturias</x:t>
  </x:si>
  <x:si>
    <x:t>TELEVISIONS DIGITALS INDEPENDENTS A.I.E</x:t>
  </x:si>
  <x:si>
    <x:t>25234953</x:t>
  </x:si>
  <x:si>
    <x:t>FUNDACIÓ BARCELONA MOBILE WORLD CAPITAL FOUNDATION</x:t>
  </x:si>
  <x:si>
    <x:t>Servicio de retransmisión del Mobile World Live TV durante el MWC Barcelona 2026 por parte de Fundación Barcelona Mobile World Capital Foundation (Exp. A/F202522/S).</x:t>
  </x:si>
  <x:si>
    <x:t>A/F202522/S</x:t>
  </x:si>
  <x:si>
    <x:t>BE LIT STUDIO, S.L</x:t>
  </x:si>
  <x:si>
    <x:t>25234954</x:t>
  </x:si>
  <x:si>
    <x:t>AYUNTAMIENTO DE VILA-SECA (TARRAGONA)</x:t>
  </x:si>
  <x:si>
    <x:t>Creación, diseño, producción y realización de los contenidos audiovisuales de la Bodega de Vila-seca en el marco del proyecto de mejora de tecnología inmersiva.</x:t>
  </x:si>
  <x:si>
    <x:t>9153/2024</x:t>
  </x:si>
  <x:si>
    <x:t>Tarragona</x:t>
  </x:si>
  <x:si>
    <x:t>VIAJES EL CORTE INGLÉS, S.A</x:t>
  </x:si>
  <x:si>
    <x:t>25234955</x:t>
  </x:si>
  <x:si>
    <x:t>El objeto del presente contrato consiste en la prestación de un servicio de diseño, producción, ejecución y otros servicios asociados del espacio expositivo de MWCapital en 4YFN 2026, que tendrá lugar los días 2, 3, 4 y 5 de marzo de 2026 en el recinto ferial de Fira de Barcelona (Recinto de Gran Vía, Hall 8.1 y 8.0) en Barcelona.</x:t>
  </x:si>
  <x:si>
    <x:t>A/F202520/S</x:t>
  </x:si>
  <x:si>
    <x:t>FESTES INFANTILS MOBILPARC. S.L</x:t>
  </x:si>
  <x:si>
    <x:t>25234980</x:t>
  </x:si>
  <x:si>
    <x:t>AYUNTAMIENTO DE BARBERÀ DEL VALLÈS (BARCELONA)</x:t>
  </x:si>
  <x:si>
    <x:t>Contratación mixta del servicio de gestión integral del Parque de Navidad Barbamec 2026 (período de Navidad 2025-2026) que junto a su codificación, figura en el apartado A) del cuadro de características anexo (Anexo 1). En la licitación y ejecución del contrato regirán, además de la normativa legal aplicable, el Pliego de cláusulas administrativas particulares y el Pliego de prescripciones técnicas (PPT) (Anexo 2)</x:t>
  </x:si>
  <x:si>
    <x:t>N774250068</x:t>
  </x:si>
  <x:si>
    <x:t>ESTRATECNO S.L</x:t>
  </x:si>
  <x:si>
    <x:t>25235014</x:t>
  </x:si>
  <x:si>
    <x:t>JUNTA DE COMPRAS DE INFORMA DB, S.A</x:t>
  </x:si>
  <x:si>
    <x:t>Servicio de asesoramiento y apoyo para la implantación de un modelo operativo orientado al producto a través del uso de metodologías ágiles a escala para INFORMA D&amp;B, S.A.U. (SME)</x:t>
  </x:si>
  <x:si>
    <x:t>2025-033</x:t>
  </x:si>
  <x:si>
    <x:t>ONDA VISUAL APLICACIONES, S.L</x:t>
  </x:si>
  <x:si>
    <x:t>25235082</x:t>
  </x:si>
  <x:si>
    <x:t>FUNDACIÓN CANAL DE ISABEL II</x:t>
  </x:si>
  <x:si>
    <x:t>Servicios de asistencia técnica integral para la celebración y eventual grabación y retransmisión de actividades presenciales celebradas en el auditorio de la sede de la Fundación Canal.</x:t>
  </x:si>
  <x:si>
    <x:t>202504</x:t>
  </x:si>
  <x:si>
    <x:t>2003 DYLUNIO SA</x:t>
  </x:si>
  <x:si>
    <x:t>25235179</x:t>
  </x:si>
  <x:si>
    <x:t>DIRECCIÓN DE BARCELONA SUPERCOMPUTING CENTER - CENTRO NACIONAL DE SUPERCOMPUTACIÓN (BSC-CNS)</x:t>
  </x:si>
  <x:si>
    <x:t>Servicio de conceptualización, montaje y desmontaje del stand del BSC-CNS en el congreso 4YFN. 2026, que tendrá lugar del 2 al 5 de marzo de 2026, en un estand ubicado en el Hall 8.1 del Recinto Fira Gran Via de Barcelona (L’Hospitalet de Llobregat).</x:t>
  </x:si>
  <x:si>
    <x:t>CONSER02025032OP</x:t>
  </x:si>
  <x:si>
    <x:t>LOTE 1 AUBAY SPAIN SAU; LOTE 2 SLASH MOBILITY SL </x:t>
  </x:si>
  <x:si>
    <x:t>25235241</x:t>
  </x:si>
  <x:si>
    <x:t>BARCELONA ACTIVA SAU SPM</x:t>
  </x:si>
  <x:si>
    <x:t>Servicios de diseño, creación e impartición de la formación de determinadas especialidades del catálogo de oferta permanente o estable de formación tecnológica de Barcelona Activa (Cibernàrium). Lote 1 Actividades de formación relacionadas con herramientas tecnológicas, soluciones y metodologías para la gestión empresarial, mejora de la productividad y el trabajo en colaboración: gestión de proyectos, gestión del tiempo, información compartida, trabajo en equipo. Lote 2 actividades de formación relacionadas con el tratamiento, análisis y visualización de datos con Microsoft. Principales herramientas y lenguajes utilizados en este campo, Excel, Microsoft SQL Server, Power BI, Microsoft Dataverse, Azure Data Factory</x:t>
  </x:si>
  <x:si>
    <x:t>37-25</x:t>
  </x:si>
  <x:si>
    <x:t>ANTONIO VELASCO BAUTISTA (CREOH!)</x:t>
  </x:si>
  <x:si>
    <x:t>25235243</x:t>
  </x:si>
  <x:si>
    <x:t>BADALONA CULTURA, SL</x:t>
  </x:si>
  <x:si>
    <x:t>Bases de la convocatoria del concurso restringido de la conceptualización y diseño de la imagen del Festival Blues &amp; Ritmes 2026.</x:t>
  </x:si>
  <x:si>
    <x:t>BC2025_CON27</x:t>
  </x:si>
  <x:si>
    <x:t>WIZARD MASTER OF GAME SLU</x:t>
  </x:si>
  <x:si>
    <x:t>25235258</x:t>
  </x:si>
  <x:si>
    <x:t>JUNTA DE GOBIERNO DEL AYUNTAMIENTO DE LEGANÉS (MADRID)</x:t>
  </x:si>
  <x:si>
    <x:t>Instalación y desarrollo de un evento navideño Playmobil con Belén gigante y exposiciones</x:t>
  </x:si>
  <x:si>
    <x:t>2025/0229</x:t>
  </x:si>
  <x:si>
    <x:t>ROMUALDO MANUEL FAURA BERNABÉ</x:t>
  </x:si>
  <x:si>
    <x:t>25235428</x:t>
  </x:si>
  <x:si>
    <x:t>ÁREA DE GOBIERNO DE VICEALCALDÍA, PORTAVOZ, SEGURIDAD Y EMERGENCIAS DEL AYUNTAMIENTO DE MADRID</x:t>
  </x:si>
  <x:si>
    <x:t>Adaptación y actualización del diseño editorial del catálogo internacional de buenas prácticas del Ayuntamiento de Madrid, al inglés</x:t>
  </x:si>
  <x:si>
    <x:t>145/2023/00612.2.60</x:t>
  </x:si>
  <x:si>
    <x:t>THE MAD PIXEL FACTORY S.L</x:t>
  </x:si>
  <x:si>
    <x:t>25235430</x:t>
  </x:si>
  <x:si>
    <x:t>MINISTERIO DE ASUNTOS EXTERIORES, UNIÓN EUROPEA Y COOPERACIÓN. DIRECCIÓN DEL INSTITUTO CERVANTES</x:t>
  </x:si>
  <x:si>
    <x:t>Servicios de desarrollo de la Banca Cervantes para el Instituto Cervantes, correspondientes al Lote 5 del AMIC/01/2022 (AM) del Instituto Cervantes</x:t>
  </x:si>
  <x:si>
    <x:t>G-2025/09-0053</x:t>
  </x:si>
  <x:si>
    <x:t>MERCANZA, S.L.U.</x:t>
  </x:si>
  <x:si>
    <x:t>25235461</x:t>
  </x:si>
  <x:si>
    <x:t>MINISTERIO DE HACIENDA. D.G. DE RACIONALIZACIÓN Y CENTRALIZACIÓN DE LA CONTRATACIÓN</x:t>
  </x:si>
  <x:si>
    <x:t>Renovación De Licencias De Software De Inteligencia De Negocio De La Agencia Estatal Del Consejo Superior De Investigaciones Científicas (Agencia Estatal Consejo Superior De Investigaciones Científicas (Csic))</x:t>
  </x:si>
  <x:si>
    <x:t>CEA5464/2025</x:t>
  </x:si>
  <x:si>
    <x:t>CCALGIR, SL</x:t>
  </x:si>
  <x:si>
    <x:t>25235487</x:t>
  </x:si>
  <x:si>
    <x:t>CONSORCIO MUSEU NACIONAL DE ARTE DE CATALUNYA</x:t>
  </x:si>
  <x:si>
    <x:t>Desarrollo del módulo Fastpass y servicios de mantenimiento del software Euromus de Ccalgir para el Museo Nacional de Arte de Cataluña, con medidas de contratación pública responsable social y ambiental</x:t>
  </x:si>
  <x:si>
    <x:t>D154-2026/2</x:t>
  </x:si>
  <x:si>
    <x:t>Desierto</x:t>
  </x:si>
  <x:si>
    <x:t>DESIERTO</x:t>
  </x:si>
  <x:si>
    <x:t>25235633</x:t>
  </x:si>
  <x:si>
    <x:t>PRESIDENCIA Y DIRECCIÓN DE ADMINISTRACIÓN Y FINANZAS DE LA DE LA SOCIEDAD MERCANTIL ESTATAL PARA LA GESTIÓN DE LA INNOVACIÓN Y LAS TECNOLOGÍAS TURÍSTICAS, S.A.M.P. (SEGITTUR)</x:t>
  </x:si>
  <x:si>
    <x:t>Servicios de apoyo para la medición en Adobe de las visitas a las webs gestionadas por SEGITTUR en la nueva plataforma de experiencias turísticas (DXP) de Turespaña. Las necesidades a satisfacer se especifican con mayor detalle en el “PLIEGO DE PRESCRIPCIONES TÉCNICAS DE LA CONTRATACIÓN".</x:t>
  </x:si>
  <x:si>
    <x:t>342025</x:t>
  </x:si>
  <x:si>
    <x:t>LOTE 2 EDUCARTE 0916; LOTE 4 PREVENCIÓN DE RIESGOS LABORALES ; LOTE 5 PREVENCIÓN DE RIESGOS LABORALES ; LOTE 6 EDUCARTE 0916 </x:t>
  </x:si>
  <x:si>
    <x:t>25235715</x:t>
  </x:si>
  <x:si>
    <x:t>MINISTERIO DE DEFENSA. SECCIÓN DE ASUNTOS ECONÓMICOS DE LA JEFATURA SISTEMAS DE INFORMACIÓN, TELECOMUNICACIONES Y ASISTENCIA TÉCNICA</x:t>
  </x:si>
  <x:si>
    <x:t>Jornadas formativas en prevención de riesgos laborales para Zona de Operaciones. Lote 1 - Jornadas formativa sobre trabajos verticales of-basic y of-II. Lote 2 - Jornadas formativa sobre plataforma elevadora. Lote 3 - Jornadas formativa de trabajo en espacios confinados. Lote 4 - Jornadas formativa de pala cargadora. Lote 5 - Jornadas formativa sobre prl operarios en almacén, logística y aprovisionamientoen los procesos de fabricación. Lote 6 - Jornadas formativa sobre trabajo en altura.</x:t>
  </x:si>
  <x:si>
    <x:t>2025/ETSAE0904/00000606E</x:t>
  </x:si>
</x:sst>
</file>

<file path=xl/styles.xml><?xml version="1.0" encoding="utf-8"?>
<styleSheet xmlns="http://schemas.openxmlformats.org/spreadsheetml/2006/main">
  <numFmts count="1">
    <numFmt numFmtId="164" formatCode="#,##0.00&quot; €&quot;;[Red]\-#,##0.00&quot; €&quot;"/>
  </numFmts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4" fillId="0" borderId="1" xfId="1" applyFont="1" applyBorder="1" applyAlignment="1" applyProtection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K2"/>
  <x:sheetViews>
    <x:sheetView showGridLines="0" tabSelected="1" zoomScaleNormal="100" workbookViewId="0">
      <x:selection sqref="A1:XFD1"/>
    </x:sheetView>
  </x:sheetViews>
  <x:sheetFormatPr baseColWidth="10" defaultColWidth="16" defaultRowHeight="12.75"/>
  <x:cols>
    <x:col min="1" max="1" width="14.42578125" style="1" customWidth="1"/>
    <x:col min="2" max="2" width="19.85546875" style="1" customWidth="1"/>
    <x:col min="3" max="3" width="11.5703125" style="1" hidden="1" customWidth="1"/>
    <x:col min="4" max="4" width="20.140625" style="1" customWidth="1"/>
    <x:col min="5" max="5" width="11.140625" style="2" customWidth="1"/>
    <x:col min="6" max="6" width="26.7109375" style="1" customWidth="1"/>
    <x:col min="7" max="7" width="47.28515625" style="1" customWidth="1"/>
    <x:col min="8" max="8" width="15.7109375" style="1" customWidth="1"/>
    <x:col min="9" max="9" width="13.42578125" style="1" customWidth="1"/>
    <x:col min="10" max="10" width="17.28515625" style="1" customWidth="1"/>
    <x:col min="11" max="11" width="18" style="1" customWidth="1"/>
    <x:col min="12" max="16384" width="16" style="1"/>
  </x:cols>
  <x:sheetData>
    <x:row r="1" spans="1:11" s="5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4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</x:row>
    <x:row r="2" spans="1:11">
      <x:c r="A2" s="6" t="s">
        <x:v>11</x:v>
      </x:c>
      <x:c r="B2" s="6" t="s">
        <x:v>12</x:v>
      </x:c>
      <x:c r="C2" s="6" t="s">
        <x:v>13</x:v>
      </x:c>
      <x:c r="D2" s="7" t="str">
        <x:f xml:space="preserve">HYPERLINK("https://www.infonalia.es/adjudicaciones1125/25234603.pdf","www.infonalia.es/adjudicaciones1125/25234603.pdf")</x:f>
        <x:v>www.infonalia.es/adjudicaciones1125/25234603.pdf</x:v>
      </x:c>
      <x:c r="E2" s="8" t="s">
        <x:v>14</x:v>
      </x:c>
      <x:c r="F2" s="6" t="s">
        <x:v>15</x:v>
      </x:c>
      <x:c r="G2" s="6" t="s">
        <x:v>16</x:v>
      </x:c>
      <x:c r="H2" s="6" t="s">
        <x:v>17</x:v>
      </x:c>
      <x:c r="I2" s="6" t="s">
        <x:v>18</x:v>
      </x:c>
      <x:c r="J2" s="9" t="s">
        <x:v>19</x:v>
      </x:c>
      <x:c r="K2" s="9" t="n">
        <x:v>56198.35</x:v>
      </x:c>
    </x:row>
    <x:row r="3">
      <x:c r="A3" s="6" t="s">
        <x:v>11</x:v>
      </x:c>
      <x:c r="B3" s="6" t="s">
        <x:v>20</x:v>
      </x:c>
      <x:c r="C3" s="6" t="s">
        <x:v>13</x:v>
      </x:c>
      <x:c r="D3" s="7" t="str">
        <x:f xml:space="preserve">HYPERLINK("https://www.infonalia.es/adjudicaciones1125/25234615.pdf","www.infonalia.es/adjudicaciones1125/25234615.pdf")</x:f>
        <x:v>www.infonalia.es/adjudicaciones1125/25234615.pdf</x:v>
      </x:c>
      <x:c r="E3" s="8" t="s">
        <x:v>21</x:v>
      </x:c>
      <x:c r="F3" s="6" t="s">
        <x:v>22</x:v>
      </x:c>
      <x:c r="G3" s="6" t="s">
        <x:v>23</x:v>
      </x:c>
      <x:c r="H3" s="6" t="s">
        <x:v>24</x:v>
      </x:c>
      <x:c r="I3" s="6" t="s">
        <x:v>18</x:v>
      </x:c>
      <x:c r="J3" s="9" t="s">
        <x:v>19</x:v>
      </x:c>
      <x:c r="K3" s="9" t="n">
        <x:v>45337.60</x:v>
      </x:c>
    </x:row>
    <x:row r="4">
      <x:c r="A4" s="6" t="s">
        <x:v>11</x:v>
      </x:c>
      <x:c r="B4" s="6" t="s">
        <x:v>25</x:v>
      </x:c>
      <x:c r="C4" s="6" t="s">
        <x:v>13</x:v>
      </x:c>
      <x:c r="D4" s="7" t="str">
        <x:f xml:space="preserve">HYPERLINK("https://www.infonalia.es/adjudicaciones1125/25234662.pdf","www.infonalia.es/adjudicaciones1125/25234662.pdf")</x:f>
        <x:v>www.infonalia.es/adjudicaciones1125/25234662.pdf</x:v>
      </x:c>
      <x:c r="E4" s="8" t="s">
        <x:v>26</x:v>
      </x:c>
      <x:c r="F4" s="6" t="s">
        <x:v>27</x:v>
      </x:c>
      <x:c r="G4" s="6" t="s">
        <x:v>28</x:v>
      </x:c>
      <x:c r="H4" s="6" t="s">
        <x:v>29</x:v>
      </x:c>
      <x:c r="I4" s="6" t="s">
        <x:v>30</x:v>
      </x:c>
      <x:c r="J4" s="9" t="s">
        <x:v>19</x:v>
      </x:c>
      <x:c r="K4" s="9" t="n">
        <x:v>27782.00</x:v>
      </x:c>
    </x:row>
    <x:row r="5">
      <x:c r="A5" s="6" t="s">
        <x:v>11</x:v>
      </x:c>
      <x:c r="B5" s="6" t="s">
        <x:v>31</x:v>
      </x:c>
      <x:c r="C5" s="6" t="s">
        <x:v>13</x:v>
      </x:c>
      <x:c r="D5" s="7" t="str">
        <x:f xml:space="preserve">HYPERLINK("https://www.infonalia.es/adjudicaciones1125/25234816.pdf","www.infonalia.es/adjudicaciones1125/25234816.pdf")</x:f>
        <x:v>www.infonalia.es/adjudicaciones1125/25234816.pdf</x:v>
      </x:c>
      <x:c r="E5" s="8" t="s">
        <x:v>32</x:v>
      </x:c>
      <x:c r="F5" s="6" t="s">
        <x:v>33</x:v>
      </x:c>
      <x:c r="G5" s="6" t="s">
        <x:v>34</x:v>
      </x:c>
      <x:c r="H5" s="6" t="s">
        <x:v>35</x:v>
      </x:c>
      <x:c r="I5" s="6" t="s">
        <x:v>18</x:v>
      </x:c>
      <x:c r="J5" s="9" t="s">
        <x:v>19</x:v>
      </x:c>
      <x:c r="K5" s="9" t="n">
        <x:v>34000.00</x:v>
      </x:c>
    </x:row>
    <x:row r="6">
      <x:c r="A6" s="6" t="s">
        <x:v>11</x:v>
      </x:c>
      <x:c r="B6" s="6" t="s">
        <x:v>36</x:v>
      </x:c>
      <x:c r="C6" s="6" t="s">
        <x:v>13</x:v>
      </x:c>
      <x:c r="D6" s="7" t="str">
        <x:f xml:space="preserve">HYPERLINK("https://www.infonalia.es/adjudicaciones1125/25234854.pdf","www.infonalia.es/adjudicaciones1125/25234854.pdf")</x:f>
        <x:v>www.infonalia.es/adjudicaciones1125/25234854.pdf</x:v>
      </x:c>
      <x:c r="E6" s="8" t="s">
        <x:v>37</x:v>
      </x:c>
      <x:c r="F6" s="6" t="s">
        <x:v>38</x:v>
      </x:c>
      <x:c r="G6" s="6" t="s">
        <x:v>39</x:v>
      </x:c>
      <x:c r="H6" s="6" t="s">
        <x:v>40</x:v>
      </x:c>
      <x:c r="I6" s="6" t="s">
        <x:v>41</x:v>
      </x:c>
      <x:c r="J6" s="9" t="s">
        <x:v>19</x:v>
      </x:c>
      <x:c r="K6" s="9" t="n">
        <x:v>538585.24</x:v>
      </x:c>
    </x:row>
    <x:row r="7">
      <x:c r="A7" s="6" t="s">
        <x:v>11</x:v>
      </x:c>
      <x:c r="B7" s="6" t="s">
        <x:v>42</x:v>
      </x:c>
      <x:c r="C7" s="6" t="s">
        <x:v>13</x:v>
      </x:c>
      <x:c r="D7" s="7" t="str">
        <x:f xml:space="preserve">HYPERLINK("https://www.infonalia.es/adjudicaciones1125/25234880.pdf","www.infonalia.es/adjudicaciones1125/25234880.pdf")</x:f>
        <x:v>www.infonalia.es/adjudicaciones1125/25234880.pdf</x:v>
      </x:c>
      <x:c r="E7" s="8" t="s">
        <x:v>43</x:v>
      </x:c>
      <x:c r="F7" s="6" t="s">
        <x:v>44</x:v>
      </x:c>
      <x:c r="G7" s="6" t="s">
        <x:v>45</x:v>
      </x:c>
      <x:c r="H7" s="6" t="s">
        <x:v>46</x:v>
      </x:c>
      <x:c r="I7" s="6" t="s">
        <x:v>30</x:v>
      </x:c>
      <x:c r="J7" s="9" t="n">
        <x:v>144000.00</x:v>
      </x:c>
      <x:c r="K7" s="9" t="n">
        <x:v>179495.15</x:v>
      </x:c>
    </x:row>
    <x:row r="8">
      <x:c r="A8" s="6" t="s">
        <x:v>11</x:v>
      </x:c>
      <x:c r="B8" s="6" t="s">
        <x:v>47</x:v>
      </x:c>
      <x:c r="C8" s="6" t="s">
        <x:v>13</x:v>
      </x:c>
      <x:c r="D8" s="7" t="str">
        <x:f xml:space="preserve">HYPERLINK("https://www.infonalia.es/adjudicaciones1125/25234883.pdf","www.infonalia.es/adjudicaciones1125/25234883.pdf")</x:f>
        <x:v>www.infonalia.es/adjudicaciones1125/25234883.pdf</x:v>
      </x:c>
      <x:c r="E8" s="8" t="s">
        <x:v>48</x:v>
      </x:c>
      <x:c r="F8" s="6" t="s">
        <x:v>49</x:v>
      </x:c>
      <x:c r="G8" s="6" t="s">
        <x:v>50</x:v>
      </x:c>
      <x:c r="H8" s="6" t="s">
        <x:v>51</x:v>
      </x:c>
      <x:c r="I8" s="6" t="s">
        <x:v>52</x:v>
      </x:c>
      <x:c r="J8" s="9" t="n">
        <x:v>96800.00</x:v>
      </x:c>
      <x:c r="K8" s="9" t="n">
        <x:v>96854.44</x:v>
      </x:c>
    </x:row>
    <x:row r="9">
      <x:c r="A9" s="6" t="s">
        <x:v>11</x:v>
      </x:c>
      <x:c r="B9" s="6" t="s">
        <x:v>53</x:v>
      </x:c>
      <x:c r="C9" s="6" t="s">
        <x:v>13</x:v>
      </x:c>
      <x:c r="D9" s="7" t="str">
        <x:f xml:space="preserve">HYPERLINK("https://www.infonalia.es/adjudicaciones1125/25234953.pdf","www.infonalia.es/adjudicaciones1125/25234953.pdf")</x:f>
        <x:v>www.infonalia.es/adjudicaciones1125/25234953.pdf</x:v>
      </x:c>
      <x:c r="E9" s="8" t="s">
        <x:v>54</x:v>
      </x:c>
      <x:c r="F9" s="6" t="s">
        <x:v>55</x:v>
      </x:c>
      <x:c r="G9" s="6" t="s">
        <x:v>56</x:v>
      </x:c>
      <x:c r="H9" s="6" t="s">
        <x:v>57</x:v>
      </x:c>
      <x:c r="I9" s="6" t="s">
        <x:v>18</x:v>
      </x:c>
      <x:c r="J9" s="9" t="s">
        <x:v>19</x:v>
      </x:c>
      <x:c r="K9" s="9" t="n">
        <x:v>82460.00</x:v>
      </x:c>
    </x:row>
    <x:row r="10">
      <x:c r="A10" s="6" t="s">
        <x:v>11</x:v>
      </x:c>
      <x:c r="B10" s="6" t="s">
        <x:v>58</x:v>
      </x:c>
      <x:c r="C10" s="6" t="s">
        <x:v>13</x:v>
      </x:c>
      <x:c r="D10" s="7" t="str">
        <x:f xml:space="preserve">HYPERLINK("https://www.infonalia.es/adjudicaciones1125/25234954.pdf","www.infonalia.es/adjudicaciones1125/25234954.pdf")</x:f>
        <x:v>www.infonalia.es/adjudicaciones1125/25234954.pdf</x:v>
      </x:c>
      <x:c r="E10" s="8" t="s">
        <x:v>59</x:v>
      </x:c>
      <x:c r="F10" s="6" t="s">
        <x:v>60</x:v>
      </x:c>
      <x:c r="G10" s="6" t="s">
        <x:v>61</x:v>
      </x:c>
      <x:c r="H10" s="6" t="s">
        <x:v>62</x:v>
      </x:c>
      <x:c r="I10" s="6" t="s">
        <x:v>63</x:v>
      </x:c>
      <x:c r="J10" s="9" t="s">
        <x:v>19</x:v>
      </x:c>
      <x:c r="K10" s="9" t="n">
        <x:v>78384.30</x:v>
      </x:c>
    </x:row>
    <x:row r="11">
      <x:c r="A11" s="6" t="s">
        <x:v>11</x:v>
      </x:c>
      <x:c r="B11" s="6" t="s">
        <x:v>64</x:v>
      </x:c>
      <x:c r="C11" s="6" t="s">
        <x:v>13</x:v>
      </x:c>
      <x:c r="D11" s="7" t="str">
        <x:f xml:space="preserve">HYPERLINK("https://www.infonalia.es/adjudicaciones1125/25234955.pdf","www.infonalia.es/adjudicaciones1125/25234955.pdf")</x:f>
        <x:v>www.infonalia.es/adjudicaciones1125/25234955.pdf</x:v>
      </x:c>
      <x:c r="E11" s="8" t="s">
        <x:v>65</x:v>
      </x:c>
      <x:c r="F11" s="6" t="s">
        <x:v>55</x:v>
      </x:c>
      <x:c r="G11" s="6" t="s">
        <x:v>66</x:v>
      </x:c>
      <x:c r="H11" s="6" t="s">
        <x:v>67</x:v>
      </x:c>
      <x:c r="I11" s="6" t="s">
        <x:v>18</x:v>
      </x:c>
      <x:c r="J11" s="9" t="s">
        <x:v>19</x:v>
      </x:c>
      <x:c r="K11" s="9" t="n">
        <x:v>84200.00</x:v>
      </x:c>
    </x:row>
    <x:row r="12">
      <x:c r="A12" s="6" t="s">
        <x:v>11</x:v>
      </x:c>
      <x:c r="B12" s="6" t="s">
        <x:v>68</x:v>
      </x:c>
      <x:c r="C12" s="6" t="s">
        <x:v>13</x:v>
      </x:c>
      <x:c r="D12" s="7" t="str">
        <x:f xml:space="preserve">HYPERLINK("https://www.infonalia.es/adjudicaciones1125/25234980.pdf","www.infonalia.es/adjudicaciones1125/25234980.pdf")</x:f>
        <x:v>www.infonalia.es/adjudicaciones1125/25234980.pdf</x:v>
      </x:c>
      <x:c r="E12" s="8" t="s">
        <x:v>69</x:v>
      </x:c>
      <x:c r="F12" s="6" t="s">
        <x:v>70</x:v>
      </x:c>
      <x:c r="G12" s="6" t="s">
        <x:v>71</x:v>
      </x:c>
      <x:c r="H12" s="6" t="s">
        <x:v>72</x:v>
      </x:c>
      <x:c r="I12" s="6" t="s">
        <x:v>18</x:v>
      </x:c>
      <x:c r="J12" s="9" t="s">
        <x:v>19</x:v>
      </x:c>
      <x:c r="K12" s="9" t="n">
        <x:v>71494.15</x:v>
      </x:c>
    </x:row>
    <x:row r="13">
      <x:c r="A13" s="6" t="s">
        <x:v>11</x:v>
      </x:c>
      <x:c r="B13" s="6" t="s">
        <x:v>73</x:v>
      </x:c>
      <x:c r="C13" s="6" t="s">
        <x:v>13</x:v>
      </x:c>
      <x:c r="D13" s="7" t="str">
        <x:f xml:space="preserve">HYPERLINK("https://www.infonalia.es/adjudicaciones1125/25235014.pdf","www.infonalia.es/adjudicaciones1125/25235014.pdf")</x:f>
        <x:v>www.infonalia.es/adjudicaciones1125/25235014.pdf</x:v>
      </x:c>
      <x:c r="E13" s="8" t="s">
        <x:v>74</x:v>
      </x:c>
      <x:c r="F13" s="6" t="s">
        <x:v>75</x:v>
      </x:c>
      <x:c r="G13" s="6" t="s">
        <x:v>76</x:v>
      </x:c>
      <x:c r="H13" s="6" t="s">
        <x:v>77</x:v>
      </x:c>
      <x:c r="I13" s="6" t="s">
        <x:v>30</x:v>
      </x:c>
      <x:c r="J13" s="9" t="n">
        <x:v>433161.00</x:v>
      </x:c>
      <x:c r="K13" s="9" t="n">
        <x:v>436800.00</x:v>
      </x:c>
    </x:row>
    <x:row r="14">
      <x:c r="A14" s="6" t="s">
        <x:v>11</x:v>
      </x:c>
      <x:c r="B14" s="6" t="s">
        <x:v>78</x:v>
      </x:c>
      <x:c r="C14" s="6" t="s">
        <x:v>13</x:v>
      </x:c>
      <x:c r="D14" s="7" t="str">
        <x:f xml:space="preserve">HYPERLINK("https://www.infonalia.es/adjudicaciones1125/25235082.pdf","www.infonalia.es/adjudicaciones1125/25235082.pdf")</x:f>
        <x:v>www.infonalia.es/adjudicaciones1125/25235082.pdf</x:v>
      </x:c>
      <x:c r="E14" s="8" t="s">
        <x:v>79</x:v>
      </x:c>
      <x:c r="F14" s="6" t="s">
        <x:v>80</x:v>
      </x:c>
      <x:c r="G14" s="6" t="s">
        <x:v>81</x:v>
      </x:c>
      <x:c r="H14" s="6" t="s">
        <x:v>82</x:v>
      </x:c>
      <x:c r="I14" s="6" t="s">
        <x:v>30</x:v>
      </x:c>
      <x:c r="J14" s="9" t="s">
        <x:v>19</x:v>
      </x:c>
      <x:c r="K14" s="9" t="n">
        <x:v>61000.00</x:v>
      </x:c>
    </x:row>
    <x:row r="15">
      <x:c r="A15" s="6" t="s">
        <x:v>11</x:v>
      </x:c>
      <x:c r="B15" s="6" t="s">
        <x:v>83</x:v>
      </x:c>
      <x:c r="C15" s="6" t="s">
        <x:v>13</x:v>
      </x:c>
      <x:c r="D15" s="7" t="str">
        <x:f xml:space="preserve">HYPERLINK("https://www.infonalia.es/adjudicaciones1125/25235179.pdf","www.infonalia.es/adjudicaciones1125/25235179.pdf")</x:f>
        <x:v>www.infonalia.es/adjudicaciones1125/25235179.pdf</x:v>
      </x:c>
      <x:c r="E15" s="8" t="s">
        <x:v>84</x:v>
      </x:c>
      <x:c r="F15" s="6" t="s">
        <x:v>85</x:v>
      </x:c>
      <x:c r="G15" s="6" t="s">
        <x:v>86</x:v>
      </x:c>
      <x:c r="H15" s="6" t="s">
        <x:v>87</x:v>
      </x:c>
      <x:c r="I15" s="6" t="s">
        <x:v>18</x:v>
      </x:c>
      <x:c r="J15" s="9" t="n">
        <x:v>96500.00</x:v>
      </x:c>
      <x:c r="K15" s="9" t="n">
        <x:v>115000.00</x:v>
      </x:c>
    </x:row>
    <x:row r="16">
      <x:c r="A16" s="6" t="s">
        <x:v>11</x:v>
      </x:c>
      <x:c r="B16" s="6" t="s">
        <x:v>88</x:v>
      </x:c>
      <x:c r="C16" s="6" t="s">
        <x:v>13</x:v>
      </x:c>
      <x:c r="D16" s="7" t="str">
        <x:f xml:space="preserve">HYPERLINK("https://www.infonalia.es/adjudicaciones1125/25235241.pdf","www.infonalia.es/adjudicaciones1125/25235241.pdf")</x:f>
        <x:v>www.infonalia.es/adjudicaciones1125/25235241.pdf</x:v>
      </x:c>
      <x:c r="E16" s="8" t="s">
        <x:v>89</x:v>
      </x:c>
      <x:c r="F16" s="6" t="s">
        <x:v>90</x:v>
      </x:c>
      <x:c r="G16" s="6" t="s">
        <x:v>91</x:v>
      </x:c>
      <x:c r="H16" s="6" t="s">
        <x:v>92</x:v>
      </x:c>
      <x:c r="I16" s="6" t="s">
        <x:v>18</x:v>
      </x:c>
      <x:c r="J16" s="9" t="s">
        <x:v>19</x:v>
      </x:c>
      <x:c r="K16" s="9" t="n">
        <x:v>135000.00</x:v>
      </x:c>
    </x:row>
    <x:row r="17">
      <x:c r="A17" s="6" t="s">
        <x:v>11</x:v>
      </x:c>
      <x:c r="B17" s="6" t="s">
        <x:v>93</x:v>
      </x:c>
      <x:c r="C17" s="6" t="s">
        <x:v>13</x:v>
      </x:c>
      <x:c r="D17" s="7" t="str">
        <x:f xml:space="preserve">HYPERLINK("https://www.infonalia.es/adjudicaciones1125/25235243.pdf","www.infonalia.es/adjudicaciones1125/25235243.pdf")</x:f>
        <x:v>www.infonalia.es/adjudicaciones1125/25235243.pdf</x:v>
      </x:c>
      <x:c r="E17" s="8" t="s">
        <x:v>94</x:v>
      </x:c>
      <x:c r="F17" s="6" t="s">
        <x:v>95</x:v>
      </x:c>
      <x:c r="G17" s="6" t="s">
        <x:v>96</x:v>
      </x:c>
      <x:c r="H17" s="6" t="s">
        <x:v>97</x:v>
      </x:c>
      <x:c r="I17" s="6" t="s">
        <x:v>18</x:v>
      </x:c>
      <x:c r="J17" s="9" t="s">
        <x:v>19</x:v>
      </x:c>
      <x:c r="K17" s="9" t="n">
        <x:v>3500.00</x:v>
      </x:c>
    </x:row>
    <x:row r="18">
      <x:c r="A18" s="6" t="s">
        <x:v>11</x:v>
      </x:c>
      <x:c r="B18" s="6" t="s">
        <x:v>98</x:v>
      </x:c>
      <x:c r="C18" s="6" t="s">
        <x:v>13</x:v>
      </x:c>
      <x:c r="D18" s="7" t="str">
        <x:f xml:space="preserve">HYPERLINK("https://www.infonalia.es/adjudicaciones1125/25235258.pdf","www.infonalia.es/adjudicaciones1125/25235258.pdf")</x:f>
        <x:v>www.infonalia.es/adjudicaciones1125/25235258.pdf</x:v>
      </x:c>
      <x:c r="E18" s="8" t="s">
        <x:v>99</x:v>
      </x:c>
      <x:c r="F18" s="6" t="s">
        <x:v>100</x:v>
      </x:c>
      <x:c r="G18" s="6" t="s">
        <x:v>101</x:v>
      </x:c>
      <x:c r="H18" s="6" t="s">
        <x:v>102</x:v>
      </x:c>
      <x:c r="I18" s="6" t="s">
        <x:v>30</x:v>
      </x:c>
      <x:c r="J18" s="9" t="n">
        <x:v>0.00</x:v>
      </x:c>
      <x:c r="K18" s="9" t="n">
        <x:v>57851.24</x:v>
      </x:c>
    </x:row>
    <x:row r="19">
      <x:c r="A19" s="6" t="s">
        <x:v>11</x:v>
      </x:c>
      <x:c r="B19" s="6" t="s">
        <x:v>103</x:v>
      </x:c>
      <x:c r="C19" s="6" t="s">
        <x:v>13</x:v>
      </x:c>
      <x:c r="D19" s="7" t="str">
        <x:f xml:space="preserve">HYPERLINK("https://www.infonalia.es/adjudicaciones1125/25235428.pdf","www.infonalia.es/adjudicaciones1125/25235428.pdf")</x:f>
        <x:v>www.infonalia.es/adjudicaciones1125/25235428.pdf</x:v>
      </x:c>
      <x:c r="E19" s="8" t="s">
        <x:v>104</x:v>
      </x:c>
      <x:c r="F19" s="6" t="s">
        <x:v>105</x:v>
      </x:c>
      <x:c r="G19" s="6" t="s">
        <x:v>106</x:v>
      </x:c>
      <x:c r="H19" s="6" t="s">
        <x:v>107</x:v>
      </x:c>
      <x:c r="I19" s="6" t="s">
        <x:v>30</x:v>
      </x:c>
      <x:c r="J19" s="9" t="n">
        <x:v>893.08</x:v>
      </x:c>
      <x:c r="K19" s="9" t="n">
        <x:v>893.08</x:v>
      </x:c>
    </x:row>
    <x:row r="20">
      <x:c r="A20" s="6" t="s">
        <x:v>11</x:v>
      </x:c>
      <x:c r="B20" s="6" t="s">
        <x:v>108</x:v>
      </x:c>
      <x:c r="C20" s="6" t="s">
        <x:v>13</x:v>
      </x:c>
      <x:c r="D20" s="7" t="str">
        <x:f xml:space="preserve">HYPERLINK("https://www.infonalia.es/adjudicaciones1125/25235430.pdf","www.infonalia.es/adjudicaciones1125/25235430.pdf")</x:f>
        <x:v>www.infonalia.es/adjudicaciones1125/25235430.pdf</x:v>
      </x:c>
      <x:c r="E20" s="8" t="s">
        <x:v>109</x:v>
      </x:c>
      <x:c r="F20" s="6" t="s">
        <x:v>110</x:v>
      </x:c>
      <x:c r="G20" s="6" t="s">
        <x:v>111</x:v>
      </x:c>
      <x:c r="H20" s="6" t="s">
        <x:v>112</x:v>
      </x:c>
      <x:c r="I20" s="6" t="s">
        <x:v>30</x:v>
      </x:c>
      <x:c r="J20" s="9" t="n">
        <x:v>68600.00</x:v>
      </x:c>
      <x:c r="K20" s="9" t="n">
        <x:v>70000.00</x:v>
      </x:c>
    </x:row>
    <x:row r="21">
      <x:c r="A21" s="6" t="s">
        <x:v>11</x:v>
      </x:c>
      <x:c r="B21" s="6" t="s">
        <x:v>113</x:v>
      </x:c>
      <x:c r="C21" s="6" t="s">
        <x:v>13</x:v>
      </x:c>
      <x:c r="D21" s="7" t="str">
        <x:f xml:space="preserve">HYPERLINK("https://www.infonalia.es/adjudicaciones1125/25235461.pdf","www.infonalia.es/adjudicaciones1125/25235461.pdf")</x:f>
        <x:v>www.infonalia.es/adjudicaciones1125/25235461.pdf</x:v>
      </x:c>
      <x:c r="E21" s="8" t="s">
        <x:v>114</x:v>
      </x:c>
      <x:c r="F21" s="6" t="s">
        <x:v>115</x:v>
      </x:c>
      <x:c r="G21" s="6" t="s">
        <x:v>116</x:v>
      </x:c>
      <x:c r="H21" s="6" t="s">
        <x:v>117</x:v>
      </x:c>
      <x:c r="I21" s="6" t="s">
        <x:v>30</x:v>
      </x:c>
      <x:c r="J21" s="9" t="n">
        <x:v>199500.00</x:v>
      </x:c>
      <x:c r="K21" s="9" t="n">
        <x:v>223926.16</x:v>
      </x:c>
    </x:row>
    <x:row r="22">
      <x:c r="A22" s="6" t="s">
        <x:v>11</x:v>
      </x:c>
      <x:c r="B22" s="6" t="s">
        <x:v>118</x:v>
      </x:c>
      <x:c r="C22" s="6" t="s">
        <x:v>13</x:v>
      </x:c>
      <x:c r="D22" s="7" t="str">
        <x:f xml:space="preserve">HYPERLINK("https://www.infonalia.es/adjudicaciones1125/25235487.pdf","www.infonalia.es/adjudicaciones1125/25235487.pdf")</x:f>
        <x:v>www.infonalia.es/adjudicaciones1125/25235487.pdf</x:v>
      </x:c>
      <x:c r="E22" s="8" t="s">
        <x:v>119</x:v>
      </x:c>
      <x:c r="F22" s="6" t="s">
        <x:v>120</x:v>
      </x:c>
      <x:c r="G22" s="6" t="s">
        <x:v>121</x:v>
      </x:c>
      <x:c r="H22" s="6" t="s">
        <x:v>122</x:v>
      </x:c>
      <x:c r="I22" s="6" t="s">
        <x:v>18</x:v>
      </x:c>
      <x:c r="J22" s="9" t="n">
        <x:v>36018.59</x:v>
      </x:c>
      <x:c r="K22" s="9" t="n">
        <x:v>36018.59</x:v>
      </x:c>
    </x:row>
    <x:row r="23">
      <x:c r="A23" s="6" t="s">
        <x:v>123</x:v>
      </x:c>
      <x:c r="B23" s="6" t="s">
        <x:v>124</x:v>
      </x:c>
      <x:c r="C23" s="6" t="s">
        <x:v>13</x:v>
      </x:c>
      <x:c r="D23" s="7" t="str">
        <x:f xml:space="preserve">HYPERLINK("https://www.infonalia.es/adjudicaciones1125/25235633.pdf","www.infonalia.es/adjudicaciones1125/25235633.pdf")</x:f>
        <x:v>www.infonalia.es/adjudicaciones1125/25235633.pdf</x:v>
      </x:c>
      <x:c r="E23" s="8" t="s">
        <x:v>125</x:v>
      </x:c>
      <x:c r="F23" s="6" t="s">
        <x:v>126</x:v>
      </x:c>
      <x:c r="G23" s="6" t="s">
        <x:v>127</x:v>
      </x:c>
      <x:c r="H23" s="6" t="s">
        <x:v>128</x:v>
      </x:c>
      <x:c r="I23" s="6" t="s">
        <x:v>30</x:v>
      </x:c>
      <x:c r="J23" s="9" t="s">
        <x:v>19</x:v>
      </x:c>
      <x:c r="K23" s="9" t="n">
        <x:v>39800.00</x:v>
      </x:c>
    </x:row>
    <x:row r="24">
      <x:c r="A24" s="6" t="s">
        <x:v>11</x:v>
      </x:c>
      <x:c r="B24" s="6" t="s">
        <x:v>129</x:v>
      </x:c>
      <x:c r="C24" s="6" t="s">
        <x:v>13</x:v>
      </x:c>
      <x:c r="D24" s="7" t="str">
        <x:f xml:space="preserve">HYPERLINK("https://www.infonalia.es/adjudicaciones1125/25235715.pdf","www.infonalia.es/adjudicaciones1125/25235715.pdf")</x:f>
        <x:v>www.infonalia.es/adjudicaciones1125/25235715.pdf</x:v>
      </x:c>
      <x:c r="E24" s="8" t="s">
        <x:v>130</x:v>
      </x:c>
      <x:c r="F24" s="6" t="s">
        <x:v>131</x:v>
      </x:c>
      <x:c r="G24" s="6" t="s">
        <x:v>132</x:v>
      </x:c>
      <x:c r="H24" s="6" t="s">
        <x:v>133</x:v>
      </x:c>
      <x:c r="I24" s="6" t="s">
        <x:v>30</x:v>
      </x:c>
      <x:c r="J24" s="9" t="s">
        <x:v>19</x:v>
      </x:c>
      <x:c r="K24" s="9" t="n">
        <x:v>25371.90</x:v>
      </x:c>
    </x:row>
  </x:sheetData>
  <x:autoFilter ref="A1:K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Adjudicaciones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1</cp:revision>
  <dcterms:created xsi:type="dcterms:W3CDTF">2024-12-04T08:58:32Z</dcterms:created>
  <dcterms:modified xsi:type="dcterms:W3CDTF">2025-01-20T07:55:24Z</dcterms:modified>
  <dc:language>es-ES</dc:language>
</cp:coreProperties>
</file>