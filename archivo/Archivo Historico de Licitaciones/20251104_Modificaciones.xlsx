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<x:sst xmlns:x="http://schemas.openxmlformats.org/spreadsheetml/2006/main" count="6" uniqueCount="6">
  <x:si>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</x:si>
  <x:si>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</x:si>
  <x:si>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</x:si>
  <x:si>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</x:si>
  <x:si>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</x:si>
  <x:si>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</x:si>
  <x:si>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2025144081</x:t>
  </x:si>
  <x:si>
    <x:t>Aclaración / Ampliación de pliegos</x:t>
  </x:si>
  <x:si>
    <x:t>CANAL DE ISABEL II, S.A.</x:t>
  </x:si>
  <x:si>
    <x:t>Servicios para la gestión de la creatividad y producción publicitaria de Canal de Isabel II, Sociedad Anónima, M.P.</x:t>
  </x:si>
  <x:si>
    <x:t>2025149037</x:t>
  </x:si>
  <x:si>
    <x:t>Corrección de errores</x:t>
  </x:si>
  <x:si>
    <x:t>MINISTERIO DE ASUNTOS EXTERIORES, UNIÓN EUROPEA Y COOPERACIÓN. DIRECCIÓN DEL INSTITUTO CERVANTES</x:t>
  </x:si>
  <x:si>
    <x:t>Servicios de apoyo en fotografía, técnica audiovisual, grabación y postproducción de vídeo y sonorización, grabación y postproducción de sonido de los diferentes actos, actividades, y producciones audiovisuales del Instituto Cervantes</x:t>
  </x:si>
  <x:si>
    <x:t>2025155134</x:t>
  </x:si>
  <x:si>
    <x:t>JUNTA DE GOBIERNO DEL AYUNTAMIENTO DE MÓSTOLES (MADRID)</x:t>
  </x:si>
  <x:si>
    <x:t>El presente contrato menor tiene por objeto la organización y prestación del servicio para la celebración de meriendas populares, en el marco de las Fiestas de Navidad 2025/26 a celebrar en Móstoles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</x:si>
</x:sst>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HYPERLINK("https://www.infonalia.es/modificaciones1125/2025144081.pdf","www.infonalia.es/modificaciones1125/2025144081.pdf")</x:f>
        <x:v>www.infonalia.es/modificaciones1125/2025144081.pdf</x:v>
      </x:c>
      <x:c r="F2" s="5" t="str">
        <x:f xml:space="preserve">HYPERLINK("https://www.infonalia.es/licitaciones1025/2025144081.pdf","www.infonalia.es/licitaciones1025/2025144081.pdf")</x:f>
        <x:v>www.infonalia.es/licitaciones1025/2025144081.pdf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HYPERLINK("https://www.infonalia.es/modificaciones1125/2025149037.pdf","www.infonalia.es/modificaciones1125/2025149037.pdf")</x:f>
        <x:v>www.infonalia.es/modificaciones1125/2025149037.pdf</x:v>
      </x:c>
      <x:c r="F3" s="5" t="str">
        <x:f xml:space="preserve">HYPERLINK("https://www.infonalia.es/licitaciones1025/2025149037.pdf","www.infonalia.es/licitaciones1025/2025149037.pdf")</x:f>
        <x:v>www.infonalia.es/licitaciones1025/2025149037.pdf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HYPERLINK("https://www.infonalia.es/modificaciones1125/2025155134.pdf","www.infonalia.es/modificaciones1125/2025155134.pdf")</x:f>
        <x:v>www.infonalia.es/modificaciones1125/2025155134.pdf</x:v>
      </x:c>
      <x:c r="F4" s="5" t="str">
        <x:f xml:space="preserve">HYPERLINK("https://www.infonalia.es/licitaciones1125/2025155134.pdf","www.infonalia.es/licitaciones1125/2025155134.pdf")</x:f>
        <x:v>www.infonalia.es/licitaciones1125/2025155134.pdf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