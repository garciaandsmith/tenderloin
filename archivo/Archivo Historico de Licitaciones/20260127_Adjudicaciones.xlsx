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<x:sst xmlns:x="http://schemas.openxmlformats.org/spreadsheetml/2006/main" count="11" uniqueCount="11">
  <x:si>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</x:si>
  <x:si>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</x:si>
  <x:si>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</x:si>
  <x:si>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</x:si>
  <x:si>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</x:si>
  <x:si>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</x:si>
  <x:si>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</x:si>
  <x:si>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</x:si>
  <x:si>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</x:si>
  <x:si>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</x:si>
  <x:si>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</x:si>
  <x:si>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</x:si>
  <x:si>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LOTE 3 ALICANTE DEVELOPERS WEBAPPS, S.L. </x:t>
  </x:si>
  <x:si>
    <x:t>27/01/2026 0:00:00</x:t>
  </x:si>
  <x:si>
    <x:t>26011155</x:t>
  </x:si>
  <x:si>
    <x:t>PRESIDENCIA DE LA ASOCIACIÓN CENTRO DE DESARROLLO NAVIA-PORCÍA</x:t>
  </x:si>
  <x:si>
    <x:t>Contrato de servicios para la ejecución de la actuación de herramientas de digitalización de la información y recursos turísticos del Parque Histórico del Navia. Lote 1: Señalización turística inteligente. Lote 2: Generación de contenidos de realidad virtual y audiovisuales. Lote 3: Página web y plataforma digital turística.</x:t>
  </x:si>
  <x:si>
    <x:t>C-030-2025</x:t>
  </x:si>
  <x:si>
    <x:t>Asturias</x:t>
  </x:si>
  <x:si>
    <x:t>SOLFESA, S.A</x:t>
  </x:si>
  <x:si>
    <x:t>26011163</x:t>
  </x:si>
  <x:si>
    <x:t>AYUNTAMIENTO DE BARBERÀ DEL VALLÈS (BARCELONA)</x:t>
  </x:si>
  <x:si>
    <x:t>Contratación mixta del servicio de gestión integral, incluidos los suministros necesarios, para la organización de diversos eventos deportivos del municipio de Barberà del Vallès que, junto a su codificación, figura en los apartados A) y C) del cuadro de características anexo (Anexo 1). En la licitación y ejecución del contrato regirán, además de la normativa legal aplicable, el Pliego de cláusulas administrativas particulares y el Pliego de prescripciones técnicas (PPT) (Anexo 2)</x:t>
  </x:si>
  <x:si>
    <x:t>N774250077</x:t>
  </x:si>
  <x:si>
    <x:t>Barcelona</x:t>
  </x:si>
  <x:si>
    <x:t>IMAGINA ANDALUCÍA EXCLUSIVAS DE PUBLICIDAD S.L</x:t>
  </x:si>
  <x:si>
    <x:t>26011175</x:t>
  </x:si>
  <x:si>
    <x:t>FUNDACIÓN DEL SECTOR PÚBLICO ESTATAL CENTRO NACIONAL DE INVESTIGACIONES ONCOLÓGICAS CARLOS III</x:t>
  </x:si>
  <x:si>
    <x:t>Servicio de Asesoría y Desarrollo de la Estrategia y Materiales de Comunicación para proyecto europeo “PERIFORMANCE: public engagement in research infrastructures for mission cancer: managing complexity of emerging technologies”.</x:t>
  </x:si>
  <x:si>
    <x:t>31/25SPF</x:t>
  </x:si>
  <x:si>
    <x:t>Madrid</x:t>
  </x:si>
  <x:si>
    <x:t>LET´S MAKE IT A CLASSIC S.L</x:t>
  </x:si>
  <x:si>
    <x:t>26011262</x:t>
  </x:si>
  <x:si>
    <x:t>AYUNTAMIENTO DE CORNELLÀ DE LLOBREGAT (BARCELONA)</x:t>
  </x:si>
  <x:si>
    <x:t>Servicios de montaje y monitorización de los mercados de segunda mano de Cornellà 2026 y 2027.</x:t>
  </x:si>
  <x:si>
    <x:t>25-106</x:t>
  </x:si>
  <x:si>
    <x:t>LOTE 1 SEKAI CORPORATE TRAVEL SLU; LOTE 2 O CABLE INGLES, SOCIEDADE COOPERATIVA; LOTE 3 SEKAI CORPORATE TRAVEL SLU</x:t>
  </x:si>
  <x:si>
    <x:t>26011513</x:t>
  </x:si>
  <x:si>
    <x:t>XUNTA DE GALICIA. CONSEJERÍA DE CULTURA, LENGUA Y JUVENTUD</x:t>
  </x:si>
  <x:si>
    <x:t>CUL-2026-0012: Organización de los actos que va a desarrollar la Consellería de Cultura, Lengua y Juventud en las ferias internacionales del libro del año 2026 (3 lotes): Buenos Aires (Argentina), Barcelona y Guadalajara (México)</x:t>
  </x:si>
  <x:si>
    <x:t>PcPG/2025/826803</x:t>
  </x:si>
  <x:si>
    <x:t>Barcelona, Buenos Aires (Argentina) y Guadalajara (México)</x:t>
  </x:si>
  <x:si>
    <x:t>Ver detalle de la adjudicación</x:t>
  </x:si>
  <x:si>
    <x:t>LAGRAFICA CREATIVE EXPERIENCE S.L</x:t>
  </x:si>
  <x:si>
    <x:t>26011525</x:t>
  </x:si>
  <x:si>
    <x:t>CONSELL COMARCAL DEL PALLARS SOBIRÀ (LLEIDA)</x:t>
  </x:si>
  <x:si>
    <x:t>Contrato de diseño y desarrollo de una campaña de marketing de cicloturismo, dentro del Plan de Recuperación, Transformación y Resiliencia, financiado por los Fondos Next Generation EU.</x:t>
  </x:si>
  <x:si>
    <x:t>1035/2025</x:t>
  </x:si>
  <x:si>
    <x:t>Lleida</x:t>
  </x:si>
  <x:si>
    <x:t>INETUM ESPAÑA SA</x:t>
  </x:si>
  <x:si>
    <x:t>26011564</x:t>
  </x:si>
  <x:si>
    <x:t>ENTE PÚBLICO DE SERVICIOS TRIBUTARIOS DEL PRINCIPADO DE ASTURIAS</x:t>
  </x:si>
  <x:si>
    <x:t>Rediseño gráfico y maquetación del nuevo portal del Ente Público de Servicios Tributarios del Principado de Asturias</x:t>
  </x:si>
  <x:si>
    <x:t>2025000767</x:t>
  </x:si>
  <x:si>
    <x:t>IKEBANA ANMACION Y OCIO, S.L</x:t>
  </x:si>
  <x:si>
    <x:t>26011642</x:t>
  </x:si>
  <x:si>
    <x:t>CONSEJO DE ADMINISTRACIÓN DE ANIMAJOVEN SAU</x:t>
  </x:si>
  <x:si>
    <x:t>Servicio de asistencia auxiliar logística y desarrollo de eventos organizados por ANIMAJOVEN, S.A</x:t>
  </x:si>
  <x:si>
    <x:t>E141/2025</x:t>
  </x:si>
  <x:si>
    <x:t>TRES TIPOS GRÁFICOS S.L</x:t>
  </x:si>
  <x:si>
    <x:t>26011685</x:t>
  </x:si>
  <x:si>
    <x:t>ÁREA DE GOBIERNO DE VICEALCALDÍA, PORTAVOZ, SEGURIDAD Y EMERGENCIAS DEL AYUNTAMIENTO DE MADRID</x:t>
  </x:si>
  <x:si>
    <x:t>Creación de folleto de los aspectos relevantes del Libro de Historia de El Pardo conmemorativo del 75.º aniversario de la anexión a Madrid</x:t>
  </x:si>
  <x:si>
    <x:t>145/2023/00612.2.73</x:t>
  </x:si>
  <x:si>
    <x:t>INGENIERÍA DE GESTIÓN Y SEGURIDAD, S.L</x:t>
  </x:si>
  <x:si>
    <x:t>26011686</x:t>
  </x:si>
  <x:si>
    <x:t>MADRID DESTINO CULTURA TURISMO Y NEGOCIO, S.A</x:t>
  </x:si>
  <x:si>
    <x:t>SP25-00049 Contrato Basado 4. Determinadas actuaciones en relación con la campaña Carnaval 2026 y Año Nuevo Chino 2026</x:t>
  </x:si>
  <x:si>
    <x:t>SP25-00049 Contrato Basado 4</x:t>
  </x:si>
  <x:si>
    <x:t>CASSANDRA PROJECTES ARTISTICS S.L</x:t>
  </x:si>
  <x:si>
    <x:t>26011742</x:t>
  </x:si>
  <x:si>
    <x:t>MADRID CULTURA Y TURISMO, S.A.U</x:t>
  </x:si>
  <x:si>
    <x:t>Contrato de exhibición de El día del Watusi de Francisco Casavella, los días del 4 al 8 de febrero de 2026 en la Sala Verde de los Teatros del Canal como parte de la programación de la temporada 2025-2026</x:t>
  </x:si>
  <x:si>
    <x:t>NSP102/2025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</x:si>
</x:sst>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HYPERLINK("https://www.infonalia.es/adjudicaciones0126/26011155.pdf","www.infonalia.es/adjudicaciones0126/26011155.pdf")</x:f>
        <x:v>www.infonalia.es/adjudicaciones0126/26011155.pdf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15485.00</x:v>
      </x:c>
      <x:c r="K2" s="9" t="n">
        <x:v>23778.51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HYPERLINK("https://www.infonalia.es/adjudicaciones0126/26011163.pdf","www.infonalia.es/adjudicaciones0126/26011163.pdf")</x:f>
        <x:v>www.infonalia.es/adjudicaciones0126/26011163.pdf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n">
        <x:v>44967.47</x:v>
      </x:c>
      <x:c r="K3" s="9" t="n">
        <x:v>54870.05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HYPERLINK("https://www.infonalia.es/adjudicaciones0126/26011175.pdf","www.infonalia.es/adjudicaciones0126/26011175.pdf")</x:f>
        <x:v>www.infonalia.es/adjudicaciones0126/26011175.pdf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9" t="n">
        <x:v>35000.00</x:v>
      </x:c>
      <x:c r="K4" s="9" t="n">
        <x:v>55000.00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HYPERLINK("https://www.infonalia.es/adjudicaciones0126/26011262.pdf","www.infonalia.es/adjudicaciones0126/26011262.pdf")</x:f>
        <x:v>www.infonalia.es/adjudicaciones0126/26011262.pdf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24</x:v>
      </x:c>
      <x:c r="J5" s="9" t="n">
        <x:v>12980.00</x:v>
      </x:c>
      <x:c r="K5" s="9" t="n">
        <x:v>16453.12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HYPERLINK("https://www.infonalia.es/adjudicaciones0126/26011513.pdf","www.infonalia.es/adjudicaciones0126/26011513.pdf")</x:f>
        <x:v>www.infonalia.es/adjudicaciones0126/26011513.pdf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41</x:v>
      </x:c>
      <x:c r="J6" s="9" t="s">
        <x:v>42</x:v>
      </x:c>
      <x:c r="K6" s="9" t="n">
        <x:v>194121.94</x:v>
      </x:c>
    </x:row>
    <x:row r="7">
      <x:c r="A7" s="6" t="s">
        <x:v>11</x:v>
      </x:c>
      <x:c r="B7" s="6" t="s">
        <x:v>43</x:v>
      </x:c>
      <x:c r="C7" s="6" t="s">
        <x:v>13</x:v>
      </x:c>
      <x:c r="D7" s="7" t="str">
        <x:f xml:space="preserve">HYPERLINK("https://www.infonalia.es/adjudicaciones0126/26011525.pdf","www.infonalia.es/adjudicaciones0126/26011525.pdf")</x:f>
        <x:v>www.infonalia.es/adjudicaciones0126/26011525.pdf</x:v>
      </x:c>
      <x:c r="E7" s="8" t="s">
        <x:v>44</x:v>
      </x:c>
      <x:c r="F7" s="6" t="s">
        <x:v>45</x:v>
      </x:c>
      <x:c r="G7" s="6" t="s">
        <x:v>46</x:v>
      </x:c>
      <x:c r="H7" s="6" t="s">
        <x:v>47</x:v>
      </x:c>
      <x:c r="I7" s="6" t="s">
        <x:v>48</x:v>
      </x:c>
      <x:c r="J7" s="9" t="n">
        <x:v>17098.00</x:v>
      </x:c>
      <x:c r="K7" s="9" t="n">
        <x:v>28087.19</x:v>
      </x:c>
    </x:row>
    <x:row r="8">
      <x:c r="A8" s="6" t="s">
        <x:v>11</x:v>
      </x:c>
      <x:c r="B8" s="6" t="s">
        <x:v>49</x:v>
      </x:c>
      <x:c r="C8" s="6" t="s">
        <x:v>13</x:v>
      </x:c>
      <x:c r="D8" s="7" t="str">
        <x:f xml:space="preserve">HYPERLINK("https://www.infonalia.es/adjudicaciones0126/26011564.pdf","www.infonalia.es/adjudicaciones0126/26011564.pdf")</x:f>
        <x:v>www.infonalia.es/adjudicaciones0126/26011564.pdf</x:v>
      </x:c>
      <x:c r="E8" s="8" t="s">
        <x:v>50</x:v>
      </x:c>
      <x:c r="F8" s="6" t="s">
        <x:v>51</x:v>
      </x:c>
      <x:c r="G8" s="6" t="s">
        <x:v>52</x:v>
      </x:c>
      <x:c r="H8" s="6" t="s">
        <x:v>53</x:v>
      </x:c>
      <x:c r="I8" s="6" t="s">
        <x:v>18</x:v>
      </x:c>
      <x:c r="J8" s="9" t="n">
        <x:v>29101.59</x:v>
      </x:c>
      <x:c r="K8" s="9" t="n">
        <x:v>30104.29</x:v>
      </x:c>
    </x:row>
    <x:row r="9">
      <x:c r="A9" s="6" t="s">
        <x:v>11</x:v>
      </x:c>
      <x:c r="B9" s="6" t="s">
        <x:v>54</x:v>
      </x:c>
      <x:c r="C9" s="6" t="s">
        <x:v>13</x:v>
      </x:c>
      <x:c r="D9" s="7" t="str">
        <x:f xml:space="preserve">HYPERLINK("https://www.infonalia.es/adjudicaciones0126/26011642.pdf","www.infonalia.es/adjudicaciones0126/26011642.pdf")</x:f>
        <x:v>www.infonalia.es/adjudicaciones0126/26011642.pdf</x:v>
      </x:c>
      <x:c r="E9" s="8" t="s">
        <x:v>55</x:v>
      </x:c>
      <x:c r="F9" s="6" t="s">
        <x:v>56</x:v>
      </x:c>
      <x:c r="G9" s="6" t="s">
        <x:v>57</x:v>
      </x:c>
      <x:c r="H9" s="6" t="s">
        <x:v>58</x:v>
      </x:c>
      <x:c r="I9" s="6" t="s">
        <x:v>30</x:v>
      </x:c>
      <x:c r="J9" s="9" t="n">
        <x:v>139892.40</x:v>
      </x:c>
      <x:c r="K9" s="9" t="n">
        <x:v>139892.40</x:v>
      </x:c>
    </x:row>
    <x:row r="10">
      <x:c r="A10" s="6" t="s">
        <x:v>11</x:v>
      </x:c>
      <x:c r="B10" s="6" t="s">
        <x:v>59</x:v>
      </x:c>
      <x:c r="C10" s="6" t="s">
        <x:v>13</x:v>
      </x:c>
      <x:c r="D10" s="7" t="str">
        <x:f xml:space="preserve">HYPERLINK("https://www.infonalia.es/adjudicaciones0126/26011685.pdf","www.infonalia.es/adjudicaciones0126/26011685.pdf")</x:f>
        <x:v>www.infonalia.es/adjudicaciones0126/26011685.pdf</x:v>
      </x:c>
      <x:c r="E10" s="8" t="s">
        <x:v>60</x:v>
      </x:c>
      <x:c r="F10" s="6" t="s">
        <x:v>61</x:v>
      </x:c>
      <x:c r="G10" s="6" t="s">
        <x:v>62</x:v>
      </x:c>
      <x:c r="H10" s="6" t="s">
        <x:v>63</x:v>
      </x:c>
      <x:c r="I10" s="6" t="s">
        <x:v>30</x:v>
      </x:c>
      <x:c r="J10" s="9" t="n">
        <x:v>1213.60</x:v>
      </x:c>
      <x:c r="K10" s="9" t="n">
        <x:v>1213.00</x:v>
      </x:c>
    </x:row>
    <x:row r="11">
      <x:c r="A11" s="6" t="s">
        <x:v>11</x:v>
      </x:c>
      <x:c r="B11" s="6" t="s">
        <x:v>64</x:v>
      </x:c>
      <x:c r="C11" s="6" t="s">
        <x:v>13</x:v>
      </x:c>
      <x:c r="D11" s="7" t="str">
        <x:f xml:space="preserve">HYPERLINK("https://www.infonalia.es/adjudicaciones0126/26011686.pdf","www.infonalia.es/adjudicaciones0126/26011686.pdf")</x:f>
        <x:v>www.infonalia.es/adjudicaciones0126/26011686.pdf</x:v>
      </x:c>
      <x:c r="E11" s="8" t="s">
        <x:v>65</x:v>
      </x:c>
      <x:c r="F11" s="6" t="s">
        <x:v>66</x:v>
      </x:c>
      <x:c r="G11" s="6" t="s">
        <x:v>67</x:v>
      </x:c>
      <x:c r="H11" s="6" t="s">
        <x:v>68</x:v>
      </x:c>
      <x:c r="I11" s="6" t="s">
        <x:v>30</x:v>
      </x:c>
      <x:c r="J11" s="9" t="n">
        <x:v>9068.07</x:v>
      </x:c>
      <x:c r="K11" s="9" t="n">
        <x:v>16852.01</x:v>
      </x:c>
    </x:row>
    <x:row r="12">
      <x:c r="A12" s="6" t="s">
        <x:v>11</x:v>
      </x:c>
      <x:c r="B12" s="6" t="s">
        <x:v>69</x:v>
      </x:c>
      <x:c r="C12" s="6" t="s">
        <x:v>13</x:v>
      </x:c>
      <x:c r="D12" s="7" t="str">
        <x:f xml:space="preserve">HYPERLINK("https://www.infonalia.es/adjudicaciones0126/26011742.pdf","www.infonalia.es/adjudicaciones0126/26011742.pdf")</x:f>
        <x:v>www.infonalia.es/adjudicaciones0126/26011742.pdf</x:v>
      </x:c>
      <x:c r="E12" s="8" t="s">
        <x:v>70</x:v>
      </x:c>
      <x:c r="F12" s="6" t="s">
        <x:v>71</x:v>
      </x:c>
      <x:c r="G12" s="6" t="s">
        <x:v>72</x:v>
      </x:c>
      <x:c r="H12" s="6" t="s">
        <x:v>73</x:v>
      </x:c>
      <x:c r="I12" s="6" t="s">
        <x:v>30</x:v>
      </x:c>
      <x:c r="J12" s="9" t="n">
        <x:v>38000.00</x:v>
      </x:c>
      <x:c r="K12" s="9" t="n">
        <x:v>38000.00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