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<x:sst xmlns:x="http://schemas.openxmlformats.org/spreadsheetml/2006/main" count="6" uniqueCount="6">
  <x:si>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</x:si>
  <x:si>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</x:si>
  <x:si>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</x:si>
  <x:si>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</x:si>
  <x:si>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</x:si>
  <x:si>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</x:si>
  <x:si>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2025174829</x:t>
  </x:si>
  <x:si>
    <x:t>Aclaración / Ampliación de pliegos</x:t>
  </x:si>
  <x:si>
    <x:t>CORPORACIÓ CATALANA DE MITJANS AUDIOVISUALS, SA (CCMA, SA)</x:t>
  </x:si>
  <x:si>
    <x:t>Servicio de implantación, mantenimiento y explotación de un nuevo sistema de medida interna de audiencias Cross Media de todos los contenidos de 3Cat. El objeto de esta concurrencia es la contratación por parte de la Corporació Catalana de Mitjans Audiovisuals, S. A. (en adelante CCMA, S. A.) del servicio de implantación, mantenimiento y explotación de un nuevo sistema de medida interna de audiencias Cross Media de todos los contenidos de la CCMA, S. A. Este servicio debe cubrir todas las ventanas de emisión de los contenidos de 3Cat: televisión, radio, plataforma 3CAT, webs, redes sociales, videojuegos, y debe estar abierta a nuevas incorporaciones fruto de los avances tecnológicos</x:t>
  </x:si>
  <x:si>
    <x:t>2026003333</x:t>
  </x:si>
  <x:si>
    <x:t>Corrección de errores</x:t>
  </x:si>
  <x:si>
    <x:t>MADRID DESTINO CULTURA TURISMO Y NEGOCIO, S.A.</x:t>
  </x:si>
  <x:si>
    <x:t>Contratación de la prestación de los servicios de coordinación y trabajo de comunicación, atención a medios y redes sociales de campañas culturales (Lotes 1, 2, 3, 4 y 5) que son encomendadas a Madrid Destino. Lote 1: Navidad y Cabalgata de Reyes, San Isidro y Carnaval. Lote 2: Veranos de la Villa y Refúgiate en la Cultura, Semana Santa y Año Nuevo Chino. Lote 3: Festival Internacional JAZZMADRID. Lote 4: Bienal Flamenco Madrid. Lote 5: Campañas culturales nuevas: medio mes y mes entero.</x:t>
  </x:si>
  <x:si>
    <x:t>2026010424</x:t>
  </x:si>
  <x:si>
    <x:t>GERENCIA DE LA FUNDACIÓN ENAIRE F.S.P</x:t>
  </x:si>
  <x:si>
    <x:t>ARCO 2026. Constituye el objeto del contrato la prestación del servicio de ejecución del diseño gráfico predeterminado, producción gráfica, cobertura audiovisual, mediación cultural y transporte, montaje y desmontaje de obras para el stand de la Feria ARCO 2026</x:t>
  </x:si>
  <x:si>
    <x:t>2026011606</x:t>
  </x:si>
  <x:si>
    <x:t>MINISTERIO DE ECONOMÍA, COMERCIO Y EMPRESA. SECRETARÍA GENERAL DE LA COMISIÓN NACIONAL DE LOS MERCADOS Y LA COMPETENCIA</x:t>
  </x:si>
  <x:si>
    <x:t>El objeto del contrato consiste en proporcionar la asistencia técnica necesaria para la elaboración de un trabajo de análisis y consulta del contenido audiovisual que determinados influencers publican en sus perfiles de plataformas de intercambio de vídeos, con el fin de detectar posibles comunicaciones comerciales no identificadas. Lote 1: Plataforma de intercambio de vídeos Instagram. Lote 2: Plataforma de intercambio de vídeos TikTok. Lote 3: Plataforma de intercambio de vídeos YouTube</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</x:si>
</x:sst>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HYPERLINK("https://www.infonalia.es/modificaciones0226/2025174829.pdf","www.infonalia.es/modificaciones0226/2025174829.pdf")</x:f>
        <x:v>www.infonalia.es/modificaciones0226/2025174829.pdf</x:v>
      </x:c>
      <x:c r="F2" s="5" t="str">
        <x:f xml:space="preserve">HYPERLINK("https://www.infonalia.es/licitaciones1225/2025174829.pdf","www.infonalia.es/licitaciones1225/2025174829.pdf")</x:f>
        <x:v>www.infonalia.es/licitaciones1225/2025174829.pdf</x:v>
      </x:c>
    </x:row>
    <x:row r="3">
      <x:c r="A3" s="3" t="s">
        <x:v>10</x:v>
      </x:c>
      <x:c r="B3" s="4" t="s">
        <x:v>11</x:v>
      </x:c>
      <x:c r="C3" s="4" t="s">
        <x:v>12</x:v>
      </x:c>
      <x:c r="D3" s="4" t="s">
        <x:v>13</x:v>
      </x:c>
      <x:c r="E3" s="5" t="str">
        <x:f xml:space="preserve">HYPERLINK("https://www.infonalia.es/modificaciones0226/2026003333.pdf","www.infonalia.es/modificaciones0226/2026003333.pdf")</x:f>
        <x:v>www.infonalia.es/modificaciones0226/2026003333.pdf</x:v>
      </x:c>
      <x:c r="F3" s="5" t="str">
        <x:f xml:space="preserve">HYPERLINK("https://www.infonalia.es/licitaciones0126/2026003333.pdf","www.infonalia.es/licitaciones0126/2026003333.pdf")</x:f>
        <x:v>www.infonalia.es/licitaciones0126/2026003333.pdf</x:v>
      </x:c>
    </x:row>
    <x:row r="4">
      <x:c r="A4" s="3" t="s">
        <x:v>14</x:v>
      </x:c>
      <x:c r="B4" s="4" t="s">
        <x:v>11</x:v>
      </x:c>
      <x:c r="C4" s="4" t="s">
        <x:v>15</x:v>
      </x:c>
      <x:c r="D4" s="4" t="s">
        <x:v>16</x:v>
      </x:c>
      <x:c r="E4" s="5" t="str">
        <x:f xml:space="preserve">HYPERLINK("https://www.infonalia.es/modificaciones0226/2026010424.pdf","www.infonalia.es/modificaciones0226/2026010424.pdf")</x:f>
        <x:v>www.infonalia.es/modificaciones0226/2026010424.pdf</x:v>
      </x:c>
      <x:c r="F4" s="5" t="str">
        <x:f xml:space="preserve">HYPERLINK("https://www.infonalia.es/licitaciones0226/2026010424.pdf","www.infonalia.es/licitaciones0226/2026010424.pdf")</x:f>
        <x:v>www.infonalia.es/licitaciones0226/2026010424.pdf</x:v>
      </x:c>
    </x:row>
    <x:row r="5">
      <x:c r="A5" s="3" t="s">
        <x:v>17</x:v>
      </x:c>
      <x:c r="B5" s="4" t="s">
        <x:v>11</x:v>
      </x:c>
      <x:c r="C5" s="4" t="s">
        <x:v>18</x:v>
      </x:c>
      <x:c r="D5" s="4" t="s">
        <x:v>19</x:v>
      </x:c>
      <x:c r="E5" s="5" t="str">
        <x:f xml:space="preserve">HYPERLINK("https://www.infonalia.es/modificaciones0226/2026011606.pdf","www.infonalia.es/modificaciones0226/2026011606.pdf")</x:f>
        <x:v>www.infonalia.es/modificaciones0226/2026011606.pdf</x:v>
      </x:c>
      <x:c r="F5" s="5" t="str">
        <x:f xml:space="preserve">HYPERLINK("https://www.infonalia.es/licitaciones0226/2026011606.pdf","www.infonalia.es/licitaciones0226/2026011606.pdf")</x:f>
        <x:v>www.infonalia.es/licitaciones0226/2026011606.pdf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