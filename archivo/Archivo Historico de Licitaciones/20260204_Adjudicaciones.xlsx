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<x:sst xmlns:x="http://schemas.openxmlformats.org/spreadsheetml/2006/main" count="11" uniqueCount="11">
  <x:si>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</x:si>
  <x:si>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</x:si>
  <x:si>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</x:si>
  <x:si>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</x:si>
  <x:si>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</x:si>
  <x:si>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</x:si>
  <x:si>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</x:si>
  <x:si>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</x:si>
  <x:si>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</x:si>
  <x:si>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</x:si>
  <x:si>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</x:si>
  <x:si>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</x:si>
  <x:si>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CONMUNICA MEDIATRADER, S.L.U</x:t>
  </x:si>
  <x:si>
    <x:t>04/02/2026 0:00:00</x:t>
  </x:si>
  <x:si>
    <x:t>26016534</x:t>
  </x:si>
  <x:si>
    <x:t>PRESIDENCIA DE LA FUNDACIÓN FELIPE II</x:t>
  </x:si>
  <x:si>
    <x:t>Contratación de la prestación de servicios de gestión de redes sociales y Community Manager de la Fundación Felipe II</x:t>
  </x:si>
  <x:si>
    <x:t>03/2025</x:t>
  </x:si>
  <x:si>
    <x:t>Madrid</x:t>
  </x:si>
  <x:si>
    <x:t>LA GRÀFICA CREATIVE EXPERIENCE S.L</x:t>
  </x:si>
  <x:si>
    <x:t>26016596</x:t>
  </x:si>
  <x:si>
    <x:t>CONSEJO COMARCAL DEL BAIX EBRE (TARRAGONA)</x:t>
  </x:si>
  <x:si>
    <x:t>El servicio objeto del contrato consiste en elaborar los materiales de difusión de las acciones del proyecto Trabajo en las Comarcas Baix Ebre Avant para el período 2024-2025 con el objetivo de dar a conocer a los diferentes públicos las diversas acciones que se enmarcan dentro del proyecto</x:t>
  </x:si>
  <x:si>
    <x:t>4404/2025</x:t>
  </x:si>
  <x:si>
    <x:t>Tarragona</x:t>
  </x:si>
  <x:si>
    <x:t>NOE CONCEPTOS ESPECIALES S.L</x:t>
  </x:si>
  <x:si>
    <x:t>26016613</x:t>
  </x:si>
  <x:si>
    <x:t>AGÈNCIA PER A LA COMPETITIVITAT DE L'EMPRESA, ACCIÓ</x:t>
  </x:si>
  <x:si>
    <x:t>El objeto del contrato consiste en los servicios de diseño, construcción, montaje, desmontaje y supervisión del stand de la Generalidad de Cataluña en ALIMENTARIA 2026, que se celebrará en la Feria de Barcelona del 23 al 26 de marzo de 2026</x:t>
  </x:si>
  <x:si>
    <x:t>ACCIO-2026-21</x:t>
  </x:si>
  <x:si>
    <x:t>Barcelona</x:t>
  </x:si>
  <x:si>
    <x:t>ESTUDI JORDI CARALT, SL</x:t>
  </x:si>
  <x:si>
    <x:t>26016740</x:t>
  </x:si>
  <x:si>
    <x:t>CONSEJO COMARCAL DEL MOIANÈS (BARCELONA)</x:t>
  </x:si>
  <x:si>
    <x:t>Servicio de diseño gráfico del material de difusión y comunicación del Consejo Comarcal de El Moianès. Ver cláusula 1 del PCAP</x:t>
  </x:si>
  <x:si>
    <x:t>208/2025</x:t>
  </x:si>
  <x:si>
    <x:t>S.E. DE CARBUROS METÁLICOS SA</x:t>
  </x:si>
  <x:si>
    <x:t>26016881</x:t>
  </x:si>
  <x:si>
    <x:t>PATRONATO MUNICIPAL DE DEPORTES DE TARRAGONA</x:t>
  </x:si>
  <x:si>
    <x:t>Selección de empresas patrocinadoras de la 33ª edición de la Media Maratón + 10K "Ciutat de Tarragona"</x:t>
  </x:si>
  <x:si>
    <x:t>2024/1-EG676_1</x:t>
  </x:si>
  <x:si>
    <x:t>INTRACATALÒNIA, SA</x:t>
  </x:si>
  <x:si>
    <x:t>26016886</x:t>
  </x:si>
  <x:si>
    <x:t>GENERALITAT DE CATALUNYA. DEPARTAMENTO DE TERRITORIO, VIVIENDA Y TRANSICIÓN ECOLÓGICA</x:t>
  </x:si>
  <x:si>
    <x:t>Suministro del servicio de noticias ACN 2026</x:t>
  </x:si>
  <x:si>
    <x:t>PTOP-2026-80</x:t>
  </x:si>
  <x:si>
    <x:t>Catalunya</x:t>
  </x:si>
  <x:si>
    <x:t>FRANCISCO JAVIER GOMEZ RUIZ</x:t>
  </x:si>
  <x:si>
    <x:t>26016900</x:t>
  </x:si>
  <x:si>
    <x:t>ALCALDÍA DEL AYUNTAMIENTO DE VILLANUEVA DE LA CAÑADA (MADRID)</x:t>
  </x:si>
  <x:si>
    <x:t>Prórroga del contrato de servicio de organización y montaje de exposiciones, tramitado con número de expediente 23.02.11/2024/0016</x:t>
  </x:si>
  <x:si>
    <x:t>23.04.73/2025/0027</x:t>
  </x:si>
  <x:si>
    <x:t>AGÈNCIA EFE, S.A.U.S.M.E</x:t>
  </x:si>
  <x:si>
    <x:t>26016941</x:t>
  </x:si>
  <x:si>
    <x:t>Suministro del Servicio de noticias Agencia EFE 2026</x:t>
  </x:si>
  <x:si>
    <x:t>PTOP-2026-74</x:t>
  </x:si>
  <x:si>
    <x:t>LINKATEAM, S.A.S</x:t>
  </x:si>
  <x:si>
    <x:t>26017033</x:t>
  </x:si>
  <x:si>
    <x:t>PRESIDENCIA DEL CONSEJO DE ADMINISTRACIÓN DE LA AUTORIDAD PORTUARIA DE BARCELONA (PORT DE BARCELONA)</x:t>
  </x:si>
  <x:si>
    <x:t>Contrato de patrocinio publicitario con motivo del Symposium Douane Classe Export (París, Burdeos y Lyon) y servicios complementarios de publicidad y cesión de datos para el años 2026. Clave de expediente: 2026C290001</x:t>
  </x:si>
  <x:si>
    <x:t>2026-00037</x:t>
  </x:si>
  <x:si>
    <x:t>Formalizado</x:t>
  </x:si>
  <x:si>
    <x:t>LOTE 1 NTT DATA SPAIN, S.L.U.</x:t>
  </x:si>
  <x:si>
    <x:t>26017165</x:t>
  </x:si>
  <x:si>
    <x:t>CONSEJERÍA DE PRESIDENCIA, RETO DEMOGRÁFICO, IGUALDAD Y TURISMO DEL PRINCIPADO DE ASTURIAS</x:t>
  </x:si>
  <x:si>
    <x:t>Servicios de comunicación y marketing digital y de apoyo a la implantación de la identidad gráfica digital. Lote 1: Servicios de comunicación y marketing digital de la Dirección General de Estrategia Digital e Inteligencia Artificial. Lote 2: Servicios de apoyo a la implantación de la identidad gráfica digital.</x:t>
  </x:si>
  <x:si>
    <x:t>2025000508</x:t>
  </x:si>
  <x:si>
    <x:t>Asturias</x:t>
  </x:si>
  <x:si>
    <x:t>AGENCIA EFE S.A.U. S.M.E</x:t>
  </x:si>
  <x:si>
    <x:t>26017193</x:t>
  </x:si>
  <x:si>
    <x:t>MESA DEL CONGRESO DE LOS DIPUTADOS</x:t>
  </x:si>
  <x:si>
    <x:t>Recepción del servicio de noticias de la Agencia Efe</x:t>
  </x:si>
  <x:si>
    <x:t>CON-P2025/0100012.0</x:t>
  </x:si>
  <x:si>
    <x:t>Ver detalle de la adjudicación</x:t>
  </x:si>
  <x:si>
    <x:t>AGENCIA EUROPA PRESS, S.A</x:t>
  </x:si>
  <x:si>
    <x:t>26017205</x:t>
  </x:si>
  <x:si>
    <x:t>Recepción del servicio de noticias de la Agencia Europa Press</x:t>
  </x:si>
  <x:si>
    <x:t>CON-P2025/0100013.0</x:t>
  </x:si>
  <x:si>
    <x:t>R.P. UNO S.L. INTERPROFIT</x:t>
  </x:si>
  <x:si>
    <x:t>26017233</x:t>
  </x:si>
  <x:si>
    <x:t>FUNDACIÓ BARCELONA MOBILE WORLD CAPITAL FOUNDATION</x:t>
  </x:si>
  <x:si>
    <x:t>El objeto del contrato consiste en la prestación de un servicio de conceptualización, coordinación y ejecución del proyecto Mobile Lunch 2026, en los términos y condiciones definidos en el Pliego de Prescripciones Técnicas.</x:t>
  </x:si>
  <x:si>
    <x:t>A/F202523/S</x:t>
  </x:si>
  <x:si>
    <x:t>TÉCNICA DE TRANSPORTES INTERNACIONALES SAU</x:t>
  </x:si>
  <x:si>
    <x:t>26017245</x:t>
  </x:si>
  <x:si>
    <x:t>FUNDACIÓ PRIVADA ANTONI TÀPIES</x:t>
  </x:si>
  <x:si>
    <x:t>El objeto del presente contrato es la prestación de los servicios de transporte de concentración y dispersión, así como las tareas de desembalaje, reembalaje, montaje y desmontaje de la exposición "Àngel Jové. De intactu", que se celebrará en la sede de la Fundación Privada Antoni Tàpies (Museo Tàpies) desde el 19 de marzo del 20. La descripción detallada de las prestaciones objeto del contrato se recoge en el Pliego de Prescripciones Técnicas</x:t>
  </x:si>
  <x:si>
    <x:t>01/2026</x:t>
  </x:si>
  <x:si>
    <x:t>LOTE 2 BYRON BOOKS, SL</x:t>
  </x:si>
  <x:si>
    <x:t>26017248</x:t>
  </x:si>
  <x:si>
    <x:t>FUNDACIÓN DEL GRAN TEATRE DEL LICEU</x:t>
  </x:si>
  <x:si>
    <x:t>Servicio de diseño gráfico y maquetación para el desarrollo de materiales editoriales y comunicativos vinculados a la actividad del Gran Teatre del Liceu. Lote 1 Incluye la conceptualización y maquetación de los programas de mano para las actividades del teatro. Lote 2 Incluye la dirección de arte, diseño y maquetación del libro de temporada, así como todos los materiales relacionados con la programación y estilo de una temporada, reflejando la línea creativa y artística de cada temporada. Lote 3 Proporciona una bolsa de horas flexible para cubrir necesidades puntuales de diseño gráfico, branding, conceptualización creativa u otras tareas relacionadas con la comunicación y el diseño gráfico durante la temporada.</x:t>
  </x:si>
  <x:si>
    <x:t>043-T2425-DEF-SE</x:t>
  </x:si>
  <x:si>
    <x:t>ESTUDI FERRAN SENDRA, S.L</x:t>
  </x:si>
  <x:si>
    <x:t>26017275</x:t>
  </x:si>
  <x:si>
    <x:t>GENERALITAT DE CATALUNYA. DEPARTAMENTO DE EDUCACIÓN Y FORMACIÓN PROFESIONAL</x:t>
  </x:si>
  <x:si>
    <x:t>Servicios de conceptualización, diseño, producción, construcción, montaje, desmontaje y explotación del stand de Enseñanzas Artísticas Superiores de la Generalitat de Catalunya para el Salón de la Enseñanza, Barcelona 2026, que está previsto que se celebre del 18 al 22 de marzo de 2026 en el recinto ferial de Barcelona Montjuïc.</x:t>
  </x:si>
  <x:si>
    <x:t>ED-2026-9</x:t>
  </x:si>
  <x:si>
    <x:t>BETA SYSTEM INFORMATICA S.L</x:t>
  </x:si>
  <x:si>
    <x:t>26017278</x:t>
  </x:si>
  <x:si>
    <x:t>PRESTACIÓ DE SERVEIS A LA CIUTADANIA, SA (PRESECSA)</x:t>
  </x:si>
  <x:si>
    <x:t>Es el servicio de elaboración de material audiovisual y de comunicación por la empresa municipal Prestación de Servicios a la Ciudadanía S.A</x:t>
  </x:si>
  <x:si>
    <x:t>EXP. 11/2025</x:t>
  </x:si>
  <x:si>
    <x:t>FUNDACIÓN CRE100DO</x:t>
  </x:si>
  <x:si>
    <x:t>26017345</x:t>
  </x:si>
  <x:si>
    <x:t>DIRECCIÓN DE LA FUNDACIÓN ICO</x:t>
  </x:si>
  <x:si>
    <x:t>Patrocinio para la organización de jornadas para empresas del ecosistema CRE100DO: jornada de CFOs; jornada retiro CEOs; evento anual y Programa TRAS100DE</x:t>
  </x:si>
  <x:si>
    <x:t>NSP01/2026</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</x:si>
</x:sst>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HYPERLINK("https://www.infonalia.es/adjudicaciones0226/26016534.pdf","www.infonalia.es/adjudicaciones0226/26016534.pdf")</x:f>
        <x:v>www.infonalia.es/adjudicaciones0226/26016534.pdf</x:v>
      </x:c>
      <x:c r="E2" s="8" t="s">
        <x:v>14</x:v>
      </x:c>
      <x:c r="F2" s="6" t="s">
        <x:v>15</x:v>
      </x:c>
      <x:c r="G2" s="6" t="s">
        <x:v>16</x:v>
      </x:c>
      <x:c r="H2" s="6" t="s">
        <x:v>17</x:v>
      </x:c>
      <x:c r="I2" s="6" t="s">
        <x:v>18</x:v>
      </x:c>
      <x:c r="J2" s="9" t="n">
        <x:v>6577.00</x:v>
      </x:c>
      <x:c r="K2" s="9" t="n">
        <x:v>6726.38</x:v>
      </x:c>
    </x:row>
    <x:row r="3">
      <x:c r="A3" s="6" t="s">
        <x:v>11</x:v>
      </x:c>
      <x:c r="B3" s="6" t="s">
        <x:v>19</x:v>
      </x:c>
      <x:c r="C3" s="6" t="s">
        <x:v>13</x:v>
      </x:c>
      <x:c r="D3" s="7" t="str">
        <x:f xml:space="preserve">HYPERLINK("https://www.infonalia.es/adjudicaciones0226/26016596.pdf","www.infonalia.es/adjudicaciones0226/26016596.pdf")</x:f>
        <x:v>www.infonalia.es/adjudicaciones0226/26016596.pdf</x:v>
      </x:c>
      <x:c r="E3" s="8" t="s">
        <x:v>20</x:v>
      </x:c>
      <x:c r="F3" s="6" t="s">
        <x:v>21</x:v>
      </x:c>
      <x:c r="G3" s="6" t="s">
        <x:v>22</x:v>
      </x:c>
      <x:c r="H3" s="6" t="s">
        <x:v>23</x:v>
      </x:c>
      <x:c r="I3" s="6" t="s">
        <x:v>24</x:v>
      </x:c>
      <x:c r="J3" s="9" t="n">
        <x:v>5399.00</x:v>
      </x:c>
      <x:c r="K3" s="9" t="n">
        <x:v>10577.50</x:v>
      </x:c>
    </x:row>
    <x:row r="4">
      <x:c r="A4" s="6" t="s">
        <x:v>11</x:v>
      </x:c>
      <x:c r="B4" s="6" t="s">
        <x:v>25</x:v>
      </x:c>
      <x:c r="C4" s="6" t="s">
        <x:v>13</x:v>
      </x:c>
      <x:c r="D4" s="7" t="str">
        <x:f xml:space="preserve">HYPERLINK("https://www.infonalia.es/adjudicaciones0226/26016613.pdf","www.infonalia.es/adjudicaciones0226/26016613.pdf")</x:f>
        <x:v>www.infonalia.es/adjudicaciones0226/26016613.pdf</x:v>
      </x:c>
      <x:c r="E4" s="8" t="s">
        <x:v>26</x:v>
      </x:c>
      <x:c r="F4" s="6" t="s">
        <x:v>27</x:v>
      </x:c>
      <x:c r="G4" s="6" t="s">
        <x:v>28</x:v>
      </x:c>
      <x:c r="H4" s="6" t="s">
        <x:v>29</x:v>
      </x:c>
      <x:c r="I4" s="6" t="s">
        <x:v>30</x:v>
      </x:c>
      <x:c r="J4" s="9" t="n">
        <x:v>113500.00</x:v>
      </x:c>
      <x:c r="K4" s="9" t="n">
        <x:v>120000.00</x:v>
      </x:c>
    </x:row>
    <x:row r="5">
      <x:c r="A5" s="6" t="s">
        <x:v>11</x:v>
      </x:c>
      <x:c r="B5" s="6" t="s">
        <x:v>31</x:v>
      </x:c>
      <x:c r="C5" s="6" t="s">
        <x:v>13</x:v>
      </x:c>
      <x:c r="D5" s="7" t="str">
        <x:f xml:space="preserve">HYPERLINK("https://www.infonalia.es/adjudicaciones0226/26016740.pdf","www.infonalia.es/adjudicaciones0226/26016740.pdf")</x:f>
        <x:v>www.infonalia.es/adjudicaciones0226/26016740.pdf</x:v>
      </x:c>
      <x:c r="E5" s="8" t="s">
        <x:v>32</x:v>
      </x:c>
      <x:c r="F5" s="6" t="s">
        <x:v>33</x:v>
      </x:c>
      <x:c r="G5" s="6" t="s">
        <x:v>34</x:v>
      </x:c>
      <x:c r="H5" s="6" t="s">
        <x:v>35</x:v>
      </x:c>
      <x:c r="I5" s="6" t="s">
        <x:v>30</x:v>
      </x:c>
      <x:c r="J5" s="9" t="n">
        <x:v>8055.00</x:v>
      </x:c>
      <x:c r="K5" s="9" t="n">
        <x:v>11183.86</x:v>
      </x:c>
    </x:row>
    <x:row r="6">
      <x:c r="A6" s="6" t="s">
        <x:v>11</x:v>
      </x:c>
      <x:c r="B6" s="6" t="s">
        <x:v>36</x:v>
      </x:c>
      <x:c r="C6" s="6" t="s">
        <x:v>13</x:v>
      </x:c>
      <x:c r="D6" s="7" t="str">
        <x:f xml:space="preserve">HYPERLINK("https://www.infonalia.es/adjudicaciones0226/26016881.pdf","www.infonalia.es/adjudicaciones0226/26016881.pdf")</x:f>
        <x:v>www.infonalia.es/adjudicaciones0226/26016881.pdf</x:v>
      </x:c>
      <x:c r="E6" s="8" t="s">
        <x:v>37</x:v>
      </x:c>
      <x:c r="F6" s="6" t="s">
        <x:v>38</x:v>
      </x:c>
      <x:c r="G6" s="6" t="s">
        <x:v>39</x:v>
      </x:c>
      <x:c r="H6" s="6" t="s">
        <x:v>40</x:v>
      </x:c>
      <x:c r="I6" s="6" t="s">
        <x:v>24</x:v>
      </x:c>
      <x:c r="J6" s="9" t="n">
        <x:v>0.00</x:v>
      </x:c>
      <x:c r="K6" s="9" t="n">
        <x:v>0.00</x:v>
      </x:c>
    </x:row>
    <x:row r="7">
      <x:c r="A7" s="6" t="s">
        <x:v>11</x:v>
      </x:c>
      <x:c r="B7" s="6" t="s">
        <x:v>41</x:v>
      </x:c>
      <x:c r="C7" s="6" t="s">
        <x:v>13</x:v>
      </x:c>
      <x:c r="D7" s="7" t="str">
        <x:f xml:space="preserve">HYPERLINK("https://www.infonalia.es/adjudicaciones0226/26016886.pdf","www.infonalia.es/adjudicaciones0226/26016886.pdf")</x:f>
        <x:v>www.infonalia.es/adjudicaciones0226/26016886.pdf</x:v>
      </x:c>
      <x:c r="E7" s="8" t="s">
        <x:v>42</x:v>
      </x:c>
      <x:c r="F7" s="6" t="s">
        <x:v>43</x:v>
      </x:c>
      <x:c r="G7" s="6" t="s">
        <x:v>44</x:v>
      </x:c>
      <x:c r="H7" s="6" t="s">
        <x:v>45</x:v>
      </x:c>
      <x:c r="I7" s="6" t="s">
        <x:v>46</x:v>
      </x:c>
      <x:c r="J7" s="9" t="n">
        <x:v>32652.51</x:v>
      </x:c>
      <x:c r="K7" s="9" t="n">
        <x:v>32652.51</x:v>
      </x:c>
    </x:row>
    <x:row r="8">
      <x:c r="A8" s="6" t="s">
        <x:v>11</x:v>
      </x:c>
      <x:c r="B8" s="6" t="s">
        <x:v>47</x:v>
      </x:c>
      <x:c r="C8" s="6" t="s">
        <x:v>13</x:v>
      </x:c>
      <x:c r="D8" s="7" t="str">
        <x:f xml:space="preserve">HYPERLINK("https://www.infonalia.es/adjudicaciones0226/26016900.pdf","www.infonalia.es/adjudicaciones0226/26016900.pdf")</x:f>
        <x:v>www.infonalia.es/adjudicaciones0226/26016900.pdf</x:v>
      </x:c>
      <x:c r="E8" s="8" t="s">
        <x:v>48</x:v>
      </x:c>
      <x:c r="F8" s="6" t="s">
        <x:v>49</x:v>
      </x:c>
      <x:c r="G8" s="6" t="s">
        <x:v>50</x:v>
      </x:c>
      <x:c r="H8" s="6" t="s">
        <x:v>51</x:v>
      </x:c>
      <x:c r="I8" s="6" t="s">
        <x:v>18</x:v>
      </x:c>
      <x:c r="J8" s="9" t="n">
        <x:v>9600.00</x:v>
      </x:c>
      <x:c r="K8" s="9" t="n">
        <x:v>9600.00</x:v>
      </x:c>
    </x:row>
    <x:row r="9">
      <x:c r="A9" s="6" t="s">
        <x:v>11</x:v>
      </x:c>
      <x:c r="B9" s="6" t="s">
        <x:v>52</x:v>
      </x:c>
      <x:c r="C9" s="6" t="s">
        <x:v>13</x:v>
      </x:c>
      <x:c r="D9" s="7" t="str">
        <x:f xml:space="preserve">HYPERLINK("https://www.infonalia.es/adjudicaciones0226/26016941.pdf","www.infonalia.es/adjudicaciones0226/26016941.pdf")</x:f>
        <x:v>www.infonalia.es/adjudicaciones0226/26016941.pdf</x:v>
      </x:c>
      <x:c r="E9" s="8" t="s">
        <x:v>53</x:v>
      </x:c>
      <x:c r="F9" s="6" t="s">
        <x:v>43</x:v>
      </x:c>
      <x:c r="G9" s="6" t="s">
        <x:v>54</x:v>
      </x:c>
      <x:c r="H9" s="6" t="s">
        <x:v>55</x:v>
      </x:c>
      <x:c r="I9" s="6" t="s">
        <x:v>46</x:v>
      </x:c>
      <x:c r="J9" s="9" t="n">
        <x:v>19073.24</x:v>
      </x:c>
      <x:c r="K9" s="9" t="n">
        <x:v>19073.24</x:v>
      </x:c>
    </x:row>
    <x:row r="10">
      <x:c r="A10" s="6" t="s">
        <x:v>11</x:v>
      </x:c>
      <x:c r="B10" s="6" t="s">
        <x:v>56</x:v>
      </x:c>
      <x:c r="C10" s="6" t="s">
        <x:v>13</x:v>
      </x:c>
      <x:c r="D10" s="7" t="str">
        <x:f xml:space="preserve">HYPERLINK("https://www.infonalia.es/adjudicaciones0226/26017033.pdf","www.infonalia.es/adjudicaciones0226/26017033.pdf")</x:f>
        <x:v>www.infonalia.es/adjudicaciones0226/26017033.pdf</x:v>
      </x:c>
      <x:c r="E10" s="8" t="s">
        <x:v>57</x:v>
      </x:c>
      <x:c r="F10" s="6" t="s">
        <x:v>58</x:v>
      </x:c>
      <x:c r="G10" s="6" t="s">
        <x:v>59</x:v>
      </x:c>
      <x:c r="H10" s="6" t="s">
        <x:v>60</x:v>
      </x:c>
      <x:c r="I10" s="6" t="s">
        <x:v>30</x:v>
      </x:c>
      <x:c r="J10" s="9" t="n">
        <x:v>33000.00</x:v>
      </x:c>
      <x:c r="K10" s="9" t="n">
        <x:v>33000.00</x:v>
      </x:c>
    </x:row>
    <x:row r="11">
      <x:c r="A11" s="6" t="s">
        <x:v>61</x:v>
      </x:c>
      <x:c r="B11" s="6" t="s">
        <x:v>62</x:v>
      </x:c>
      <x:c r="C11" s="6" t="s">
        <x:v>13</x:v>
      </x:c>
      <x:c r="D11" s="7" t="str">
        <x:f xml:space="preserve">HYPERLINK("https://www.infonalia.es/adjudicaciones0226/26017165.pdf","www.infonalia.es/adjudicaciones0226/26017165.pdf")</x:f>
        <x:v>www.infonalia.es/adjudicaciones0226/26017165.pdf</x:v>
      </x:c>
      <x:c r="E11" s="8" t="s">
        <x:v>63</x:v>
      </x:c>
      <x:c r="F11" s="6" t="s">
        <x:v>64</x:v>
      </x:c>
      <x:c r="G11" s="6" t="s">
        <x:v>65</x:v>
      </x:c>
      <x:c r="H11" s="6" t="s">
        <x:v>66</x:v>
      </x:c>
      <x:c r="I11" s="6" t="s">
        <x:v>67</x:v>
      </x:c>
      <x:c r="J11" s="9" t="n">
        <x:v>318240.00</x:v>
      </x:c>
      <x:c r="K11" s="9" t="n">
        <x:v>489600.00</x:v>
      </x:c>
    </x:row>
    <x:row r="12">
      <x:c r="A12" s="6" t="s">
        <x:v>11</x:v>
      </x:c>
      <x:c r="B12" s="6" t="s">
        <x:v>68</x:v>
      </x:c>
      <x:c r="C12" s="6" t="s">
        <x:v>13</x:v>
      </x:c>
      <x:c r="D12" s="7" t="str">
        <x:f xml:space="preserve">HYPERLINK("https://www.infonalia.es/adjudicaciones0226/26017193.pdf","www.infonalia.es/adjudicaciones0226/26017193.pdf")</x:f>
        <x:v>www.infonalia.es/adjudicaciones0226/26017193.pdf</x:v>
      </x:c>
      <x:c r="E12" s="8" t="s">
        <x:v>69</x:v>
      </x:c>
      <x:c r="F12" s="6" t="s">
        <x:v>70</x:v>
      </x:c>
      <x:c r="G12" s="6" t="s">
        <x:v>71</x:v>
      </x:c>
      <x:c r="H12" s="6" t="s">
        <x:v>72</x:v>
      </x:c>
      <x:c r="I12" s="6" t="s">
        <x:v>18</x:v>
      </x:c>
      <x:c r="J12" s="9" t="n">
        <x:v>81189.84</x:v>
      </x:c>
      <x:c r="K12" s="9" t="s">
        <x:v>73</x:v>
      </x:c>
    </x:row>
    <x:row r="13">
      <x:c r="A13" s="6" t="s">
        <x:v>11</x:v>
      </x:c>
      <x:c r="B13" s="6" t="s">
        <x:v>74</x:v>
      </x:c>
      <x:c r="C13" s="6" t="s">
        <x:v>13</x:v>
      </x:c>
      <x:c r="D13" s="7" t="str">
        <x:f xml:space="preserve">HYPERLINK("https://www.infonalia.es/adjudicaciones0226/26017205.pdf","www.infonalia.es/adjudicaciones0226/26017205.pdf")</x:f>
        <x:v>www.infonalia.es/adjudicaciones0226/26017205.pdf</x:v>
      </x:c>
      <x:c r="E13" s="8" t="s">
        <x:v>75</x:v>
      </x:c>
      <x:c r="F13" s="6" t="s">
        <x:v>70</x:v>
      </x:c>
      <x:c r="G13" s="6" t="s">
        <x:v>76</x:v>
      </x:c>
      <x:c r="H13" s="6" t="s">
        <x:v>77</x:v>
      </x:c>
      <x:c r="I13" s="6" t="s">
        <x:v>18</x:v>
      </x:c>
      <x:c r="J13" s="9" t="n">
        <x:v>214425.55</x:v>
      </x:c>
      <x:c r="K13" s="9" t="s">
        <x:v>73</x:v>
      </x:c>
    </x:row>
    <x:row r="14">
      <x:c r="A14" s="6" t="s">
        <x:v>11</x:v>
      </x:c>
      <x:c r="B14" s="6" t="s">
        <x:v>78</x:v>
      </x:c>
      <x:c r="C14" s="6" t="s">
        <x:v>13</x:v>
      </x:c>
      <x:c r="D14" s="7" t="str">
        <x:f xml:space="preserve">HYPERLINK("https://www.infonalia.es/adjudicaciones0226/26017233.pdf","www.infonalia.es/adjudicaciones0226/26017233.pdf")</x:f>
        <x:v>www.infonalia.es/adjudicaciones0226/26017233.pdf</x:v>
      </x:c>
      <x:c r="E14" s="8" t="s">
        <x:v>79</x:v>
      </x:c>
      <x:c r="F14" s="6" t="s">
        <x:v>80</x:v>
      </x:c>
      <x:c r="G14" s="6" t="s">
        <x:v>81</x:v>
      </x:c>
      <x:c r="H14" s="6" t="s">
        <x:v>82</x:v>
      </x:c>
      <x:c r="I14" s="6" t="s">
        <x:v>30</x:v>
      </x:c>
      <x:c r="J14" s="9" t="n">
        <x:v>99200.00</x:v>
      </x:c>
      <x:c r="K14" s="9" t="n">
        <x:v>124000.00</x:v>
      </x:c>
    </x:row>
    <x:row r="15">
      <x:c r="A15" s="6" t="s">
        <x:v>11</x:v>
      </x:c>
      <x:c r="B15" s="6" t="s">
        <x:v>83</x:v>
      </x:c>
      <x:c r="C15" s="6" t="s">
        <x:v>13</x:v>
      </x:c>
      <x:c r="D15" s="7" t="str">
        <x:f xml:space="preserve">HYPERLINK("https://www.infonalia.es/adjudicaciones0226/26017245.pdf","www.infonalia.es/adjudicaciones0226/26017245.pdf")</x:f>
        <x:v>www.infonalia.es/adjudicaciones0226/26017245.pdf</x:v>
      </x:c>
      <x:c r="E15" s="8" t="s">
        <x:v>84</x:v>
      </x:c>
      <x:c r="F15" s="6" t="s">
        <x:v>85</x:v>
      </x:c>
      <x:c r="G15" s="6" t="s">
        <x:v>86</x:v>
      </x:c>
      <x:c r="H15" s="6" t="s">
        <x:v>87</x:v>
      </x:c>
      <x:c r="I15" s="6" t="s">
        <x:v>30</x:v>
      </x:c>
      <x:c r="J15" s="9" t="n">
        <x:v>46935.00</x:v>
      </x:c>
      <x:c r="K15" s="9" t="n">
        <x:v>53518.30</x:v>
      </x:c>
    </x:row>
    <x:row r="16">
      <x:c r="A16" s="6" t="s">
        <x:v>61</x:v>
      </x:c>
      <x:c r="B16" s="6" t="s">
        <x:v>88</x:v>
      </x:c>
      <x:c r="C16" s="6" t="s">
        <x:v>13</x:v>
      </x:c>
      <x:c r="D16" s="7" t="str">
        <x:f xml:space="preserve">HYPERLINK("https://www.infonalia.es/adjudicaciones0226/26017248.pdf","www.infonalia.es/adjudicaciones0226/26017248.pdf")</x:f>
        <x:v>www.infonalia.es/adjudicaciones0226/26017248.pdf</x:v>
      </x:c>
      <x:c r="E16" s="8" t="s">
        <x:v>89</x:v>
      </x:c>
      <x:c r="F16" s="6" t="s">
        <x:v>90</x:v>
      </x:c>
      <x:c r="G16" s="6" t="s">
        <x:v>91</x:v>
      </x:c>
      <x:c r="H16" s="6" t="s">
        <x:v>92</x:v>
      </x:c>
      <x:c r="I16" s="6" t="s">
        <x:v>30</x:v>
      </x:c>
      <x:c r="J16" s="9" t="n">
        <x:v>30200.00</x:v>
      </x:c>
      <x:c r="K16" s="9" t="n">
        <x:v>77900.00</x:v>
      </x:c>
    </x:row>
    <x:row r="17">
      <x:c r="A17" s="6" t="s">
        <x:v>11</x:v>
      </x:c>
      <x:c r="B17" s="6" t="s">
        <x:v>93</x:v>
      </x:c>
      <x:c r="C17" s="6" t="s">
        <x:v>13</x:v>
      </x:c>
      <x:c r="D17" s="7" t="str">
        <x:f xml:space="preserve">HYPERLINK("https://www.infonalia.es/adjudicaciones0226/26017275.pdf","www.infonalia.es/adjudicaciones0226/26017275.pdf")</x:f>
        <x:v>www.infonalia.es/adjudicaciones0226/26017275.pdf</x:v>
      </x:c>
      <x:c r="E17" s="8" t="s">
        <x:v>94</x:v>
      </x:c>
      <x:c r="F17" s="6" t="s">
        <x:v>95</x:v>
      </x:c>
      <x:c r="G17" s="6" t="s">
        <x:v>96</x:v>
      </x:c>
      <x:c r="H17" s="6" t="s">
        <x:v>97</x:v>
      </x:c>
      <x:c r="I17" s="6" t="s">
        <x:v>30</x:v>
      </x:c>
      <x:c r="J17" s="9" t="n">
        <x:v>29712.85</x:v>
      </x:c>
      <x:c r="K17" s="9" t="n">
        <x:v>31097.26</x:v>
      </x:c>
    </x:row>
    <x:row r="18">
      <x:c r="A18" s="6" t="s">
        <x:v>11</x:v>
      </x:c>
      <x:c r="B18" s="6" t="s">
        <x:v>98</x:v>
      </x:c>
      <x:c r="C18" s="6" t="s">
        <x:v>13</x:v>
      </x:c>
      <x:c r="D18" s="7" t="str">
        <x:f xml:space="preserve">HYPERLINK("https://www.infonalia.es/adjudicaciones0226/26017278.pdf","www.infonalia.es/adjudicaciones0226/26017278.pdf")</x:f>
        <x:v>www.infonalia.es/adjudicaciones0226/26017278.pdf</x:v>
      </x:c>
      <x:c r="E18" s="8" t="s">
        <x:v>99</x:v>
      </x:c>
      <x:c r="F18" s="6" t="s">
        <x:v>100</x:v>
      </x:c>
      <x:c r="G18" s="6" t="s">
        <x:v>101</x:v>
      </x:c>
      <x:c r="H18" s="6" t="s">
        <x:v>102</x:v>
      </x:c>
      <x:c r="I18" s="6" t="s">
        <x:v>30</x:v>
      </x:c>
      <x:c r="J18" s="9" t="n">
        <x:v>5000.00</x:v>
      </x:c>
      <x:c r="K18" s="9" t="n">
        <x:v>5000.00</x:v>
      </x:c>
    </x:row>
    <x:row r="19">
      <x:c r="A19" s="6" t="s">
        <x:v>11</x:v>
      </x:c>
      <x:c r="B19" s="6" t="s">
        <x:v>103</x:v>
      </x:c>
      <x:c r="C19" s="6" t="s">
        <x:v>13</x:v>
      </x:c>
      <x:c r="D19" s="7" t="str">
        <x:f xml:space="preserve">HYPERLINK("https://www.infonalia.es/adjudicaciones0226/26017345.pdf","www.infonalia.es/adjudicaciones0226/26017345.pdf")</x:f>
        <x:v>www.infonalia.es/adjudicaciones0226/26017345.pdf</x:v>
      </x:c>
      <x:c r="E19" s="8" t="s">
        <x:v>104</x:v>
      </x:c>
      <x:c r="F19" s="6" t="s">
        <x:v>105</x:v>
      </x:c>
      <x:c r="G19" s="6" t="s">
        <x:v>106</x:v>
      </x:c>
      <x:c r="H19" s="6" t="s">
        <x:v>107</x:v>
      </x:c>
      <x:c r="I19" s="6" t="s">
        <x:v>18</x:v>
      </x:c>
      <x:c r="J19" s="9" t="n">
        <x:v>24793.39</x:v>
      </x:c>
      <x:c r="K19" s="9" t="n">
        <x:v>24793.39</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