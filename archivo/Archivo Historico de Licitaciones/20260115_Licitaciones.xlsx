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<x:sst xmlns:x="http://schemas.openxmlformats.org/spreadsheetml/2006/main" count="17" uniqueCount="17">
  <x:si>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</x:si>
  <x:si>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</x:si>
  <x:si>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</x:si>
  <x:si>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</x:si>
  <x:si>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</x:si>
  <x:si>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</x:si>
  <x:si>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</x:si>
  <x:si>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</x:si>
  <x:si>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</x:si>
  <x:si>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</x:si>
  <x:si>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</x:si>
  <x:si>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</x:si>
  <x:si>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</x:si>
  <x:si>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</x:si>
  <x:si>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</x:si>
  <x:si>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</x:si>
  <x:si>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</x:si>
  <x:si>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</x:si>
  <x:si>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</x:si>
  <x:si>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29/01/2026</x:t>
  </x:si>
  <x:si>
    <x:t>2026003653</x:t>
  </x:si>
  <x:si>
    <x:t>15/01/2026</x:t>
  </x:si>
  <x:si>
    <x:t>MADRID DESTINO CULTURA TURISMO Y NEGOCIO, S.A.</x:t>
  </x:si>
  <x:si>
    <x:t>Contratación del montaje y desmontaje de la exposición pelo de tormenta. Homenaje a Francisco Nieva</x:t>
  </x:si>
  <x:si>
    <x:t>PR25-0360.1</x:t>
  </x:si>
  <x:si>
    <x:t>Importe sin impuestos</x:t>
  </x:si>
  <x:si>
    <x:t/>
  </x:si>
  <x:si>
    <x:t>-----</x:t>
  </x:si>
  <x:si>
    <x:t>14/01/2026</x:t>
  </x:si>
  <x:si>
    <x:t/>
  </x:si>
  <x:si>
    <x:t>Madrid</x:t>
  </x:si>
  <x:si>
    <x:t>12/02/2026</x:t>
  </x:si>
  <x:si>
    <x:t>2026003675</x:t>
  </x:si>
  <x:si>
    <x:t>INSTITUTO DE CULTURA DE BARCELONA</x:t>
  </x:si>
  <x:si>
    <x:t>El objeto del contrato es la conceptualización, diseño, comunicación y gestión integral del servicio “Incentiu Cultural” del Instituto de Cultura del Ayuntamiento de Barcelona</x:t>
  </x:si>
  <x:si>
    <x:t>006_25001828</x:t>
  </x:si>
  <x:si>
    <x:t/>
  </x:si>
  <x:si>
    <x:t>Barcelona</x:t>
  </x:si>
  <x:si>
    <x:t>03/02/2026</x:t>
  </x:si>
  <x:si>
    <x:t>2026003688</x:t>
  </x:si>
  <x:si>
    <x:t>MINISTERIO DE EDUCACIÓN, FORMACIÓN PROFESIONAL Y DEPORTES. PRESIDENCIA DEL CONSEJO SUPERIOR DE DEPORTES</x:t>
  </x:si>
  <x:si>
    <x:t>Servicio de producción gráfica y audiovisual para el Consejo Superior de Deportes</x:t>
  </x:si>
  <x:si>
    <x:t>2025hMA00184</x:t>
  </x:si>
  <x:si>
    <x:t/>
  </x:si>
  <x:si>
    <x:t>Ver pliegos</x:t>
  </x:si>
  <x:si>
    <x:t>Community.Vortal</x:t>
  </x:si>
  <x:si>
    <x:t>21/01/2026</x:t>
  </x:si>
  <x:si>
    <x:t>2026003732</x:t>
  </x:si>
  <x:si>
    <x:t>SERVICIO DE SALUD DEL PRINCIPADO DE ASTURIAS (SESPA)</x:t>
  </x:si>
  <x:si>
    <x:t>CCompras_Servicio de diseño gráfico (diagr amación) y maquetación de un documento de ayuda para mujeres invitadas en el programa de cribado poblacional del cáncer de cérvix del Principado de Asturias con instrucciones para el uso de autótoma del Servicio de Salud del Principado de Asturias (contrato menor).</x:t>
  </x:si>
  <x:si>
    <x:t>MEN2026000010</x:t>
  </x:si>
  <x:si>
    <x:t/>
  </x:si>
  <x:si>
    <x:t/>
  </x:si>
  <x:si>
    <x:t>Asturias</x:t>
  </x:si>
  <x:si>
    <x:t>16/01/2026</x:t>
  </x:si>
  <x:si>
    <x:t>2026003734</x:t>
  </x:si>
  <x:si>
    <x:t>FUNDACIÓN PARA LA INVESTIGACIÓN BIOMÉDICA DEL HOSPITAL DE LA PAZ</x:t>
  </x:si>
  <x:si>
    <x:t>Produccion de ejemplares y puesta a disposición para su compra en librerías y plataformas de venta online</x:t>
  </x:si>
  <x:si>
    <x:t>CM 106/2026</x:t>
  </x:si>
  <x:si>
    <x:t/>
  </x:si>
  <x:si>
    <x:t/>
  </x:si>
  <x:si>
    <x:t>Catalunya - Plataforma de Contratación</x:t>
  </x:si>
  <x:si>
    <x:t>2026003745</x:t>
  </x:si>
  <x:si>
    <x:t>CENTRO DE CULTURA CONTEMPORÁNEA DE BARCELONA CCCB. </x:t>
  </x:si>
  <x:si>
    <x:t>Servicio de producción de las actividades del Centro de Cultura Contemporánea de Barcelona (CCCB)</x:t>
  </x:si>
  <x:si>
    <x:t>2025/0037856</x:t>
  </x:si>
  <x:si>
    <x:t>Valor estimado del contrato</x:t>
  </x:si>
  <x:si>
    <x:t>Fecha prevista del proceso de licitación: 01/01/2027 00:00</x:t>
  </x:si>
  <x:si>
    <x:t/>
  </x:si>
  <x:si>
    <x:t>2026003746</x:t>
  </x:si>
  <x:si>
    <x:t>CENTRO DE CULTURA CONTEMPORÁNEA DE BARCELONA CCCB.</x:t>
  </x:si>
  <x:si>
    <x:t>Servicio de dirección técnica y concejalía de las actividades que se presentan en el Centro de Cultura Contemporánea de Barcelona (CCCB)</x:t>
  </x:si>
  <x:si>
    <x:t>2025/0005902</x:t>
  </x:si>
  <x:si>
    <x:t>Fecha prevista del proceso de licitación: 01/03/2026 00:00</x:t>
  </x:si>
  <x:si>
    <x:t/>
  </x:si>
  <x:si>
    <x:t>13/02/2026</x:t>
  </x:si>
  <x:si>
    <x:t>2026003844</x:t>
  </x:si>
  <x:si>
    <x:t>INSTITUTO DE TURISMO DE ESPAÑA (TURESPAÑA)</x:t>
  </x:si>
  <x:si>
    <x:t>Contratación por procedimiento abierto conforme al artículo 156 al 158 de la LCSP, de un servicio de celebración de unas jornadas inversas de apoyo a la comercialización de la oferta turística española para el mercado latinoamericano</x:t>
  </x:si>
  <x:si>
    <x:t>020025C00109</x:t>
  </x:si>
  <x:si>
    <x:t/>
  </x:si>
  <x:si>
    <x:t>16/02/2026</x:t>
  </x:si>
  <x:si>
    <x:t>2026003870</x:t>
  </x:si>
  <x:si>
    <x:t>El objeto del contrato son los servicios de organización y desarrollo de las jornadas inversas del mercado europeo que tendrán lugar los días 14 a 18 de septiembre de 2026 en Pamplona, así como la coordinación de las actividades relacionadas con el mismo, en los términos establecidos en el pliego de prescripciones técnicas</x:t>
  </x:si>
  <x:si>
    <x:t>020025C00133</x:t>
  </x:si>
  <x:si>
    <x:t/>
  </x:si>
  <x:si>
    <x:t>Navarra</x:t>
  </x:si>
  <x:si>
    <x:t>2026003876</x:t>
  </x:si>
  <x:si>
    <x:t>JUNTA DE EXTREMADURA. CONSEJERÍA DE GESTIÓN FORESTAL Y MUNDO RURAL</x:t>
  </x:si>
  <x:si>
    <x:t>SERCPA25127: Servicio para la construcción en régimen de alquiler, transporte, montaje, desmontaje, mantenimiento y servicios complementarios del stand de la Consejería de Gestión Forestal y Mundo Rural de la Junta de Extremadura para la participación en Feria Cinegética 2026</x:t>
  </x:si>
  <x:si>
    <x:t>PSS/2025/0000154618</x:t>
  </x:si>
  <x:si>
    <x:t/>
  </x:si>
  <x:si>
    <x:t>26/01/2026</x:t>
  </x:si>
  <x:si>
    <x:t>2026003879</x:t>
  </x:si>
  <x:si>
    <x:t>AENA. DIRECCIÓN DE CONTRATACIÓN</x:t>
  </x:si>
  <x:si>
    <x:t>Servicio de diseño gráfico y digital para la dirección de Comunicación de Aena</x:t>
  </x:si>
  <x:si>
    <x:t>DCP-583/2025</x:t>
  </x:si>
  <x:si>
    <x:t/>
  </x:si>
  <x:si>
    <x:t>02/02/2026</x:t>
  </x:si>
  <x:si>
    <x:t>2026003901</x:t>
  </x:si>
  <x:si>
    <x:t>JUNTA DE CONTRATACIÓN DEL MINISTERIO DE CULTURA Y DEPORTE</x:t>
  </x:si>
  <x:si>
    <x:t>Asistencia técnica para la planificación, el diseño y el seguimiento de las campañas de medios publicitarios del Ministerio de Cultura que requieran la contratación de servicios de compra de espacios en medios de comunicación y demás soportes publicitarios</x:t>
  </x:si>
  <x:si>
    <x:t>JS250099</x:t>
  </x:si>
  <x:si>
    <x:t/>
  </x:si>
  <x:si>
    <x:t>DOUE - Diario Oficial de la Unión Europea (S)</x:t>
  </x:si>
  <x:si>
    <x:t>2026003961</x:t>
  </x:si>
  <x:si>
    <x:t>AYUNTAMIENTO DE BARCELONA</x:t>
  </x:si>
  <x:si>
    <x:t>Servicio de producción gráfica</x:t>
  </x:si>
  <x:si>
    <x:t>Anuncio de información previa</x:t>
  </x:si>
  <x:si>
    <x:t>No consta</x:t>
  </x:si>
  <x:si>
    <x:t>9</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</x:si>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</x:sst>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41000.00</x:v>
      </x:c>
      <x:c r="J2" s="11" t="s">
        <x:v>25</x:v>
      </x:c>
      <x:c r="K2" s="11" t="s">
        <x:v>26</x:v>
      </x:c>
      <x:c r="L2" s="12" t="str">
        <x:f xml:space="preserve">HYPERLINK("https://contrataciondelestado.es/wps/poc?uri=deeplink:detalle_licitacion&amp;idEvl=xgVySKwqSH7jHF5qKI4aaw%3D%3D","contrataciondelestado.es/wps/poc?uri=deeplink:detalle_licitacion&amp;idEvl=xgVySKwqSH7jHF5qKI4aaw%3D%3D")</x:f>
        <x:v>contrataciondelestado.es/wps/poc?uri=deeplink:detalle_licitacion&amp;idEvl=xgVySKwqSH7jHF5qKI4aaw%3D%3D</x:v>
      </x:c>
      <x:c r="M2" s="11" t="s">
        <x:v>27</x:v>
      </x:c>
      <x:c r="N2" s="13" t="s">
        <x:v>28</x:v>
      </x:c>
      <x:c r="O2" s="11" t="s">
        <x:v>29</x:v>
      </x:c>
      <x:c r="P2" s="11" t="s">
        <x:v>30</x:v>
      </x:c>
      <x:c r="Q2" s="14" t="str">
        <x:f xml:space="preserve">HYPERLINK("https://www.infonalia.es/licitaciones0126/2026003653.pdf","www.infonalia.es/licitaciones0126/2026003653.pdf")</x:f>
        <x:v>www.infonalia.es/licitaciones0126/2026003653.pdf</x:v>
      </x:c>
    </x:row>
    <x:row r="3">
      <x:c r="A3" s="6" t="s">
        <x:v>17</x:v>
      </x:c>
      <x:c r="B3" s="6" t="s">
        <x:v>18</x:v>
      </x:c>
      <x:c r="C3" s="7" t="s">
        <x:v>31</x:v>
      </x:c>
      <x:c r="D3" s="8" t="s">
        <x:v>32</x:v>
      </x:c>
      <x:c r="E3" s="9" t="s">
        <x:v>21</x:v>
      </x:c>
      <x:c r="F3" s="6" t="s">
        <x:v>33</x:v>
      </x:c>
      <x:c r="G3" s="6" t="s">
        <x:v>34</x:v>
      </x:c>
      <x:c r="H3" s="6" t="s">
        <x:v>35</x:v>
      </x:c>
      <x:c r="I3" s="10" t="n">
        <x:v>1337849.96</x:v>
      </x:c>
      <x:c r="J3" s="11" t="s">
        <x:v>25</x:v>
      </x:c>
      <x:c r="K3" s="11" t="s">
        <x:v>26</x:v>
      </x:c>
      <x:c r="L3" s="12" t="str">
        <x:f xml:space="preserve">HYPERLINK("https://contractaciopublica.cat/ca/detall-publicacio/afa59841-4e39-4803-a13e-20e4e4118bab/300664962","contractaciopublica.cat/ca/detall-publicacio/afa59841-4e39-4803-a13e-20e4e4118bab/300664962")</x:f>
        <x:v>contractaciopublica.cat/ca/detall-publicacio/afa59841-4e39-4803-a13e-20e4e4118bab/300664962</x:v>
      </x:c>
      <x:c r="M3" s="11" t="s">
        <x:v>27</x:v>
      </x:c>
      <x:c r="N3" s="13" t="s">
        <x:v>28</x:v>
      </x:c>
      <x:c r="O3" s="11" t="s">
        <x:v>36</x:v>
      </x:c>
      <x:c r="P3" s="11" t="s">
        <x:v>37</x:v>
      </x:c>
      <x:c r="Q3" s="14" t="str">
        <x:f xml:space="preserve">HYPERLINK("https://www.infonalia.es/licitaciones0126/2026003675.pdf","www.infonalia.es/licitaciones0126/2026003675.pdf")</x:f>
        <x:v>www.infonalia.es/licitaciones0126/2026003675.pdf</x:v>
      </x:c>
    </x:row>
    <x:row r="4">
      <x:c r="A4" s="6" t="s">
        <x:v>17</x:v>
      </x:c>
      <x:c r="B4" s="6" t="s">
        <x:v>18</x:v>
      </x:c>
      <x:c r="C4" s="7" t="s">
        <x:v>38</x:v>
      </x:c>
      <x:c r="D4" s="8" t="s">
        <x:v>39</x:v>
      </x:c>
      <x:c r="E4" s="9" t="s">
        <x:v>21</x:v>
      </x:c>
      <x:c r="F4" s="6" t="s">
        <x:v>40</x:v>
      </x:c>
      <x:c r="G4" s="6" t="s">
        <x:v>41</x:v>
      </x:c>
      <x:c r="H4" s="6" t="s">
        <x:v>42</x:v>
      </x:c>
      <x:c r="I4" s="10" t="n">
        <x:v>220651.24</x:v>
      </x:c>
      <x:c r="J4" s="11" t="s">
        <x:v>25</x:v>
      </x:c>
      <x:c r="K4" s="11" t="s">
        <x:v>26</x:v>
      </x:c>
      <x:c r="L4" s="12" t="str">
        <x:f xml:space="preserve">HYPERLINK("https://contrataciondelestado.es/wps/poc?uri=deeplink:detalle_licitacion&amp;idEvl=VhZtW8%2FlXR3pxJFXpLZ%2B2A%3D%3D","contrataciondelestado.es/wps/poc?uri=deeplink:detalle_licitacion&amp;idEvl=VhZtW8%2FlXR3pxJFXpLZ%2B2A%3D%3D")</x:f>
        <x:v>contrataciondelestado.es/wps/poc?uri=deeplink:detalle_licitacion&amp;idEvl=VhZtW8%2FlXR3pxJFXpLZ%2B2A%3D%3D</x:v>
      </x:c>
      <x:c r="M4" s="11" t="s">
        <x:v>27</x:v>
      </x:c>
      <x:c r="N4" s="13" t="s">
        <x:v>28</x:v>
      </x:c>
      <x:c r="O4" s="11" t="s">
        <x:v>43</x:v>
      </x:c>
      <x:c r="P4" s="11" t="s">
        <x:v>44</x:v>
      </x:c>
      <x:c r="Q4" s="14" t="str">
        <x:f xml:space="preserve">HYPERLINK("https://www.infonalia.es/licitaciones0126/2026003688.pdf","www.infonalia.es/licitaciones0126/2026003688.pdf")</x:f>
        <x:v>www.infonalia.es/licitaciones0126/2026003688.pdf</x:v>
      </x:c>
    </x:row>
    <x:row r="5">
      <x:c r="A5" s="6" t="s">
        <x:v>17</x:v>
      </x:c>
      <x:c r="B5" s="6" t="s">
        <x:v>45</x:v>
      </x:c>
      <x:c r="C5" s="7" t="s">
        <x:v>46</x:v>
      </x:c>
      <x:c r="D5" s="8" t="s">
        <x:v>47</x:v>
      </x:c>
      <x:c r="E5" s="9" t="s">
        <x:v>21</x:v>
      </x:c>
      <x:c r="F5" s="6" t="s">
        <x:v>48</x:v>
      </x:c>
      <x:c r="G5" s="6" t="s">
        <x:v>49</x:v>
      </x:c>
      <x:c r="H5" s="6" t="s">
        <x:v>50</x:v>
      </x:c>
      <x:c r="I5" s="10" t="n">
        <x:v>825.00</x:v>
      </x:c>
      <x:c r="J5" s="11" t="s">
        <x:v>25</x:v>
      </x:c>
      <x:c r="K5" s="11" t="s">
        <x:v>51</x:v>
      </x:c>
      <x:c r="L5" s="12" t="str">
        <x:f xml:space="preserve">HYPERLINK("https://community.vortal.biz/public/?currentLanguage=es","community.vortal.biz/public/?currentLanguage=es")</x:f>
        <x:v>community.vortal.biz/public/?currentLanguage=es</x:v>
      </x:c>
      <x:c r="M5" s="11" t="s">
        <x:v>27</x:v>
      </x:c>
      <x:c r="N5" s="13" t="s">
        <x:v>28</x:v>
      </x:c>
      <x:c r="O5" s="11" t="s">
        <x:v>52</x:v>
      </x:c>
      <x:c r="P5" s="11" t="s">
        <x:v>53</x:v>
      </x:c>
      <x:c r="Q5" s="14" t="str">
        <x:f xml:space="preserve">HYPERLINK("https://www.infonalia.es/licitaciones0126/2026003732.pdf","www.infonalia.es/licitaciones0126/2026003732.pdf")</x:f>
        <x:v>www.infonalia.es/licitaciones0126/2026003732.pdf</x:v>
      </x:c>
    </x:row>
    <x:row r="6">
      <x:c r="A6" s="6" t="s">
        <x:v>17</x:v>
      </x:c>
      <x:c r="B6" s="6" t="s">
        <x:v>45</x:v>
      </x:c>
      <x:c r="C6" s="7" t="s">
        <x:v>54</x:v>
      </x:c>
      <x:c r="D6" s="8" t="s">
        <x:v>55</x:v>
      </x:c>
      <x:c r="E6" s="9" t="s">
        <x:v>21</x:v>
      </x:c>
      <x:c r="F6" s="6" t="s">
        <x:v>56</x:v>
      </x:c>
      <x:c r="G6" s="6" t="s">
        <x:v>57</x:v>
      </x:c>
      <x:c r="H6" s="6" t="s">
        <x:v>58</x:v>
      </x:c>
      <x:c r="I6" s="10" t="n">
        <x:v>38000.00</x:v>
      </x:c>
      <x:c r="J6" s="11" t="s">
        <x:v>25</x:v>
      </x:c>
      <x:c r="K6" s="11" t="s">
        <x:v>59</x:v>
      </x:c>
      <x:c r="L6" s="12" t="str">
        <x:f xml:space="preserve">HYPERLINK("https://community.vortal.biz/public/?currentLanguage=es","community.vortal.biz/public/?currentLanguage=es")</x:f>
        <x:v>community.vortal.biz/public/?currentLanguage=es</x:v>
      </x:c>
      <x:c r="M6" s="11" t="s">
        <x:v>27</x:v>
      </x:c>
      <x:c r="N6" s="13" t="s">
        <x:v>28</x:v>
      </x:c>
      <x:c r="O6" s="11" t="s">
        <x:v>60</x:v>
      </x:c>
      <x:c r="P6" s="11" t="s">
        <x:v>30</x:v>
      </x:c>
      <x:c r="Q6" s="14" t="str">
        <x:f xml:space="preserve">HYPERLINK("https://www.infonalia.es/licitaciones0126/2026003734.pdf","www.infonalia.es/licitaciones0126/2026003734.pdf")</x:f>
        <x:v>www.infonalia.es/licitaciones0126/2026003734.pdf</x:v>
      </x:c>
    </x:row>
    <x:row r="7">
      <x:c r="A7" s="6" t="s">
        <x:v>17</x:v>
      </x:c>
      <x:c r="B7" s="6" t="s">
        <x:v>61</x:v>
      </x:c>
      <x:c r="C7" s="7" t="s">
        <x:v>26</x:v>
      </x:c>
      <x:c r="D7" s="8" t="s">
        <x:v>62</x:v>
      </x:c>
      <x:c r="E7" s="9" t="s">
        <x:v>21</x:v>
      </x:c>
      <x:c r="F7" s="6" t="s">
        <x:v>63</x:v>
      </x:c>
      <x:c r="G7" s="6" t="s">
        <x:v>64</x:v>
      </x:c>
      <x:c r="H7" s="6" t="s">
        <x:v>65</x:v>
      </x:c>
      <x:c r="I7" s="10" t="n">
        <x:v>550000.00</x:v>
      </x:c>
      <x:c r="J7" s="11" t="s">
        <x:v>66</x:v>
      </x:c>
      <x:c r="K7" s="11" t="s">
        <x:v>67</x:v>
      </x:c>
      <x:c r="L7" s="12" t="str">
        <x:f xml:space="preserve">HYPERLINK("https://contractaciopublica.cat/es/detall-publicacio/300666529","contractaciopublica.cat/es/detall-publicacio/300666529")</x:f>
        <x:v>contractaciopublica.cat/es/detall-publicacio/300666529</x:v>
      </x:c>
      <x:c r="M7" s="11" t="s">
        <x:v>27</x:v>
      </x:c>
      <x:c r="N7" s="13" t="s">
        <x:v>28</x:v>
      </x:c>
      <x:c r="O7" s="11" t="s">
        <x:v>68</x:v>
      </x:c>
      <x:c r="P7" s="11" t="s">
        <x:v>37</x:v>
      </x:c>
      <x:c r="Q7" s="14" t="str">
        <x:f xml:space="preserve">HYPERLINK("https://www.infonalia.es/licitaciones0126/2026003745.pdf","www.infonalia.es/licitaciones0126/2026003745.pdf")</x:f>
        <x:v>www.infonalia.es/licitaciones0126/2026003745.pdf</x:v>
      </x:c>
    </x:row>
    <x:row r="8">
      <x:c r="A8" s="6" t="s">
        <x:v>17</x:v>
      </x:c>
      <x:c r="B8" s="6" t="s">
        <x:v>61</x:v>
      </x:c>
      <x:c r="C8" s="7" t="s">
        <x:v>26</x:v>
      </x:c>
      <x:c r="D8" s="8" t="s">
        <x:v>69</x:v>
      </x:c>
      <x:c r="E8" s="9" t="s">
        <x:v>21</x:v>
      </x:c>
      <x:c r="F8" s="6" t="s">
        <x:v>70</x:v>
      </x:c>
      <x:c r="G8" s="6" t="s">
        <x:v>71</x:v>
      </x:c>
      <x:c r="H8" s="6" t="s">
        <x:v>72</x:v>
      </x:c>
      <x:c r="I8" s="10" t="n">
        <x:v>900000.00</x:v>
      </x:c>
      <x:c r="J8" s="11" t="s">
        <x:v>66</x:v>
      </x:c>
      <x:c r="K8" s="11" t="s">
        <x:v>73</x:v>
      </x:c>
      <x:c r="L8" s="12" t="str">
        <x:f xml:space="preserve">HYPERLINK("https://contractaciopublica.cat/es/detall-publicacio/300665947","contractaciopublica.cat/es/detall-publicacio/300665947")</x:f>
        <x:v>contractaciopublica.cat/es/detall-publicacio/300665947</x:v>
      </x:c>
      <x:c r="M8" s="11" t="s">
        <x:v>27</x:v>
      </x:c>
      <x:c r="N8" s="13" t="s">
        <x:v>28</x:v>
      </x:c>
      <x:c r="O8" s="11" t="s">
        <x:v>74</x:v>
      </x:c>
      <x:c r="P8" s="11" t="s">
        <x:v>37</x:v>
      </x:c>
      <x:c r="Q8" s="14" t="str">
        <x:f xml:space="preserve">HYPERLINK("https://www.infonalia.es/licitaciones0126/2026003746.pdf","www.infonalia.es/licitaciones0126/2026003746.pdf")</x:f>
        <x:v>www.infonalia.es/licitaciones0126/2026003746.pdf</x:v>
      </x:c>
    </x:row>
    <x:row r="9">
      <x:c r="A9" s="6" t="s">
        <x:v>17</x:v>
      </x:c>
      <x:c r="B9" s="6" t="s">
        <x:v>18</x:v>
      </x:c>
      <x:c r="C9" s="7" t="s">
        <x:v>75</x:v>
      </x:c>
      <x:c r="D9" s="8" t="s">
        <x:v>76</x:v>
      </x:c>
      <x:c r="E9" s="9" t="s">
        <x:v>21</x:v>
      </x:c>
      <x:c r="F9" s="6" t="s">
        <x:v>77</x:v>
      </x:c>
      <x:c r="G9" s="6" t="s">
        <x:v>78</x:v>
      </x:c>
      <x:c r="H9" s="6" t="s">
        <x:v>79</x:v>
      </x:c>
      <x:c r="I9" s="10" t="n">
        <x:v>409091.80</x:v>
      </x:c>
      <x:c r="J9" s="11" t="s">
        <x:v>25</x:v>
      </x:c>
      <x:c r="K9" s="11" t="s">
        <x:v>26</x:v>
      </x:c>
      <x:c r="L9" s="12" t="str">
        <x:f xml:space="preserve">HYPERLINK("https://contrataciondelestado.es/wps/poc?uri=deeplink:detalle_licitacion&amp;idEvl=KKusH8NMtLN9PLkba5eRog%3D%3D","contrataciondelestado.es/wps/poc?uri=deeplink:detalle_licitacion&amp;idEvl=KKusH8NMtLN9PLkba5eRog%3D%3D")</x:f>
        <x:v>contrataciondelestado.es/wps/poc?uri=deeplink:detalle_licitacion&amp;idEvl=KKusH8NMtLN9PLkba5eRog%3D%3D</x:v>
      </x:c>
      <x:c r="M9" s="11" t="s">
        <x:v>27</x:v>
      </x:c>
      <x:c r="N9" s="13" t="s">
        <x:v>21</x:v>
      </x:c>
      <x:c r="O9" s="11" t="s">
        <x:v>80</x:v>
      </x:c>
      <x:c r="P9" s="11" t="s">
        <x:v>30</x:v>
      </x:c>
      <x:c r="Q9" s="14" t="str">
        <x:f xml:space="preserve">HYPERLINK("https://www.infonalia.es/licitaciones0126/2026003844.pdf","www.infonalia.es/licitaciones0126/2026003844.pdf")</x:f>
        <x:v>www.infonalia.es/licitaciones0126/2026003844.pdf</x:v>
      </x:c>
    </x:row>
    <x:row r="10">
      <x:c r="A10" s="6" t="s">
        <x:v>17</x:v>
      </x:c>
      <x:c r="B10" s="6" t="s">
        <x:v>18</x:v>
      </x:c>
      <x:c r="C10" s="7" t="s">
        <x:v>81</x:v>
      </x:c>
      <x:c r="D10" s="8" t="s">
        <x:v>82</x:v>
      </x:c>
      <x:c r="E10" s="9" t="s">
        <x:v>21</x:v>
      </x:c>
      <x:c r="F10" s="6" t="s">
        <x:v>77</x:v>
      </x:c>
      <x:c r="G10" s="6" t="s">
        <x:v>83</x:v>
      </x:c>
      <x:c r="H10" s="6" t="s">
        <x:v>84</x:v>
      </x:c>
      <x:c r="I10" s="10" t="n">
        <x:v>302120.06</x:v>
      </x:c>
      <x:c r="J10" s="11" t="s">
        <x:v>25</x:v>
      </x:c>
      <x:c r="K10" s="11" t="s">
        <x:v>26</x:v>
      </x:c>
      <x:c r="L10" s="12" t="str">
        <x:f xml:space="preserve">HYPERLINK("https://contrataciondelestado.es/wps/poc?uri=deeplink:detalle_licitacion&amp;idEvl=hyhxvg5z7B1LAIVZdUs8KA%3D%3D","contrataciondelestado.es/wps/poc?uri=deeplink:detalle_licitacion&amp;idEvl=hyhxvg5z7B1LAIVZdUs8KA%3D%3D")</x:f>
        <x:v>contrataciondelestado.es/wps/poc?uri=deeplink:detalle_licitacion&amp;idEvl=hyhxvg5z7B1LAIVZdUs8KA%3D%3D</x:v>
      </x:c>
      <x:c r="M10" s="11" t="s">
        <x:v>27</x:v>
      </x:c>
      <x:c r="N10" s="13" t="s">
        <x:v>21</x:v>
      </x:c>
      <x:c r="O10" s="11" t="s">
        <x:v>85</x:v>
      </x:c>
      <x:c r="P10" s="11" t="s">
        <x:v>86</x:v>
      </x:c>
      <x:c r="Q10" s="14" t="str">
        <x:f xml:space="preserve">HYPERLINK("https://www.infonalia.es/licitaciones0126/2026003870.pdf","www.infonalia.es/licitaciones0126/2026003870.pdf")</x:f>
        <x:v>www.infonalia.es/licitaciones0126/2026003870.pdf</x:v>
      </x:c>
    </x:row>
    <x:row r="11">
      <x:c r="A11" s="6" t="s">
        <x:v>17</x:v>
      </x:c>
      <x:c r="B11" s="6" t="s">
        <x:v>18</x:v>
      </x:c>
      <x:c r="C11" s="7" t="s">
        <x:v>19</x:v>
      </x:c>
      <x:c r="D11" s="8" t="s">
        <x:v>87</x:v>
      </x:c>
      <x:c r="E11" s="9" t="s">
        <x:v>21</x:v>
      </x:c>
      <x:c r="F11" s="6" t="s">
        <x:v>88</x:v>
      </x:c>
      <x:c r="G11" s="6" t="s">
        <x:v>89</x:v>
      </x:c>
      <x:c r="H11" s="6" t="s">
        <x:v>90</x:v>
      </x:c>
      <x:c r="I11" s="10" t="n">
        <x:v>37718.72</x:v>
      </x:c>
      <x:c r="J11" s="11" t="s">
        <x:v>25</x:v>
      </x:c>
      <x:c r="K11" s="11" t="s">
        <x:v>26</x:v>
      </x:c>
      <x:c r="L11" s="12" t="str">
        <x:f xml:space="preserve">HYPERLINK("https://contrataciondelestado.es/wps/poc?uri=deeplink:detalle_licitacion&amp;idEvl=vY%2B3AzVXZ8d6nTs9LZ9RhQ%3D%3D","contrataciondelestado.es/wps/poc?uri=deeplink:detalle_licitacion&amp;idEvl=vY%2B3AzVXZ8d6nTs9LZ9RhQ%3D%3D")</x:f>
        <x:v>contrataciondelestado.es/wps/poc?uri=deeplink:detalle_licitacion&amp;idEvl=vY%2B3AzVXZ8d6nTs9LZ9RhQ%3D%3D</x:v>
      </x:c>
      <x:c r="M11" s="11" t="s">
        <x:v>27</x:v>
      </x:c>
      <x:c r="N11" s="13" t="s">
        <x:v>21</x:v>
      </x:c>
      <x:c r="O11" s="11" t="s">
        <x:v>91</x:v>
      </x:c>
      <x:c r="P11" s="11" t="s">
        <x:v>30</x:v>
      </x:c>
      <x:c r="Q11" s="14" t="str">
        <x:f xml:space="preserve">HYPERLINK("https://www.infonalia.es/licitaciones0126/2026003876.pdf","www.infonalia.es/licitaciones0126/2026003876.pdf")</x:f>
        <x:v>www.infonalia.es/licitaciones0126/2026003876.pdf</x:v>
      </x:c>
    </x:row>
    <x:row r="12">
      <x:c r="A12" s="6" t="s">
        <x:v>17</x:v>
      </x:c>
      <x:c r="B12" s="6" t="s">
        <x:v>18</x:v>
      </x:c>
      <x:c r="C12" s="7" t="s">
        <x:v>92</x:v>
      </x:c>
      <x:c r="D12" s="8" t="s">
        <x:v>93</x:v>
      </x:c>
      <x:c r="E12" s="9" t="s">
        <x:v>21</x:v>
      </x:c>
      <x:c r="F12" s="6" t="s">
        <x:v>94</x:v>
      </x:c>
      <x:c r="G12" s="6" t="s">
        <x:v>95</x:v>
      </x:c>
      <x:c r="H12" s="6" t="s">
        <x:v>96</x:v>
      </x:c>
      <x:c r="I12" s="10" t="n">
        <x:v>196000.00</x:v>
      </x:c>
      <x:c r="J12" s="11" t="s">
        <x:v>25</x:v>
      </x:c>
      <x:c r="K12" s="11" t="s">
        <x:v>26</x:v>
      </x:c>
      <x:c r="L12" s="12" t="str">
        <x:f xml:space="preserve">HYPERLINK("https://contrataciondelestado.es/wps/poc?uri=deeplink:detalle_licitacion&amp;idEvl=qob%2BSNe%2FKCrmnwcj%2BxbdTg%3D%3D","contrataciondelestado.es/wps/poc?uri=deeplink:detalle_licitacion&amp;idEvl=qob%2BSNe%2FKCrmnwcj%2BxbdTg%3D%3D")</x:f>
        <x:v>contrataciondelestado.es/wps/poc?uri=deeplink:detalle_licitacion&amp;idEvl=qob%2BSNe%2FKCrmnwcj%2BxbdTg%3D%3D</x:v>
      </x:c>
      <x:c r="M12" s="11" t="s">
        <x:v>27</x:v>
      </x:c>
      <x:c r="N12" s="13" t="s">
        <x:v>21</x:v>
      </x:c>
      <x:c r="O12" s="11" t="s">
        <x:v>97</x:v>
      </x:c>
      <x:c r="P12" s="11" t="s">
        <x:v>30</x:v>
      </x:c>
      <x:c r="Q12" s="14" t="str">
        <x:f xml:space="preserve">HYPERLINK("https://www.infonalia.es/licitaciones0126/2026003879.pdf","www.infonalia.es/licitaciones0126/2026003879.pdf")</x:f>
        <x:v>www.infonalia.es/licitaciones0126/2026003879.pdf</x:v>
      </x:c>
    </x:row>
    <x:row r="13">
      <x:c r="A13" s="6" t="s">
        <x:v>17</x:v>
      </x:c>
      <x:c r="B13" s="6" t="s">
        <x:v>18</x:v>
      </x:c>
      <x:c r="C13" s="7" t="s">
        <x:v>98</x:v>
      </x:c>
      <x:c r="D13" s="8" t="s">
        <x:v>99</x:v>
      </x:c>
      <x:c r="E13" s="9" t="s">
        <x:v>21</x:v>
      </x:c>
      <x:c r="F13" s="6" t="s">
        <x:v>100</x:v>
      </x:c>
      <x:c r="G13" s="6" t="s">
        <x:v>101</x:v>
      </x:c>
      <x:c r="H13" s="6" t="s">
        <x:v>102</x:v>
      </x:c>
      <x:c r="I13" s="10" t="n">
        <x:v>24000.00</x:v>
      </x:c>
      <x:c r="J13" s="11" t="s">
        <x:v>25</x:v>
      </x:c>
      <x:c r="K13" s="11" t="s">
        <x:v>26</x:v>
      </x:c>
      <x:c r="L13" s="12" t="str">
        <x:f xml:space="preserve">HYPERLINK("https://contrataciondelestado.es/wps/poc?uri=deeplink:detalle_licitacion&amp;idEvl=F212PdKesaR%2FR5QFTlaM4A%3D%3D","contrataciondelestado.es/wps/poc?uri=deeplink:detalle_licitacion&amp;idEvl=F212PdKesaR%2FR5QFTlaM4A%3D%3D")</x:f>
        <x:v>contrataciondelestado.es/wps/poc?uri=deeplink:detalle_licitacion&amp;idEvl=F212PdKesaR%2FR5QFTlaM4A%3D%3D</x:v>
      </x:c>
      <x:c r="M13" s="11" t="s">
        <x:v>27</x:v>
      </x:c>
      <x:c r="N13" s="13" t="s">
        <x:v>21</x:v>
      </x:c>
      <x:c r="O13" s="11" t="s">
        <x:v>103</x:v>
      </x:c>
      <x:c r="P13" s="11" t="s">
        <x:v>30</x:v>
      </x:c>
      <x:c r="Q13" s="14" t="str">
        <x:f xml:space="preserve">HYPERLINK("https://www.infonalia.es/licitaciones0126/2026003901.pdf","www.infonalia.es/licitaciones0126/2026003901.pdf")</x:f>
        <x:v>www.infonalia.es/licitaciones0126/2026003901.pdf</x:v>
      </x:c>
    </x:row>
    <x:row r="14">
      <x:c r="A14" s="6" t="s">
        <x:v>17</x:v>
      </x:c>
      <x:c r="B14" s="6" t="s">
        <x:v>104</x:v>
      </x:c>
      <x:c r="C14" s="7" t="s">
        <x:v>26</x:v>
      </x:c>
      <x:c r="D14" s="8" t="s">
        <x:v>105</x:v>
      </x:c>
      <x:c r="E14" s="9" t="s">
        <x:v>21</x:v>
      </x:c>
      <x:c r="F14" s="6" t="s">
        <x:v>106</x:v>
      </x:c>
      <x:c r="G14" s="6" t="s">
        <x:v>107</x:v>
      </x:c>
      <x:c r="H14" s="6" t="s">
        <x:v>108</x:v>
      </x:c>
      <x:c r="I14" s="10"/>
      <x:c r="J14" s="11" t="s">
        <x:v>109</x:v>
      </x:c>
      <x:c r="K14" s="11" t="s">
        <x:v>109</x:v>
      </x:c>
      <x:c r="L14" s="12" t="str">
        <x:f xml:space="preserve">HYPERLINK("https://","")</x:f>
        <x:v/>
      </x:c>
      <x:c r="M14" s="11" t="s">
        <x:v>110</x:v>
      </x:c>
      <x:c r="N14" s="13" t="s">
        <x:v>28</x:v>
      </x:c>
      <x:c r="O14" s="11" t="s">
        <x:v>111</x:v>
      </x:c>
      <x:c r="P14" s="11" t="s">
        <x:v>37</x:v>
      </x:c>
      <x:c r="Q14" s="14" t="str">
        <x:f xml:space="preserve">HYPERLINK("https://www.infonalia.es/licitaciones0126/2026003961.pdf","www.infonalia.es/licitaciones0126/2026003961.pdf")</x:f>
        <x:v>www.infonalia.es/licitaciones0126/2026003961.pdf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