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Licitaciones" sheetId="1" r:id="rId1"/>
  </x:sheets>
  <x:definedNames>
    <x:definedName name="_xlnm._FilterDatabase" localSheetId="0" hidden="1">Licitaciones!$A$1:$Q$1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<x:sst xmlns:x="http://schemas.openxmlformats.org/spreadsheetml/2006/main" count="17" uniqueCount="17">
  <x:si>
    <x:t>TipoDato</x:t>
  </x:si>
  <x:si>
    <x:t>CodigoBoletin</x:t>
  </x:si>
  <x:si>
    <x:t>PlazoPresentacionFecha</x:t>
  </x:si>
  <x:si>
    <x:t>Referencia</x:t>
  </x:si>
  <x:si>
    <x:t>FechaIntroduccion</x:t>
  </x:si>
  <x:si>
    <x:t>OrganismoConvocante</x:t>
  </x:si>
  <x:si>
    <x:t>Objeto</x:t>
  </x:si>
  <x:si>
    <x:t>Nº Expediente</x:t>
  </x:si>
  <x:si>
    <x:t>Presupuesto</x:t>
  </x:si>
  <x:si>
    <x:t>PresupuestoVarios</x:t>
  </x:si>
  <x:si>
    <x:t>PlazoPresentacionVarios</x:t>
  </x:si>
  <x:si>
    <x:t>InformacionWeb</x:t>
  </x:si>
  <x:si>
    <x:t>PublicacionNumero</x:t>
  </x:si>
  <x:si>
    <x:t>PublicacionFecha</x:t>
  </x:si>
  <x:si>
    <x:t>Observaciones</x:t>
  </x:si>
  <x:si>
    <x:t>LugarEjecucion</x:t>
  </x:si>
  <x:si>
    <x:t>Anuncio</x:t>
  </x:si>
  <x:si>
    <x:t>Concurso</x:t>
  </x:si>
  <x:si>
    <x:t>Plataforma de Contratación del Estado</x:t>
  </x:si>
  <x:si>
    <x:t>09/01/2026</x:t>
  </x:si>
  <x:si>
    <x:t>2025180951</x:t>
  </x:si>
  <x:si>
    <x:t>23/12/2025</x:t>
  </x:si>
  <x:si>
    <x:t>COMUNIDAD DE MADRID. CONSEJERÍA DE CULTURA, TURISMO Y DEPORTE CONSEJERÍA DE CULTURA, TURISMO Y DEPORTE</x:t>
  </x:si>
  <x:si>
    <x:t>Programación, organización y ejecución del conjunto de actividades encuadradas bajo la denominación de “LIBROMAD, SEMANA DEL LIBRO DE MADRID 2026",&amp;nbsp; cuyas características se especifican en el Pliego de Prescripciones Técnicas Particulares</x:t>
  </x:si>
  <x:si>
    <x:t>C-332B/009-25 (A/SER-027287/2025)</x:t>
  </x:si>
  <x:si>
    <x:t>Importe sin impuestos</x:t>
  </x:si>
  <x:si>
    <x:t/>
  </x:si>
  <x:si>
    <x:t>-----</x:t>
  </x:si>
  <x:si>
    <x:t>22/12/2025</x:t>
  </x:si>
  <x:si>
    <x:t/>
  </x:si>
  <x:si>
    <x:t>Madrid</x:t>
  </x:si>
  <x:si>
    <x:t>19/01/2026</x:t>
  </x:si>
  <x:si>
    <x:t>2025180962</x:t>
  </x:si>
  <x:si>
    <x:t>CONSEJO DE ADMINISTRACIÓN DE LA SOCIEDAD ESTATAL LOTERÍAS Y APUESTAS DEL ESTADO, S.M.E., S.A</x:t>
  </x:si>
  <x:si>
    <x:t>Servicio integral de creatividad, comunicación y publicidad, para los juegos de apuestas deportivas e hípicas (La Quiniela®, Elige8®, El Quinigol®, Lototurf® y Quíntuple Plus®), así como cualquier juego asociado, que SELAE pueda desarrollar</x:t>
  </x:si>
  <x:si>
    <x:t>26/065</x:t>
  </x:si>
  <x:si>
    <x:t/>
  </x:si>
  <x:si>
    <x:t>Catalunya - Plataforma de Contratación</x:t>
  </x:si>
  <x:si>
    <x:t>26/01/2026</x:t>
  </x:si>
  <x:si>
    <x:t>2025181174</x:t>
  </x:si>
  <x:si>
    <x:t>GENERALITAT DE CATALUNYA. DEPARTAMENTO DE CULTURA</x:t>
  </x:si>
  <x:si>
    <x:t>Suministro de los elementos expositivos y montaje de la exposición "El archivero Duran, ideólogo de la archivística catalana", que tendrá lugar entre el 18 de marzo y el 13 de junio de 2026 en el Archivo Nacional de Cataluña</x:t>
  </x:si>
  <x:si>
    <x:t>CU-2026-15</x:t>
  </x:si>
  <x:si>
    <x:t>IVA excuido</x:t>
  </x:si>
  <x:si>
    <x:t/>
  </x:si>
  <x:si>
    <x:t/>
  </x:si>
  <x:si>
    <x:t>Barcelona</x:t>
  </x:si>
  <x:si>
    <x:t>23/01/2026</x:t>
  </x:si>
  <x:si>
    <x:t>2025181175</x:t>
  </x:si>
  <x:si>
    <x:t>FUNDACIÓ BARCELONA MOBILE WORLD CAPITAL FOUNDATION</x:t>
  </x:si>
  <x:si>
    <x:t>Servicio integral de adaptación del diseño, producción ejecutiva, montaje y desmontaje, coordinación técnica y gestión operativa de espacios específicos en el marco del congreso internacional de derechos digitales 2026 impulsado por fundación barcelona mobile world capital foundation</x:t>
  </x:si>
  <x:si>
    <x:t>A/F202529/S</x:t>
  </x:si>
  <x:si>
    <x:t/>
  </x:si>
  <x:si>
    <x:t/>
  </x:si>
  <x:si>
    <x:t>16/01/2026</x:t>
  </x:si>
  <x:si>
    <x:t>2025181183</x:t>
  </x:si>
  <x:si>
    <x:t>FUNDACIÓ DE RECERCA CLÍNIC BARCELONA - INSTITUT D'INVESTIGACIONS BIOMÈDIQUES AUGUST PI I SUNYER</x:t>
  </x:si>
  <x:si>
    <x:t>F25.061S - Servicio de difusión y divulgación científica para el proyecto de investigación RETOS245779LLOV de la AECC del grupo de investigación "Investigación traslacional en oncología hepática", en función de las necesidades, de Fundación de Investigación Clínico Barcelona – Instituto de Investigaciones Biomédicas August Pi i Sunyer</x:t>
  </x:si>
  <x:si>
    <x:t>F25.061S</x:t>
  </x:si>
  <x:si>
    <x:t/>
  </x:si>
  <x:si>
    <x:t/>
  </x:si>
  <x:si>
    <x:t>Catalunya</x:t>
  </x:si>
  <x:si>
    <x:t>21/01/2026</x:t>
  </x:si>
  <x:si>
    <x:t>2025181234</x:t>
  </x:si>
  <x:si>
    <x:t>FERROCARRIL METROPOLITÀ DE BARCELONA, SA</x:t>
  </x:si>
  <x:si>
    <x:t>Concesión de servicios para la comercialización de productos y servicios de fotografía</x:t>
  </x:si>
  <x:si>
    <x:t>16101409</x:t>
  </x:si>
  <x:si>
    <x:t/>
  </x:si>
  <x:si>
    <x:t/>
  </x:si>
  <x:si>
    <x:t>29/01/2026</x:t>
  </x:si>
  <x:si>
    <x:t>2025181270</x:t>
  </x:si>
  <x:si>
    <x:t>SERVICIO CATALÁN DE LA SALUD (CATSALUT). DIVISIÓN DE CONTRATACIÓN DEL ÁREA ECONÓMICA Y DE INVERSIONES</x:t>
  </x:si>
  <x:si>
    <x:t>SCS-2026-234: Servicio de maquetación gráfica y adaptación Memoria CatSalut</x:t>
  </x:si>
  <x:si>
    <x:t>SCS-2026-234</x:t>
  </x:si>
  <x:si>
    <x:t/>
  </x:si>
  <x:si>
    <x:t/>
  </x:si>
  <x:si>
    <x:t>BOE - Boletín Oficial del Estado</x:t>
  </x:si>
  <x:si>
    <x:t>15/06/2026</x:t>
  </x:si>
  <x:si>
    <x:t>2025181278</x:t>
  </x:si>
  <x:si>
    <x:t>INSTITUTO DE TURISMO DE ESPAÑA, O.A. - MINISTERIO DE INDUSTRIA Y TURISMO</x:t>
  </x:si>
  <x:si>
    <x:t>Contratación de una concesión de obra para la redacción del proyecto y dirección facultativa, construcción y explotación del Palacio de Congresos y Exposiciones de Madrid. </x:t>
  </x:si>
  <x:si>
    <x:t>No consta</x:t>
  </x:si>
  <x:si>
    <x:t>Presupuesto Base de Licitación</x:t>
  </x:si>
  <x:si>
    <x:t/>
  </x:si>
  <x:si>
    <x:t>308</x:t>
  </x:si>
  <x:si>
    <x:t/>
  </x:si>
  <x:si>
    <x:t>12/01/2026</x:t>
  </x:si>
  <x:si>
    <x:t>2025181344</x:t>
  </x:si>
  <x:si>
    <x:t>MINISTERIO DE HACIENDA. JEFATURA DE UNIDAD DE MEDIOS INTERNOS -ÁREA DE COMPRAS DE LA COMPAÑÍA ESPAÑOLA DE SEGUROS DE CRÉDITO A LA EXPORTACIÓN S.A., S.M.E. (CESCE)</x:t>
  </x:si>
  <x:si>
    <x:t>Servicio de monitorización y clipping de noticias</x:t>
  </x:si>
  <x:si>
    <x:t>A46-1225</x:t>
  </x:si>
  <x:si>
    <x:t/>
  </x:si>
  <x:si>
    <x:t>2025181445</x:t>
  </x:si>
  <x:si>
    <x:t>MINISTERIO DE ECONOMÍA, COMERCIO Y EMPRESA. COMITÉ DE CONTRATACIÓN DEL INSTITUTO DE CRÉDITO OFICIAL (ICO)</x:t>
  </x:si>
  <x:si>
    <x:t>Central de Medios para la difusión de acciones publicitarias en medios nacionales del ICO</x:t>
  </x:si>
  <x:si>
    <x:t>ICO_2025_65</x:t>
  </x:si>
  <x:si>
    <x:t/>
  </x:si>
  <x:si>
    <x:t>22/01/2026</x:t>
  </x:si>
  <x:si>
    <x:t>2025181533</x:t>
  </x:si>
  <x:si>
    <x:t>AYUNTAMIENTO DE GAVÀ (BARCELONA)</x:t>
  </x:si>
  <x:si>
    <x:t>Contratación de infraestructuras para la feria de espárragos de Gavá. Lote 1 Suministro e instalación de infraestructuras para la Feria de Espárragos de Gavà, lote 2 Suministro de Grupos electrógenos, lote 3 Servicio de sonorización y equipos audiovisuales, lote 4 Servicio de control aforo y afluencia, lote 5 Servicio de decoración ajardinada.</x:t>
  </x:si>
  <x:si>
    <x:t>DC MIXT 57_25</x:t>
  </x:si>
  <x:si>
    <x:t/>
  </x:si>
  <x:si>
    <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</x:si>
</x:sst>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3" fillId="0" borderId="0" applyBorder="0" applyProtection="0"/>
  </cellStyleXfs>
  <cellXfs count="15">
    <xf numFmtId="0" fontId="0" fillId="0" borderId="0" xfId="0"/>
    <xf numFmtId="0" fontId="1" fillId="0" borderId="0" xfId="0" applyFont="1" applyAlignment="1" applyProtection="1">
      <alignment vertical="center" wrapText="1"/>
    </xf>
    <xf numFmtId="0" fontId="1" fillId="0" borderId="0" xfId="0" applyFont="1" applyAlignment="1" applyProtection="1">
      <alignment horizontal="center" vertical="center" wrapText="1"/>
    </xf>
    <xf numFmtId="0" fontId="1" fillId="0" borderId="0" xfId="0" applyFont="1" applyAlignment="1" applyProtection="1">
      <alignment vertical="center"/>
    </xf>
    <xf numFmtId="0" fontId="2" fillId="2" borderId="1" xfId="0" applyFont="1" applyFill="1" applyBorder="1" applyAlignment="1" applyProtection="1">
      <alignment horizontal="center" vertical="center" wrapText="1"/>
    </xf>
    <xf numFmtId="0" fontId="1" fillId="0" borderId="0" xfId="0" applyFont="1" applyAlignment="1" applyProtection="1">
      <alignment horizontal="center" vertical="center"/>
    </xf>
    <xf numFmtId="0" fontId="1" fillId="0" borderId="1" xfId="0" applyFont="1" applyBorder="1" applyAlignment="1" applyProtection="1">
      <alignment vertical="center" wrapText="1"/>
    </xf>
    <xf numFmtId="14"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14" fontId="1" fillId="0" borderId="1" xfId="0" applyNumberFormat="1" applyFont="1" applyBorder="1" applyAlignment="1" applyProtection="1">
      <alignment vertical="center" wrapText="1"/>
    </xf>
    <xf numFmtId="164" fontId="1" fillId="0" borderId="2" xfId="0" applyNumberFormat="1" applyFont="1" applyBorder="1" applyAlignment="1" applyProtection="1">
      <alignment vertical="center" wrapText="1"/>
    </xf>
    <xf numFmtId="0" fontId="1" fillId="0" borderId="2" xfId="0" applyFont="1" applyBorder="1" applyAlignment="1" applyProtection="1">
      <alignment vertical="center" wrapText="1"/>
    </xf>
    <xf numFmtId="0" fontId="4" fillId="0" borderId="2" xfId="1" applyFont="1" applyBorder="1" applyAlignment="1" applyProtection="1">
      <alignment vertical="center" wrapText="1"/>
    </xf>
    <xf numFmtId="14" fontId="1" fillId="0" borderId="2" xfId="0" applyNumberFormat="1" applyFont="1" applyBorder="1" applyAlignment="1" applyProtection="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Q2"/>
  <x:sheetViews>
    <x:sheetView showGridLines="0" tabSelected="1" zoomScaleNormal="100" workbookViewId="0">
      <x:selection sqref="A1:XFD1"/>
    </x:sheetView>
  </x:sheetViews>
  <x:sheetFormatPr baseColWidth="10" defaultColWidth="11.5703125" defaultRowHeight="12.75"/>
  <x:cols>
    <x:col min="1" max="1" width="8.5703125" style="1" customWidth="1"/>
    <x:col min="2" max="2" width="18.85546875" style="1" customWidth="1"/>
    <x:col min="3" max="3" width="19.140625" style="2" customWidth="1"/>
    <x:col min="4" max="4" width="11.140625" style="2" customWidth="1"/>
    <x:col min="5" max="5" width="14.85546875" style="1" hidden="1" customWidth="1"/>
    <x:col min="6" max="6" width="24.7109375" style="1" customWidth="1"/>
    <x:col min="7" max="7" width="57.42578125" style="1" customWidth="1"/>
    <x:col min="8" max="8" width="17.140625" style="1" customWidth="1"/>
    <x:col min="9" max="9" width="14.28515625" style="1" customWidth="1"/>
    <x:col min="10" max="10" width="16.85546875" style="1" hidden="1" customWidth="1"/>
    <x:col min="11" max="11" width="19.42578125" style="1" hidden="1" customWidth="1"/>
    <x:col min="12" max="12" width="33.85546875" style="1" customWidth="1"/>
    <x:col min="13" max="13" width="15.85546875" style="1" hidden="1" customWidth="1"/>
    <x:col min="14" max="14" width="13.85546875" style="1" hidden="1" customWidth="1"/>
    <x:col min="15" max="15" width="11.7109375" style="1" hidden="1" customWidth="1"/>
    <x:col min="16" max="16" width="17.140625" style="1" customWidth="1"/>
    <x:col min="17" max="17" width="29.7109375" style="1" customWidth="1"/>
    <x:col min="18" max="16384" width="11.5703125" style="3"/>
  </x:cols>
  <x:sheetData>
    <x:row r="1" spans="1:17" s="5" customFormat="1" ht="25.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spans="1:17">
      <x:c r="A2" s="6" t="s">
        <x:v>17</x:v>
      </x:c>
      <x:c r="B2" s="6" t="s">
        <x:v>18</x:v>
      </x:c>
      <x:c r="C2" s="7" t="s">
        <x:v>19</x:v>
      </x:c>
      <x:c r="D2" s="8" t="s">
        <x:v>20</x:v>
      </x:c>
      <x:c r="E2" s="9" t="s">
        <x:v>21</x:v>
      </x:c>
      <x:c r="F2" s="6" t="s">
        <x:v>22</x:v>
      </x:c>
      <x:c r="G2" s="6" t="s">
        <x:v>23</x:v>
      </x:c>
      <x:c r="H2" s="6" t="s">
        <x:v>24</x:v>
      </x:c>
      <x:c r="I2" s="10" t="n">
        <x:v>313966.94</x:v>
      </x:c>
      <x:c r="J2" s="11" t="s">
        <x:v>25</x:v>
      </x:c>
      <x:c r="K2" s="11" t="s">
        <x:v>26</x:v>
      </x:c>
      <x:c r="L2" s="12" t="str">
        <x:f xml:space="preserve">HYPERLINK("https://contratos-publicos.comunidad.madrid/contrato-publico/programacion-organizacion-ejecucion-conjunto-actividades-encuadradas-3","contratos-publicos.comunidad.madrid/contrato-publico/programacion-organizacion-ejecucion-conjunto-actividades-encuadradas-3")</x:f>
        <x:v>contratos-publicos.comunidad.madrid/contrato-publico/programacion-organizacion-ejecucion-conjunto-actividades-encuadradas-3</x:v>
      </x:c>
      <x:c r="M2" s="11" t="s">
        <x:v>27</x:v>
      </x:c>
      <x:c r="N2" s="13" t="s">
        <x:v>28</x:v>
      </x:c>
      <x:c r="O2" s="11" t="s">
        <x:v>29</x:v>
      </x:c>
      <x:c r="P2" s="11" t="s">
        <x:v>30</x:v>
      </x:c>
      <x:c r="Q2" s="14" t="str">
        <x:f xml:space="preserve">HYPERLINK("https://www.infonalia.es/licitaciones1225/2025180951.pdf","www.infonalia.es/licitaciones1225/2025180951.pdf")</x:f>
        <x:v>www.infonalia.es/licitaciones1225/2025180951.pdf</x:v>
      </x:c>
    </x:row>
    <x:row r="3">
      <x:c r="A3" s="6" t="s">
        <x:v>17</x:v>
      </x:c>
      <x:c r="B3" s="6" t="s">
        <x:v>18</x:v>
      </x:c>
      <x:c r="C3" s="7" t="s">
        <x:v>31</x:v>
      </x:c>
      <x:c r="D3" s="8" t="s">
        <x:v>32</x:v>
      </x:c>
      <x:c r="E3" s="9" t="s">
        <x:v>21</x:v>
      </x:c>
      <x:c r="F3" s="6" t="s">
        <x:v>33</x:v>
      </x:c>
      <x:c r="G3" s="6" t="s">
        <x:v>34</x:v>
      </x:c>
      <x:c r="H3" s="6" t="s">
        <x:v>35</x:v>
      </x:c>
      <x:c r="I3" s="10" t="n">
        <x:v>700000.00</x:v>
      </x:c>
      <x:c r="J3" s="11" t="s">
        <x:v>25</x:v>
      </x:c>
      <x:c r="K3" s="11" t="s">
        <x:v>26</x:v>
      </x:c>
      <x:c r="L3" s="12" t="str">
        <x:f xml:space="preserve">HYPERLINK("https://contrataciondelestado.es/wps/poc?uri=deeplink:detalle_licitacion&amp;idEvl=uZejYBVHzoXua%2Fi14w%2FPLA%3D%3D","contrataciondelestado.es/wps/poc?uri=deeplink:detalle_licitacion&amp;idEvl=uZejYBVHzoXua%2Fi14w%2FPLA%3D%3D")</x:f>
        <x:v>contrataciondelestado.es/wps/poc?uri=deeplink:detalle_licitacion&amp;idEvl=uZejYBVHzoXua%2Fi14w%2FPLA%3D%3D</x:v>
      </x:c>
      <x:c r="M3" s="11" t="s">
        <x:v>27</x:v>
      </x:c>
      <x:c r="N3" s="13" t="s">
        <x:v>28</x:v>
      </x:c>
      <x:c r="O3" s="11" t="s">
        <x:v>36</x:v>
      </x:c>
      <x:c r="P3" s="11" t="s">
        <x:v>30</x:v>
      </x:c>
      <x:c r="Q3" s="14" t="str">
        <x:f xml:space="preserve">HYPERLINK("https://www.infonalia.es/licitaciones1225/2025180962.pdf","www.infonalia.es/licitaciones1225/2025180962.pdf")</x:f>
        <x:v>www.infonalia.es/licitaciones1225/2025180962.pdf</x:v>
      </x:c>
    </x:row>
    <x:row r="4">
      <x:c r="A4" s="6" t="s">
        <x:v>17</x:v>
      </x:c>
      <x:c r="B4" s="6" t="s">
        <x:v>37</x:v>
      </x:c>
      <x:c r="C4" s="7" t="s">
        <x:v>38</x:v>
      </x:c>
      <x:c r="D4" s="8" t="s">
        <x:v>39</x:v>
      </x:c>
      <x:c r="E4" s="9" t="s">
        <x:v>21</x:v>
      </x:c>
      <x:c r="F4" s="6" t="s">
        <x:v>40</x:v>
      </x:c>
      <x:c r="G4" s="6" t="s">
        <x:v>41</x:v>
      </x:c>
      <x:c r="H4" s="6" t="s">
        <x:v>42</x:v>
      </x:c>
      <x:c r="I4" s="10" t="n">
        <x:v>35858.34</x:v>
      </x:c>
      <x:c r="J4" s="11" t="s">
        <x:v>43</x:v>
      </x:c>
      <x:c r="K4" s="11" t="s">
        <x:v>44</x:v>
      </x:c>
      <x:c r="L4" s="12" t="str">
        <x:f xml:space="preserve">HYPERLINK("https://contractaciopublica.cat/es/detall-publicacio/300652769","contractaciopublica.cat/es/detall-publicacio/300652769")</x:f>
        <x:v>contractaciopublica.cat/es/detall-publicacio/300652769</x:v>
      </x:c>
      <x:c r="M4" s="11" t="s">
        <x:v>27</x:v>
      </x:c>
      <x:c r="N4" s="13" t="s">
        <x:v>28</x:v>
      </x:c>
      <x:c r="O4" s="11" t="s">
        <x:v>45</x:v>
      </x:c>
      <x:c r="P4" s="11" t="s">
        <x:v>46</x:v>
      </x:c>
      <x:c r="Q4" s="14" t="str">
        <x:f xml:space="preserve">HYPERLINK("https://www.infonalia.es/licitaciones1225/2025181174.pdf","www.infonalia.es/licitaciones1225/2025181174.pdf")</x:f>
        <x:v>www.infonalia.es/licitaciones1225/2025181174.pdf</x:v>
      </x:c>
    </x:row>
    <x:row r="5">
      <x:c r="A5" s="6" t="s">
        <x:v>17</x:v>
      </x:c>
      <x:c r="B5" s="6" t="s">
        <x:v>37</x:v>
      </x:c>
      <x:c r="C5" s="7" t="s">
        <x:v>47</x:v>
      </x:c>
      <x:c r="D5" s="8" t="s">
        <x:v>48</x:v>
      </x:c>
      <x:c r="E5" s="9" t="s">
        <x:v>21</x:v>
      </x:c>
      <x:c r="F5" s="6" t="s">
        <x:v>49</x:v>
      </x:c>
      <x:c r="G5" s="6" t="s">
        <x:v>50</x:v>
      </x:c>
      <x:c r="H5" s="6" t="s">
        <x:v>51</x:v>
      </x:c>
      <x:c r="I5" s="10" t="n">
        <x:v>165000.00</x:v>
      </x:c>
      <x:c r="J5" s="11" t="s">
        <x:v>43</x:v>
      </x:c>
      <x:c r="K5" s="11" t="s">
        <x:v>52</x:v>
      </x:c>
      <x:c r="L5" s="12" t="str">
        <x:f xml:space="preserve">HYPERLINK("https://contractaciopublica.cat/es/detall-publicacio/300653172","contractaciopublica.cat/es/detall-publicacio/300653172")</x:f>
        <x:v>contractaciopublica.cat/es/detall-publicacio/300653172</x:v>
      </x:c>
      <x:c r="M5" s="11" t="s">
        <x:v>27</x:v>
      </x:c>
      <x:c r="N5" s="13" t="s">
        <x:v>28</x:v>
      </x:c>
      <x:c r="O5" s="11" t="s">
        <x:v>53</x:v>
      </x:c>
      <x:c r="P5" s="11" t="s">
        <x:v>46</x:v>
      </x:c>
      <x:c r="Q5" s="14" t="str">
        <x:f xml:space="preserve">HYPERLINK("https://www.infonalia.es/licitaciones1225/2025181175.pdf","www.infonalia.es/licitaciones1225/2025181175.pdf")</x:f>
        <x:v>www.infonalia.es/licitaciones1225/2025181175.pdf</x:v>
      </x:c>
    </x:row>
    <x:row r="6">
      <x:c r="A6" s="6" t="s">
        <x:v>17</x:v>
      </x:c>
      <x:c r="B6" s="6" t="s">
        <x:v>37</x:v>
      </x:c>
      <x:c r="C6" s="7" t="s">
        <x:v>54</x:v>
      </x:c>
      <x:c r="D6" s="8" t="s">
        <x:v>55</x:v>
      </x:c>
      <x:c r="E6" s="9" t="s">
        <x:v>21</x:v>
      </x:c>
      <x:c r="F6" s="6" t="s">
        <x:v>56</x:v>
      </x:c>
      <x:c r="G6" s="6" t="s">
        <x:v>57</x:v>
      </x:c>
      <x:c r="H6" s="6" t="s">
        <x:v>58</x:v>
      </x:c>
      <x:c r="I6" s="10" t="n">
        <x:v>37100.00</x:v>
      </x:c>
      <x:c r="J6" s="11" t="s">
        <x:v>43</x:v>
      </x:c>
      <x:c r="K6" s="11" t="s">
        <x:v>59</x:v>
      </x:c>
      <x:c r="L6" s="12" t="str">
        <x:f xml:space="preserve">HYPERLINK("https://contractaciopublica.cat/es/detall-publicacio/300649786","contractaciopublica.cat/es/detall-publicacio/300649786")</x:f>
        <x:v>contractaciopublica.cat/es/detall-publicacio/300649786</x:v>
      </x:c>
      <x:c r="M6" s="11" t="s">
        <x:v>27</x:v>
      </x:c>
      <x:c r="N6" s="13" t="s">
        <x:v>28</x:v>
      </x:c>
      <x:c r="O6" s="11" t="s">
        <x:v>60</x:v>
      </x:c>
      <x:c r="P6" s="11" t="s">
        <x:v>61</x:v>
      </x:c>
      <x:c r="Q6" s="14" t="str">
        <x:f xml:space="preserve">HYPERLINK("https://www.infonalia.es/licitaciones1225/2025181183.pdf","www.infonalia.es/licitaciones1225/2025181183.pdf")</x:f>
        <x:v>www.infonalia.es/licitaciones1225/2025181183.pdf</x:v>
      </x:c>
    </x:row>
    <x:row r="7">
      <x:c r="A7" s="6" t="s">
        <x:v>17</x:v>
      </x:c>
      <x:c r="B7" s="6" t="s">
        <x:v>37</x:v>
      </x:c>
      <x:c r="C7" s="7" t="s">
        <x:v>62</x:v>
      </x:c>
      <x:c r="D7" s="8" t="s">
        <x:v>63</x:v>
      </x:c>
      <x:c r="E7" s="9" t="s">
        <x:v>21</x:v>
      </x:c>
      <x:c r="F7" s="6" t="s">
        <x:v>64</x:v>
      </x:c>
      <x:c r="G7" s="6" t="s">
        <x:v>65</x:v>
      </x:c>
      <x:c r="H7" s="6" t="s">
        <x:v>66</x:v>
      </x:c>
      <x:c r="I7" s="10" t="n">
        <x:v>909000.00</x:v>
      </x:c>
      <x:c r="J7" s="11" t="s">
        <x:v>43</x:v>
      </x:c>
      <x:c r="K7" s="11" t="s">
        <x:v>67</x:v>
      </x:c>
      <x:c r="L7" s="12" t="str">
        <x:f xml:space="preserve">HYPERLINK("https://contractaciopublica.cat/es/detall-publicacio/300652054","contractaciopublica.cat/es/detall-publicacio/300652054")</x:f>
        <x:v>contractaciopublica.cat/es/detall-publicacio/300652054</x:v>
      </x:c>
      <x:c r="M7" s="11" t="s">
        <x:v>27</x:v>
      </x:c>
      <x:c r="N7" s="13" t="s">
        <x:v>28</x:v>
      </x:c>
      <x:c r="O7" s="11" t="s">
        <x:v>68</x:v>
      </x:c>
      <x:c r="P7" s="11" t="s">
        <x:v>46</x:v>
      </x:c>
      <x:c r="Q7" s="14" t="str">
        <x:f xml:space="preserve">HYPERLINK("https://www.infonalia.es/licitaciones1225/2025181234.pdf","www.infonalia.es/licitaciones1225/2025181234.pdf")</x:f>
        <x:v>www.infonalia.es/licitaciones1225/2025181234.pdf</x:v>
      </x:c>
    </x:row>
    <x:row r="8">
      <x:c r="A8" s="6" t="s">
        <x:v>17</x:v>
      </x:c>
      <x:c r="B8" s="6" t="s">
        <x:v>37</x:v>
      </x:c>
      <x:c r="C8" s="7" t="s">
        <x:v>69</x:v>
      </x:c>
      <x:c r="D8" s="8" t="s">
        <x:v>70</x:v>
      </x:c>
      <x:c r="E8" s="9" t="s">
        <x:v>21</x:v>
      </x:c>
      <x:c r="F8" s="6" t="s">
        <x:v>71</x:v>
      </x:c>
      <x:c r="G8" s="6" t="s">
        <x:v>72</x:v>
      </x:c>
      <x:c r="H8" s="6" t="s">
        <x:v>73</x:v>
      </x:c>
      <x:c r="I8" s="10" t="n">
        <x:v>21104.60</x:v>
      </x:c>
      <x:c r="J8" s="11" t="s">
        <x:v>43</x:v>
      </x:c>
      <x:c r="K8" s="11" t="s">
        <x:v>74</x:v>
      </x:c>
      <x:c r="L8" s="12" t="str">
        <x:f xml:space="preserve">HYPERLINK("https://contractaciopublica.cat/es/detall-publicacio/300651839","contractaciopublica.cat/es/detall-publicacio/300651839")</x:f>
        <x:v>contractaciopublica.cat/es/detall-publicacio/300651839</x:v>
      </x:c>
      <x:c r="M8" s="11" t="s">
        <x:v>27</x:v>
      </x:c>
      <x:c r="N8" s="13" t="s">
        <x:v>28</x:v>
      </x:c>
      <x:c r="O8" s="11" t="s">
        <x:v>75</x:v>
      </x:c>
      <x:c r="P8" s="11" t="s">
        <x:v>46</x:v>
      </x:c>
      <x:c r="Q8" s="14" t="str">
        <x:f xml:space="preserve">HYPERLINK("https://www.infonalia.es/licitaciones1225/2025181270.pdf","www.infonalia.es/licitaciones1225/2025181270.pdf")</x:f>
        <x:v>www.infonalia.es/licitaciones1225/2025181270.pdf</x:v>
      </x:c>
    </x:row>
    <x:row r="9">
      <x:c r="A9" s="6" t="s">
        <x:v>17</x:v>
      </x:c>
      <x:c r="B9" s="6" t="s">
        <x:v>76</x:v>
      </x:c>
      <x:c r="C9" s="7" t="s">
        <x:v>77</x:v>
      </x:c>
      <x:c r="D9" s="8" t="s">
        <x:v>78</x:v>
      </x:c>
      <x:c r="E9" s="9" t="s">
        <x:v>21</x:v>
      </x:c>
      <x:c r="F9" s="6" t="s">
        <x:v>79</x:v>
      </x:c>
      <x:c r="G9" s="6" t="s">
        <x:v>80</x:v>
      </x:c>
      <x:c r="H9" s="6" t="s">
        <x:v>81</x:v>
      </x:c>
      <x:c r="I9" s="10" t="n">
        <x:v>1279250000.00</x:v>
      </x:c>
      <x:c r="J9" s="11" t="s">
        <x:v>82</x:v>
      </x:c>
      <x:c r="K9" s="11" t="s">
        <x:v>83</x:v>
      </x:c>
      <x:c r="L9" s="12" t="str">
        <x:f xml:space="preserve">HYPERLINK("https://contrataciondelestado.es/wps/portal/plataforma/buscadores/detalle/!ut/p/z1/hY9LD4IwEIR_kem2lCJHHqUUQUAeSi-ExMSQ8DDG8Psthquyt8l-MzuLFLohNXVL_-je_Tx1g9aNYi3lqecFIYFjYfhAYr-qWLhKgmp03UOUXsOPcUD71RcxDY_WUZ2xQgoAGQZ-XGETBGEb8Cej0R2s1ql57kjbgNS96A5RlpSZIBiAoWqaX6P-p1iz-jtfBtRgCzMDLErtzS8ESOwKoPh09oFlFo94Xq4n9vzPMbDloRnbpHQ-Mr1g3w!!/dz/d5/L2dBISEvZ0FBIS9nQSEh/","contrataciondelestado.es/wps/portal/plataforma/buscadores/detalle/!ut/p/z1/hY9LD4IwEIR_kem2lCJHHqUUQUAeSi-ExMSQ8DDG8Psthquyt8l-MzuLFLohNXVL_-je_Tx1g9aNYi3lqecFIYFjYfhAYr-qWLhKgmp03UOUXsOPcUD71RcxDY_WUZ2xQgoAGQZ-XGETBGEb8Cej0R2s1ql57kjbgNS96A5RlpSZIBiAoWqaX6P-p1iz-jtfBtRgCzMDLErtzS8ESOwKoPh09oFlFo94Xq4n9vzPMbDloRnbpHQ-Mr1g3w!!/dz/d5/L2dBISEvZ0FBIS9nQSEh/")</x:f>
        <x:v>contrataciondelestado.es/wps/portal/plataforma/buscadores/detalle/!ut/p/z1/hY9LD4IwEIR_kem2lCJHHqUUQUAeSi-ExMSQ8DDG8Psthquyt8l-MzuLFLohNXVL_-je_Tx1g9aNYi3lqecFIYFjYfhAYr-qWLhKgmp03UOUXsOPcUD71RcxDY_WUZ2xQgoAGQZ-XGETBGEb8Cej0R2s1ql57kjbgNS96A5RlpSZIBiAoWqaX6P-p1iz-jtfBtRgCzMDLErtzS8ESOwKoPh09oFlFo94Xq4n9vzPMbDloRnbpHQ-Mr1g3w!!/dz/d5/L2dBISEvZ0FBIS9nQSEh/</x:v>
      </x:c>
      <x:c r="M9" s="11" t="s">
        <x:v>84</x:v>
      </x:c>
      <x:c r="N9" s="13" t="s">
        <x:v>21</x:v>
      </x:c>
      <x:c r="O9" s="11" t="s">
        <x:v>85</x:v>
      </x:c>
      <x:c r="P9" s="11" t="s">
        <x:v>30</x:v>
      </x:c>
      <x:c r="Q9" s="14" t="str">
        <x:f xml:space="preserve">HYPERLINK("https://www.infonalia.es/licitaciones1225/2025181278.pdf","www.infonalia.es/licitaciones1225/2025181278.pdf")</x:f>
        <x:v>www.infonalia.es/licitaciones1225/2025181278.pdf</x:v>
      </x:c>
    </x:row>
    <x:row r="10">
      <x:c r="A10" s="6" t="s">
        <x:v>17</x:v>
      </x:c>
      <x:c r="B10" s="6" t="s">
        <x:v>18</x:v>
      </x:c>
      <x:c r="C10" s="7" t="s">
        <x:v>86</x:v>
      </x:c>
      <x:c r="D10" s="8" t="s">
        <x:v>87</x:v>
      </x:c>
      <x:c r="E10" s="9" t="s">
        <x:v>21</x:v>
      </x:c>
      <x:c r="F10" s="6" t="s">
        <x:v>88</x:v>
      </x:c>
      <x:c r="G10" s="6" t="s">
        <x:v>89</x:v>
      </x:c>
      <x:c r="H10" s="6" t="s">
        <x:v>90</x:v>
      </x:c>
      <x:c r="I10" s="10" t="n">
        <x:v>60000.00</x:v>
      </x:c>
      <x:c r="J10" s="11" t="s">
        <x:v>25</x:v>
      </x:c>
      <x:c r="K10" s="11" t="s">
        <x:v>26</x:v>
      </x:c>
      <x:c r="L10" s="12" t="str">
        <x:f xml:space="preserve">HYPERLINK("https://contrataciondelestado.es/wps/poc?uri=deeplink:detalle_licitacion&amp;idEvl=Kn81zwDcAW04NavIWzMcHA%3D%3D","contrataciondelestado.es/wps/poc?uri=deeplink:detalle_licitacion&amp;idEvl=Kn81zwDcAW04NavIWzMcHA%3D%3D")</x:f>
        <x:v>contrataciondelestado.es/wps/poc?uri=deeplink:detalle_licitacion&amp;idEvl=Kn81zwDcAW04NavIWzMcHA%3D%3D</x:v>
      </x:c>
      <x:c r="M10" s="11" t="s">
        <x:v>27</x:v>
      </x:c>
      <x:c r="N10" s="13" t="s">
        <x:v>21</x:v>
      </x:c>
      <x:c r="O10" s="11" t="s">
        <x:v>91</x:v>
      </x:c>
      <x:c r="P10" s="11" t="s">
        <x:v>30</x:v>
      </x:c>
      <x:c r="Q10" s="14" t="str">
        <x:f xml:space="preserve">HYPERLINK("https://www.infonalia.es/licitaciones1225/2025181344.pdf","www.infonalia.es/licitaciones1225/2025181344.pdf")</x:f>
        <x:v>www.infonalia.es/licitaciones1225/2025181344.pdf</x:v>
      </x:c>
    </x:row>
    <x:row r="11">
      <x:c r="A11" s="6" t="s">
        <x:v>17</x:v>
      </x:c>
      <x:c r="B11" s="6" t="s">
        <x:v>18</x:v>
      </x:c>
      <x:c r="C11" s="7" t="s">
        <x:v>38</x:v>
      </x:c>
      <x:c r="D11" s="8" t="s">
        <x:v>92</x:v>
      </x:c>
      <x:c r="E11" s="9" t="s">
        <x:v>21</x:v>
      </x:c>
      <x:c r="F11" s="6" t="s">
        <x:v>93</x:v>
      </x:c>
      <x:c r="G11" s="6" t="s">
        <x:v>94</x:v>
      </x:c>
      <x:c r="H11" s="6" t="s">
        <x:v>95</x:v>
      </x:c>
      <x:c r="I11" s="10" t="n">
        <x:v>2500000.00</x:v>
      </x:c>
      <x:c r="J11" s="11" t="s">
        <x:v>25</x:v>
      </x:c>
      <x:c r="K11" s="11" t="s">
        <x:v>26</x:v>
      </x:c>
      <x:c r="L11" s="12" t="str">
        <x:f xml:space="preserve">HYPERLINK("https://contrataciondelestado.es/wps/poc?uri=deeplink:detalle_licitacion&amp;idEvl=fF5y7Ui%2BPKwkJPJS%2BPS9vg%3D%3D","contrataciondelestado.es/wps/poc?uri=deeplink:detalle_licitacion&amp;idEvl=fF5y7Ui%2BPKwkJPJS%2BPS9vg%3D%3D")</x:f>
        <x:v>contrataciondelestado.es/wps/poc?uri=deeplink:detalle_licitacion&amp;idEvl=fF5y7Ui%2BPKwkJPJS%2BPS9vg%3D%3D</x:v>
      </x:c>
      <x:c r="M11" s="11" t="s">
        <x:v>27</x:v>
      </x:c>
      <x:c r="N11" s="13" t="s">
        <x:v>21</x:v>
      </x:c>
      <x:c r="O11" s="11" t="s">
        <x:v>96</x:v>
      </x:c>
      <x:c r="P11" s="11" t="s">
        <x:v>30</x:v>
      </x:c>
      <x:c r="Q11" s="14" t="str">
        <x:f xml:space="preserve">HYPERLINK("https://www.infonalia.es/licitaciones1225/2025181445.pdf","www.infonalia.es/licitaciones1225/2025181445.pdf")</x:f>
        <x:v>www.infonalia.es/licitaciones1225/2025181445.pdf</x:v>
      </x:c>
    </x:row>
    <x:row r="12">
      <x:c r="A12" s="6" t="s">
        <x:v>17</x:v>
      </x:c>
      <x:c r="B12" s="6" t="s">
        <x:v>37</x:v>
      </x:c>
      <x:c r="C12" s="7" t="s">
        <x:v>97</x:v>
      </x:c>
      <x:c r="D12" s="8" t="s">
        <x:v>98</x:v>
      </x:c>
      <x:c r="E12" s="9" t="s">
        <x:v>21</x:v>
      </x:c>
      <x:c r="F12" s="6" t="s">
        <x:v>99</x:v>
      </x:c>
      <x:c r="G12" s="6" t="s">
        <x:v>100</x:v>
      </x:c>
      <x:c r="H12" s="6" t="s">
        <x:v>101</x:v>
      </x:c>
      <x:c r="I12" s="10" t="n">
        <x:v>85537.19</x:v>
      </x:c>
      <x:c r="J12" s="11" t="s">
        <x:v>43</x:v>
      </x:c>
      <x:c r="K12" s="11" t="s">
        <x:v>102</x:v>
      </x:c>
      <x:c r="L12" s="12" t="str">
        <x:f xml:space="preserve">HYPERLINK("https://contractaciopublica.cat/es/detall-publicacio/300650929","contractaciopublica.cat/es/detall-publicacio/300650929")</x:f>
        <x:v>contractaciopublica.cat/es/detall-publicacio/300650929</x:v>
      </x:c>
      <x:c r="M12" s="11" t="s">
        <x:v>27</x:v>
      </x:c>
      <x:c r="N12" s="13" t="s">
        <x:v>21</x:v>
      </x:c>
      <x:c r="O12" s="11" t="s">
        <x:v>103</x:v>
      </x:c>
      <x:c r="P12" s="11" t="s">
        <x:v>46</x:v>
      </x:c>
      <x:c r="Q12" s="14" t="str">
        <x:f xml:space="preserve">HYPERLINK("https://www.infonalia.es/licitaciones1225/2025181533.pdf","www.infonalia.es/licitaciones1225/2025181533.pdf")</x:f>
        <x:v>www.infonalia.es/licitaciones1225/2025181533.pdf</x:v>
      </x:c>
    </x:row>
  </x:sheetData>
  <x:autoFilter ref="A1:Q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Licitaciones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2</cp:revision>
  <dcterms:created xsi:type="dcterms:W3CDTF">2024-12-04T08:39:24Z</dcterms:created>
  <dcterms:modified xsi:type="dcterms:W3CDTF">2025-01-20T07:55:14Z</dcterms:modified>
  <dc:language>es-ES</dc:language>
</cp:coreProperties>
</file>