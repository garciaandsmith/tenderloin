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<x:sst xmlns:x="http://schemas.openxmlformats.org/spreadsheetml/2006/main" count="6" uniqueCount="6">
  <x:si>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</x:si>
  <x:si>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</x:si>
  <x:si>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</x:si>
  <x:si>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</x:si>
  <x:si>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</x:si>
  <x:si>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</x:si>
  <x:si>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2025152691</x:t>
  </x:si>
  <x:si>
    <x:t>Corrección de errores</x:t>
  </x:si>
  <x:si>
    <x:t>ALCALDÍA DEL AYUNTAMIENTO DE ALLER (ASTURIAS)</x:t>
  </x:si>
  <x:si>
    <x:t>Servicios de alquiler y montaje, servicios audiovisuales, servicio de vigilancia y servicio de elaboración plan de autoprotección del recinto ferial de Nevaria 2025, la feria de la nieve y la montaña. Lote 1: Servicio de alquiler y montaje del recinto ferial. Lote 2: Servicio de alquiler e instalación de medios audiovisuales. Lote 3: Servicio de vigilancia. Lote 4: Plan de autoprotección.</x:t>
  </x:si>
  <x:si>
    <x:t>2025155305</x:t>
  </x:si>
  <x:si>
    <x:t>Aclaración / Ampliación de pliegos</x:t>
  </x:si>
  <x:si>
    <x:t>AYUNTAMIENTO DE LLEIDA</x:t>
  </x:si>
  <x:si>
    <x:t>Contratación de un servicio de fotografía y vídeo profesional por el Ayuntamiento de Lleida y establecimiento de un mecanismo de trabajo profesional audiovisual en relación con los actos oficiales y actividades municipales que dependen de la Sección de Comunicación. Organizar un sistema de trabajo para la realización, retoque y archivo de las fotografías y vídeos solicitadas por la Sección de Comunicación.</x:t>
  </x:si>
  <x:si>
    <x:t>2025155327</x:t>
  </x:si>
  <x:si>
    <x:t>BARCELONA DE SERVEIS MUNICIPALS SA</x:t>
  </x:si>
  <x:si>
    <x:t>2025MK0170AC - Comercialización en exclusiva de la publicidad en las bicicletas y estaciones del servicio de Bicing.</x:t>
  </x:si>
  <x:si>
    <x:t>2025159139</x:t>
  </x:si>
  <x:si>
    <x:t>FUNDACIÓ PER A LA UNIVERSITAT OBERTA DE CATALUNYA</x:t>
  </x:si>
  <x:si>
    <x:t>Servicio especializado en la producción de materiales formativos online a medida, capaz de llevar a cabo de forma autónoma, integrada y paralela las diferentes fases del proceso: diseño instruccional, creación de contenidos, desarrollo multimedia y técnico, siguiendo el modelo pedagógico de la UOC y garantizando la calidad y la eficiencia en la ejecución[Lote 1 Virtualización integral de un proyecto formativo para el entorno digital - Lote 2 Generación de productos específicos: tipos infografía interactiva, videotutoriales vídeos dinámicos.]</x:t>
  </x:si>
  <x:si>
    <x:t>2025160481</x:t>
  </x:si>
  <x:si>
    <x:t>COMUNIDAD DE MADRID. CONSEJERÍA DE FAMILIA, JUVENTUD Y ASUNTOS SOCIALES</x:t>
  </x:si>
  <x:si>
    <x:t>El presente contrato tendrá como objeto la prestación del servicio de gestión del centro “Metrónomo” en el que se ubican diez locales de ensayo, así como un estudio de grabación, la supervisión de las instalaciones, así como el desarrollo de un programa de dinamización del centro para las personas usuarias del mismo, todo ello de conformidad a las especificaciones que se contienen en el Pliego de Prescripciones Técnicas</x:t>
  </x:si>
  <x:si>
    <x:t>2025162619</x:t>
  </x:si>
  <x:si>
    <x:t>AGENCIA DE CONTRATACIÓN SANITARIA DE LA COMUNIDAD DE MADRID</x:t>
  </x:si>
  <x:si>
    <x:t>El objeto del presente contrato es proporcionar un servicio de apoyo a la gestión de pruebas selectivas para acceso a la condición de personal estatutario fijo, que comprende la maquetación y edición de hojas de respuesta múltiple y cuestionarios de examen, servicio de consulta on line para información de los lugares de examen, procesamiento y corrección de las hojas de respuesta y emisión de listados de calificación, distribución y recogida de cuadernillos y hojas de respuesta, con el alcance y contenido que se detalla en el presente pliego y en los pliegos de prescripciones técnicas.</x:t>
  </x:si>
  <x:si>
    <x:t>2025162796</x:t>
  </x:si>
  <x:si>
    <x:t>CORPORACIÓ CATALANA DE MITJANS AUDIOVISUALS, SA (CCMA, SA)</x:t>
  </x:si>
  <x:si>
    <x:t>Servicio de creación de imágenes digitales en diverses tipologías de grafismos y proyectos asociados. NOTA IMPORTANTE: RECOGIDA DEL BRIEFING La CCMA, S. A. dispone del briefing que las empresas licitadoras tendrán que desarrollar y que es objeto de la valoración cualitativa. Al tratarse de un documento que contiene información confidencial, las empresas que estén interesadas en recibir la documentación tendrán que enviar un correo electrónico adjuntando el Anexo debidamente cumplimentado y firmado, antes del día 3 de diciembre de 2025 a la dirección administracioiserveiscompres@ccma.cat, indicando en el asunto del correo: CPO 2511OB08 Petición briefing</x:t>
  </x:si>
  <x:si>
    <x:t>2025166480</x:t>
  </x:si>
  <x:si>
    <x:t>AYUNTAMIENTO DE BADALONA (BARCELONA)</x:t>
  </x:si>
  <x:si>
    <x:t>2025/51440P - Contrato de servicios de organización y realización del Mercado del Trasto</x:t>
  </x:si>
  <x:si>
    <x:t>2025166495</x:t>
  </x:si>
  <x:si>
    <x:t>AYUNTAMIENTO DE IGUALADA (BARCELONA)</x:t>
  </x:si>
  <x:si>
    <x:t>Servicios y suministros para el concierto de órgano de fin de año y de los conciertos del festival internacional de órgano 2026. Lote 1 Suministro de equipamientos, producción, proyección en directo y grabación del concierto de órgano de Fin de año y de los conciertos del Festival Internacional de Órgano, lote 2 Servicio de fotografía, lote 3 Servicio de impresión del material gráfico.</x:t>
  </x:si>
  <x:si>
    <x:t>2025166508</x:t>
  </x:si>
  <x:si>
    <x:t>AYUNTAMIENTO DE CANOVELLES (BARCELONA)</x:t>
  </x:si>
  <x:si>
    <x:t>Servicio de organización de las Actividades de Reyes</x:t>
  </x:si>
  <x:si>
    <x:t>2025166528</x:t>
  </x:si>
  <x:si>
    <x:t>INFORMACIÓ I COMUNICACIÓ DE BARCELONA, S.A</x:t>
  </x:si>
  <x:si>
    <x:t>Retransmisión con Unidad Móvil de TV de la Cabalgata de Reyes 2026 para Betevé. Lote 1 Contratación del servicio completo de unidad móvil (UM) de realización de TV en formato de vídeo HD-SDI y formato de audio digital, para emitir en directo la llegada de los Reyes al Puerto de Barcelona (Portal de la Paz) por el canal Betevé. Lote 2 Contratación del servicio de unidad móvil (UM) de realización de TV en formato de vídeo HD-SDI y formato de audio digital, para emitir en directo el cortejo de la Cabalgata de Reyes desde el Plan de Palau de Barcelona, ​​por el canal Betevé.</x:t>
  </x:si>
  <x:si>
    <x:t>2025166532</x:t>
  </x:si>
  <x:si>
    <x:t>AYUNTAMIENTO DE VILADECANS (BARCELONA)</x:t>
  </x:si>
  <x:si>
    <x:t>Servicio de gestión y organización general de la comida de la gente mayor de Viladecans para los años 2026 y 2027.</x:t>
  </x:si>
  <x:si>
    <x:t>2025166553</x:t>
  </x:si>
  <x:si>
    <x:t>AYUNTAMIENTO DE LLAGOSTERA (GIRONA)</x:t>
  </x:si>
  <x:si>
    <x:t>Servicio de comunicación y difusión institucional, entorno digital, transparencia, buen gobierno y participación ciudadana del municipio de Llagostera. </x:t>
  </x:si>
  <x:si>
    <x:t>2025166569</x:t>
  </x:si>
  <x:si>
    <x:t>DIPUTACIÓN DE TARRAGONA</x:t>
  </x:si>
  <x:si>
    <x:t>Servicio para el seguimiento de noticias en los medios de comunicación y las redes sociales y hemeroteca digital de la Diputación de Tarragona.</x:t>
  </x:si>
  <x:si>
    <x:t>2025166574</x:t>
  </x:si>
  <x:si>
    <x:t>GENERALITAT DE CATALUNYA. DEPARTAMENTO DE UNIÓN EUROPEA Y ACCIÓN EXTERIOR</x:t>
  </x:si>
  <x:si>
    <x:t>Servicio de catering de los actos protocolarios (actos de altos cargos hacia terceras personas ajenas al Departamento) y/o institucionales, organizados por el Departamento de Unión Europea y Acción Exterior o actos o jornadas también organizados por el Departamento que tengan una duración igual o superior a 5 horas. Lote 1 Servicios de coffee break, desayunos y copa de bienvenida Este lote incluye servicios de menor complejidad técnica y logística, tales como: • Suministro de bebidas calientes y frías • Pequeños aperitivos • Atención puntual en actos de corta duración. Lote 2 Servicios de catering con elaboración más cuidadosa (recepciones, lunchs, tentempiés) Requiere una mayor capacidad técnica, organizativa y de producción, implica: *Elaboración gastronómica más compleja. *Presentación cuidada y servicio actos institucionales. ...</x:t>
  </x:si>
  <x:si>
    <x:t>2025166578</x:t>
  </x:si>
  <x:si>
    <x:t>AMB INFORMACIÓ I SERVEIS, SA</x:t>
  </x:si>
  <x:si>
    <x:t>Servicio de apoyo a la gestión y la dinamización de las redes sociales de AMB Informació i Serveis, S.A (CPS 15/2025). Gestión y dinamización de las redes sociales de CON Movilidad desde donde se dará difusión a la actividad de AMB Informació i Serveis, S.A. (en adelante, CON Información). En este sentido, se impulsará la producción y difusión de contenidos de valor en las redes sociales, promocionando el uso del transporte público y la movilidad del área metropolitana de Barcelona, ​​como parte de su modelo de comunicación.</x:t>
  </x:si>
  <x:si>
    <x:t>2025166596</x:t>
  </x:si>
  <x:si>
    <x:t>DIPUTACIÓN DE GIRONA</x:t>
  </x:si>
  <x:si>
    <x:t>2025/4174 Servicio de dirección artística, producción técnica y dinamización del Festival internacional de teatro amateur de Girona.</x:t>
  </x:si>
  <x:si>
    <x:t>2025166606</x:t>
  </x:si>
  <x:si>
    <x:t>PROMOTORA D'EXPORTACIONS CATALANES, SA (PRODECA)</x:t>
  </x:si>
  <x:si>
    <x:t>Servicio de diseño, montaje, desmontaje, mantenimiento y supervisión de los stands que conforman los pabellones de Cataluña en la feria Seafood Expo Global (Lote 1) y Salón Gourmets (Lote 2), y del servicio de concejalía, producción y programación de cocina en directo del espacio Catalonia HUB de la feria Seafood Expo Global</x:t>
  </x:si>
  <x:si>
    <x:t>2025166656</x:t>
  </x:si>
  <x:si>
    <x:t>Gestión de los canales y perfiles en las plataformas externas de video y audio</x:t>
  </x:si>
  <x:si>
    <x:t>2025166664</x:t>
  </x:si>
  <x:si>
    <x:t>CONSORCIO INSTITUTO CATALÁN DE EVALUACIÓN DE POLÍTICAS PÚBLICAS</x:t>
  </x:si>
  <x:si>
    <x:t>Servicio de soporte externo para la producción y realización de los productos audiovisuales y animados de Ivalua</x:t>
  </x:si>
  <x:si>
    <x:t>2025166679</x:t>
  </x:si>
  <x:si>
    <x:t>UNIVERSITAT DE BARCELONA</x:t>
  </x:si>
  <x:si>
    <x:t>2025/122 Servicio de agencia de marketing digital de diversos programas y servicios</x:t>
  </x:si>
  <x:si>
    <x:t>2025166689</x:t>
  </x:si>
  <x:si>
    <x:t>ENTITAT PÚBLICA EMPRESARIAL RÀDIO ARENYS</x:t>
  </x:si>
  <x:si>
    <x:t>Contratación del servicio de la gestión de la publicidad</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</x:si>
</x:sst>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HYPERLINK("https://www.infonalia.es/modificaciones1125/2025152691.pdf","www.infonalia.es/modificaciones1125/2025152691.pdf")</x:f>
        <x:v>www.infonalia.es/modificaciones1125/2025152691.pdf</x:v>
      </x:c>
      <x:c r="F2" s="5" t="str">
        <x:f xml:space="preserve">HYPERLINK("https://www.infonalia.es/licitaciones1025/2025152691.pdf","www.infonalia.es/licitaciones1025/2025152691.pdf")</x:f>
        <x:v>www.infonalia.es/licitaciones1025/2025152691.pdf</x:v>
      </x:c>
    </x:row>
    <x:row r="3">
      <x:c r="A3" s="3" t="s">
        <x:v>10</x:v>
      </x:c>
      <x:c r="B3" s="4" t="s">
        <x:v>11</x:v>
      </x:c>
      <x:c r="C3" s="4" t="s">
        <x:v>12</x:v>
      </x:c>
      <x:c r="D3" s="4" t="s">
        <x:v>13</x:v>
      </x:c>
      <x:c r="E3" s="5" t="str">
        <x:f xml:space="preserve">HYPERLINK("https://www.infonalia.es/modificaciones1125/2025155305.pdf","www.infonalia.es/modificaciones1125/2025155305.pdf")</x:f>
        <x:v>www.infonalia.es/modificaciones1125/2025155305.pdf</x:v>
      </x:c>
      <x:c r="F3" s="5" t="str">
        <x:f xml:space="preserve">HYPERLINK("https://www.infonalia.es/licitaciones1125/2025155305.pdf","www.infonalia.es/licitaciones1125/2025155305.pdf")</x:f>
        <x:v>www.infonalia.es/licitaciones1125/2025155305.pdf</x:v>
      </x:c>
    </x:row>
    <x:row r="4">
      <x:c r="A4" s="3" t="s">
        <x:v>14</x:v>
      </x:c>
      <x:c r="B4" s="4" t="s">
        <x:v>11</x:v>
      </x:c>
      <x:c r="C4" s="4" t="s">
        <x:v>15</x:v>
      </x:c>
      <x:c r="D4" s="4" t="s">
        <x:v>16</x:v>
      </x:c>
      <x:c r="E4" s="5" t="str">
        <x:f xml:space="preserve">HYPERLINK("https://www.infonalia.es/modificaciones1125/2025155327.pdf","www.infonalia.es/modificaciones1125/2025155327.pdf")</x:f>
        <x:v>www.infonalia.es/modificaciones1125/2025155327.pdf</x:v>
      </x:c>
      <x:c r="F4" s="5" t="str">
        <x:f xml:space="preserve">HYPERLINK("https://www.infonalia.es/licitaciones1125/2025155327.pdf","www.infonalia.es/licitaciones1125/2025155327.pdf")</x:f>
        <x:v>www.infonalia.es/licitaciones1125/2025155327.pdf</x:v>
      </x:c>
    </x:row>
    <x:row r="5">
      <x:c r="A5" s="3" t="s">
        <x:v>17</x:v>
      </x:c>
      <x:c r="B5" s="4" t="s">
        <x:v>11</x:v>
      </x:c>
      <x:c r="C5" s="4" t="s">
        <x:v>18</x:v>
      </x:c>
      <x:c r="D5" s="4" t="s">
        <x:v>19</x:v>
      </x:c>
      <x:c r="E5" s="5" t="str">
        <x:f xml:space="preserve">HYPERLINK("https://www.infonalia.es/modificaciones1125/2025159139.pdf","www.infonalia.es/modificaciones1125/2025159139.pdf")</x:f>
        <x:v>www.infonalia.es/modificaciones1125/2025159139.pdf</x:v>
      </x:c>
      <x:c r="F5" s="5" t="str">
        <x:f xml:space="preserve">HYPERLINK("https://www.infonalia.es/licitaciones1125/2025159139.pdf","www.infonalia.es/licitaciones1125/2025159139.pdf")</x:f>
        <x:v>www.infonalia.es/licitaciones1125/2025159139.pdf</x:v>
      </x:c>
    </x:row>
    <x:row r="6">
      <x:c r="A6" s="3" t="s">
        <x:v>20</x:v>
      </x:c>
      <x:c r="B6" s="4" t="s">
        <x:v>11</x:v>
      </x:c>
      <x:c r="C6" s="4" t="s">
        <x:v>21</x:v>
      </x:c>
      <x:c r="D6" s="4" t="s">
        <x:v>22</x:v>
      </x:c>
      <x:c r="E6" s="5" t="str">
        <x:f xml:space="preserve">HYPERLINK("https://www.infonalia.es/modificaciones1125/2025160481.pdf","www.infonalia.es/modificaciones1125/2025160481.pdf")</x:f>
        <x:v>www.infonalia.es/modificaciones1125/2025160481.pdf</x:v>
      </x:c>
      <x:c r="F6" s="5" t="str">
        <x:f xml:space="preserve">HYPERLINK("https://www.infonalia.es/licitaciones1125/2025160481.pdf","www.infonalia.es/licitaciones1125/2025160481.pdf")</x:f>
        <x:v>www.infonalia.es/licitaciones1125/2025160481.pdf</x:v>
      </x:c>
    </x:row>
    <x:row r="7">
      <x:c r="A7" s="3" t="s">
        <x:v>23</x:v>
      </x:c>
      <x:c r="B7" s="4" t="s">
        <x:v>11</x:v>
      </x:c>
      <x:c r="C7" s="4" t="s">
        <x:v>24</x:v>
      </x:c>
      <x:c r="D7" s="4" t="s">
        <x:v>25</x:v>
      </x:c>
      <x:c r="E7" s="5" t="str">
        <x:f xml:space="preserve">HYPERLINK("https://www.infonalia.es/modificaciones1125/2025162619.pdf","www.infonalia.es/modificaciones1125/2025162619.pdf")</x:f>
        <x:v>www.infonalia.es/modificaciones1125/2025162619.pdf</x:v>
      </x:c>
      <x:c r="F7" s="5" t="str">
        <x:f xml:space="preserve">HYPERLINK("https://www.infonalia.es/licitaciones1125/2025162619.pdf","www.infonalia.es/licitaciones1125/2025162619.pdf")</x:f>
        <x:v>www.infonalia.es/licitaciones1125/2025162619.pdf</x:v>
      </x:c>
    </x:row>
    <x:row r="8">
      <x:c r="A8" s="3" t="s">
        <x:v>26</x:v>
      </x:c>
      <x:c r="B8" s="4" t="s">
        <x:v>11</x:v>
      </x:c>
      <x:c r="C8" s="4" t="s">
        <x:v>27</x:v>
      </x:c>
      <x:c r="D8" s="4" t="s">
        <x:v>28</x:v>
      </x:c>
      <x:c r="E8" s="5" t="str">
        <x:f xml:space="preserve">HYPERLINK("https://www.infonalia.es/modificaciones1125/2025162796.pdf","www.infonalia.es/modificaciones1125/2025162796.pdf")</x:f>
        <x:v>www.infonalia.es/modificaciones1125/2025162796.pdf</x:v>
      </x:c>
      <x:c r="F8" s="5" t="str">
        <x:f xml:space="preserve">HYPERLINK("https://www.infonalia.es/licitaciones1125/2025162796.pdf","www.infonalia.es/licitaciones1125/2025162796.pdf")</x:f>
        <x:v>www.infonalia.es/licitaciones1125/2025162796.pdf</x:v>
      </x:c>
    </x:row>
    <x:row r="9">
      <x:c r="A9" s="3" t="s">
        <x:v>29</x:v>
      </x:c>
      <x:c r="B9" s="4" t="s">
        <x:v>11</x:v>
      </x:c>
      <x:c r="C9" s="4" t="s">
        <x:v>30</x:v>
      </x:c>
      <x:c r="D9" s="4" t="s">
        <x:v>31</x:v>
      </x:c>
      <x:c r="E9" s="5" t="str">
        <x:f xml:space="preserve">HYPERLINK("https://www.infonalia.es/modificaciones1125/2025166480.pdf","www.infonalia.es/modificaciones1125/2025166480.pdf")</x:f>
        <x:v>www.infonalia.es/modificaciones1125/2025166480.pdf</x:v>
      </x:c>
      <x:c r="F9" s="5" t="str">
        <x:f xml:space="preserve">HYPERLINK("https://www.infonalia.es/licitaciones1125/2025166480.pdf","www.infonalia.es/licitaciones1125/2025166480.pdf")</x:f>
        <x:v>www.infonalia.es/licitaciones1125/2025166480.pdf</x:v>
      </x:c>
    </x:row>
    <x:row r="10">
      <x:c r="A10" s="3" t="s">
        <x:v>32</x:v>
      </x:c>
      <x:c r="B10" s="4" t="s">
        <x:v>11</x:v>
      </x:c>
      <x:c r="C10" s="4" t="s">
        <x:v>33</x:v>
      </x:c>
      <x:c r="D10" s="4" t="s">
        <x:v>34</x:v>
      </x:c>
      <x:c r="E10" s="5" t="str">
        <x:f xml:space="preserve">HYPERLINK("https://www.infonalia.es/modificaciones1125/2025166495.pdf","www.infonalia.es/modificaciones1125/2025166495.pdf")</x:f>
        <x:v>www.infonalia.es/modificaciones1125/2025166495.pdf</x:v>
      </x:c>
      <x:c r="F10" s="5" t="str">
        <x:f xml:space="preserve">HYPERLINK("https://www.infonalia.es/licitaciones1125/2025166495.pdf","www.infonalia.es/licitaciones1125/2025166495.pdf")</x:f>
        <x:v>www.infonalia.es/licitaciones1125/2025166495.pdf</x:v>
      </x:c>
    </x:row>
    <x:row r="11">
      <x:c r="A11" s="3" t="s">
        <x:v>35</x:v>
      </x:c>
      <x:c r="B11" s="4" t="s">
        <x:v>11</x:v>
      </x:c>
      <x:c r="C11" s="4" t="s">
        <x:v>36</x:v>
      </x:c>
      <x:c r="D11" s="4" t="s">
        <x:v>37</x:v>
      </x:c>
      <x:c r="E11" s="5" t="str">
        <x:f xml:space="preserve">HYPERLINK("https://www.infonalia.es/modificaciones1125/2025166508.pdf","www.infonalia.es/modificaciones1125/2025166508.pdf")</x:f>
        <x:v>www.infonalia.es/modificaciones1125/2025166508.pdf</x:v>
      </x:c>
      <x:c r="F11" s="5" t="str">
        <x:f xml:space="preserve">HYPERLINK("https://www.infonalia.es/licitaciones1125/2025166508.pdf","www.infonalia.es/licitaciones1125/2025166508.pdf")</x:f>
        <x:v>www.infonalia.es/licitaciones1125/2025166508.pdf</x:v>
      </x:c>
    </x:row>
    <x:row r="12">
      <x:c r="A12" s="3" t="s">
        <x:v>38</x:v>
      </x:c>
      <x:c r="B12" s="4" t="s">
        <x:v>11</x:v>
      </x:c>
      <x:c r="C12" s="4" t="s">
        <x:v>39</x:v>
      </x:c>
      <x:c r="D12" s="4" t="s">
        <x:v>40</x:v>
      </x:c>
      <x:c r="E12" s="5" t="str">
        <x:f xml:space="preserve">HYPERLINK("https://www.infonalia.es/modificaciones1125/2025166528.pdf","www.infonalia.es/modificaciones1125/2025166528.pdf")</x:f>
        <x:v>www.infonalia.es/modificaciones1125/2025166528.pdf</x:v>
      </x:c>
      <x:c r="F12" s="5" t="str">
        <x:f xml:space="preserve">HYPERLINK("https://www.infonalia.es/licitaciones1125/2025166528.pdf","www.infonalia.es/licitaciones1125/2025166528.pdf")</x:f>
        <x:v>www.infonalia.es/licitaciones1125/2025166528.pdf</x:v>
      </x:c>
    </x:row>
    <x:row r="13">
      <x:c r="A13" s="3" t="s">
        <x:v>41</x:v>
      </x:c>
      <x:c r="B13" s="4" t="s">
        <x:v>11</x:v>
      </x:c>
      <x:c r="C13" s="4" t="s">
        <x:v>42</x:v>
      </x:c>
      <x:c r="D13" s="4" t="s">
        <x:v>43</x:v>
      </x:c>
      <x:c r="E13" s="5" t="str">
        <x:f xml:space="preserve">HYPERLINK("https://www.infonalia.es/modificaciones1125/2025166532.pdf","www.infonalia.es/modificaciones1125/2025166532.pdf")</x:f>
        <x:v>www.infonalia.es/modificaciones1125/2025166532.pdf</x:v>
      </x:c>
      <x:c r="F13" s="5" t="str">
        <x:f xml:space="preserve">HYPERLINK("https://www.infonalia.es/licitaciones1125/2025166532.pdf","www.infonalia.es/licitaciones1125/2025166532.pdf")</x:f>
        <x:v>www.infonalia.es/licitaciones1125/2025166532.pdf</x:v>
      </x:c>
    </x:row>
    <x:row r="14">
      <x:c r="A14" s="3" t="s">
        <x:v>44</x:v>
      </x:c>
      <x:c r="B14" s="4" t="s">
        <x:v>11</x:v>
      </x:c>
      <x:c r="C14" s="4" t="s">
        <x:v>45</x:v>
      </x:c>
      <x:c r="D14" s="4" t="s">
        <x:v>46</x:v>
      </x:c>
      <x:c r="E14" s="5" t="str">
        <x:f xml:space="preserve">HYPERLINK("https://www.infonalia.es/modificaciones1125/2025166553.pdf","www.infonalia.es/modificaciones1125/2025166553.pdf")</x:f>
        <x:v>www.infonalia.es/modificaciones1125/2025166553.pdf</x:v>
      </x:c>
      <x:c r="F14" s="5" t="str">
        <x:f xml:space="preserve">HYPERLINK("https://www.infonalia.es/licitaciones1125/2025166553.pdf","www.infonalia.es/licitaciones1125/2025166553.pdf")</x:f>
        <x:v>www.infonalia.es/licitaciones1125/2025166553.pdf</x:v>
      </x:c>
    </x:row>
    <x:row r="15">
      <x:c r="A15" s="3" t="s">
        <x:v>47</x:v>
      </x:c>
      <x:c r="B15" s="4" t="s">
        <x:v>11</x:v>
      </x:c>
      <x:c r="C15" s="4" t="s">
        <x:v>48</x:v>
      </x:c>
      <x:c r="D15" s="4" t="s">
        <x:v>49</x:v>
      </x:c>
      <x:c r="E15" s="5" t="str">
        <x:f xml:space="preserve">HYPERLINK("https://www.infonalia.es/modificaciones1125/2025166569.pdf","www.infonalia.es/modificaciones1125/2025166569.pdf")</x:f>
        <x:v>www.infonalia.es/modificaciones1125/2025166569.pdf</x:v>
      </x:c>
      <x:c r="F15" s="5" t="str">
        <x:f xml:space="preserve">HYPERLINK("https://www.infonalia.es/licitaciones1125/2025166569.pdf","www.infonalia.es/licitaciones1125/2025166569.pdf")</x:f>
        <x:v>www.infonalia.es/licitaciones1125/2025166569.pdf</x:v>
      </x:c>
    </x:row>
    <x:row r="16">
      <x:c r="A16" s="3" t="s">
        <x:v>50</x:v>
      </x:c>
      <x:c r="B16" s="4" t="s">
        <x:v>11</x:v>
      </x:c>
      <x:c r="C16" s="4" t="s">
        <x:v>51</x:v>
      </x:c>
      <x:c r="D16" s="4" t="s">
        <x:v>52</x:v>
      </x:c>
      <x:c r="E16" s="5" t="str">
        <x:f xml:space="preserve">HYPERLINK("https://www.infonalia.es/modificaciones1125/2025166574.pdf","www.infonalia.es/modificaciones1125/2025166574.pdf")</x:f>
        <x:v>www.infonalia.es/modificaciones1125/2025166574.pdf</x:v>
      </x:c>
      <x:c r="F16" s="5" t="str">
        <x:f xml:space="preserve">HYPERLINK("https://www.infonalia.es/licitaciones1125/2025166574.pdf","www.infonalia.es/licitaciones1125/2025166574.pdf")</x:f>
        <x:v>www.infonalia.es/licitaciones1125/2025166574.pdf</x:v>
      </x:c>
    </x:row>
    <x:row r="17">
      <x:c r="A17" s="3" t="s">
        <x:v>53</x:v>
      </x:c>
      <x:c r="B17" s="4" t="s">
        <x:v>11</x:v>
      </x:c>
      <x:c r="C17" s="4" t="s">
        <x:v>54</x:v>
      </x:c>
      <x:c r="D17" s="4" t="s">
        <x:v>55</x:v>
      </x:c>
      <x:c r="E17" s="5" t="str">
        <x:f xml:space="preserve">HYPERLINK("https://www.infonalia.es/modificaciones1125/2025166578.pdf","www.infonalia.es/modificaciones1125/2025166578.pdf")</x:f>
        <x:v>www.infonalia.es/modificaciones1125/2025166578.pdf</x:v>
      </x:c>
      <x:c r="F17" s="5" t="str">
        <x:f xml:space="preserve">HYPERLINK("https://www.infonalia.es/licitaciones1125/2025166578.pdf","www.infonalia.es/licitaciones1125/2025166578.pdf")</x:f>
        <x:v>www.infonalia.es/licitaciones1125/2025166578.pdf</x:v>
      </x:c>
    </x:row>
    <x:row r="18">
      <x:c r="A18" s="3" t="s">
        <x:v>56</x:v>
      </x:c>
      <x:c r="B18" s="4" t="s">
        <x:v>11</x:v>
      </x:c>
      <x:c r="C18" s="4" t="s">
        <x:v>57</x:v>
      </x:c>
      <x:c r="D18" s="4" t="s">
        <x:v>58</x:v>
      </x:c>
      <x:c r="E18" s="5" t="str">
        <x:f xml:space="preserve">HYPERLINK("https://www.infonalia.es/modificaciones1125/2025166596.pdf","www.infonalia.es/modificaciones1125/2025166596.pdf")</x:f>
        <x:v>www.infonalia.es/modificaciones1125/2025166596.pdf</x:v>
      </x:c>
      <x:c r="F18" s="5" t="str">
        <x:f xml:space="preserve">HYPERLINK("https://www.infonalia.es/licitaciones1125/2025166596.pdf","www.infonalia.es/licitaciones1125/2025166596.pdf")</x:f>
        <x:v>www.infonalia.es/licitaciones1125/2025166596.pdf</x:v>
      </x:c>
    </x:row>
    <x:row r="19">
      <x:c r="A19" s="3" t="s">
        <x:v>59</x:v>
      </x:c>
      <x:c r="B19" s="4" t="s">
        <x:v>11</x:v>
      </x:c>
      <x:c r="C19" s="4" t="s">
        <x:v>60</x:v>
      </x:c>
      <x:c r="D19" s="4" t="s">
        <x:v>61</x:v>
      </x:c>
      <x:c r="E19" s="5" t="str">
        <x:f xml:space="preserve">HYPERLINK("https://www.infonalia.es/modificaciones1125/2025166606.pdf","www.infonalia.es/modificaciones1125/2025166606.pdf")</x:f>
        <x:v>www.infonalia.es/modificaciones1125/2025166606.pdf</x:v>
      </x:c>
      <x:c r="F19" s="5" t="str">
        <x:f xml:space="preserve">HYPERLINK("https://www.infonalia.es/licitaciones1125/2025166606.pdf","www.infonalia.es/licitaciones1125/2025166606.pdf")</x:f>
        <x:v>www.infonalia.es/licitaciones1125/2025166606.pdf</x:v>
      </x:c>
    </x:row>
    <x:row r="20">
      <x:c r="A20" s="3" t="s">
        <x:v>62</x:v>
      </x:c>
      <x:c r="B20" s="4" t="s">
        <x:v>11</x:v>
      </x:c>
      <x:c r="C20" s="4" t="s">
        <x:v>27</x:v>
      </x:c>
      <x:c r="D20" s="4" t="s">
        <x:v>63</x:v>
      </x:c>
      <x:c r="E20" s="5" t="str">
        <x:f xml:space="preserve">HYPERLINK("https://www.infonalia.es/modificaciones1125/2025166656.pdf","www.infonalia.es/modificaciones1125/2025166656.pdf")</x:f>
        <x:v>www.infonalia.es/modificaciones1125/2025166656.pdf</x:v>
      </x:c>
      <x:c r="F20" s="5" t="str">
        <x:f xml:space="preserve">HYPERLINK("https://www.infonalia.es/licitaciones1125/2025166656.pdf","www.infonalia.es/licitaciones1125/2025166656.pdf")</x:f>
        <x:v>www.infonalia.es/licitaciones1125/2025166656.pdf</x:v>
      </x:c>
    </x:row>
    <x:row r="21">
      <x:c r="A21" s="3" t="s">
        <x:v>64</x:v>
      </x:c>
      <x:c r="B21" s="4" t="s">
        <x:v>11</x:v>
      </x:c>
      <x:c r="C21" s="4" t="s">
        <x:v>65</x:v>
      </x:c>
      <x:c r="D21" s="4" t="s">
        <x:v>66</x:v>
      </x:c>
      <x:c r="E21" s="5" t="str">
        <x:f xml:space="preserve">HYPERLINK("https://www.infonalia.es/modificaciones1125/2025166664.pdf","www.infonalia.es/modificaciones1125/2025166664.pdf")</x:f>
        <x:v>www.infonalia.es/modificaciones1125/2025166664.pdf</x:v>
      </x:c>
      <x:c r="F21" s="5" t="str">
        <x:f xml:space="preserve">HYPERLINK("https://www.infonalia.es/licitaciones1125/2025166664.pdf","www.infonalia.es/licitaciones1125/2025166664.pdf")</x:f>
        <x:v>www.infonalia.es/licitaciones1125/2025166664.pdf</x:v>
      </x:c>
    </x:row>
    <x:row r="22">
      <x:c r="A22" s="3" t="s">
        <x:v>67</x:v>
      </x:c>
      <x:c r="B22" s="4" t="s">
        <x:v>11</x:v>
      </x:c>
      <x:c r="C22" s="4" t="s">
        <x:v>68</x:v>
      </x:c>
      <x:c r="D22" s="4" t="s">
        <x:v>69</x:v>
      </x:c>
      <x:c r="E22" s="5" t="str">
        <x:f xml:space="preserve">HYPERLINK("https://www.infonalia.es/modificaciones1125/2025166679.pdf","www.infonalia.es/modificaciones1125/2025166679.pdf")</x:f>
        <x:v>www.infonalia.es/modificaciones1125/2025166679.pdf</x:v>
      </x:c>
      <x:c r="F22" s="5" t="str">
        <x:f xml:space="preserve">HYPERLINK("https://www.infonalia.es/licitaciones1125/2025166679.pdf","www.infonalia.es/licitaciones1125/2025166679.pdf")</x:f>
        <x:v>www.infonalia.es/licitaciones1125/2025166679.pdf</x:v>
      </x:c>
    </x:row>
    <x:row r="23">
      <x:c r="A23" s="3" t="s">
        <x:v>70</x:v>
      </x:c>
      <x:c r="B23" s="4" t="s">
        <x:v>11</x:v>
      </x:c>
      <x:c r="C23" s="4" t="s">
        <x:v>71</x:v>
      </x:c>
      <x:c r="D23" s="4" t="s">
        <x:v>72</x:v>
      </x:c>
      <x:c r="E23" s="5" t="str">
        <x:f xml:space="preserve">HYPERLINK("https://www.infonalia.es/modificaciones1125/2025166689.pdf","www.infonalia.es/modificaciones1125/2025166689.pdf")</x:f>
        <x:v>www.infonalia.es/modificaciones1125/2025166689.pdf</x:v>
      </x:c>
      <x:c r="F23" s="5" t="str">
        <x:f xml:space="preserve">HYPERLINK("https://www.infonalia.es/licitaciones1125/2025166689.pdf","www.infonalia.es/licitaciones1125/2025166689.pdf")</x:f>
        <x:v>www.infonalia.es/licitaciones1125/2025166689.pdf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