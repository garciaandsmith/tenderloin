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<x:sst xmlns:x="http://schemas.openxmlformats.org/spreadsheetml/2006/main" count="6" uniqueCount="6">
  <x:si>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</x:si>
  <x:si>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</x:si>
  <x:si>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</x:si>
  <x:si>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</x:si>
  <x:si>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</x:si>
  <x:si>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</x:si>
  <x:si>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2025138644</x:t>
  </x:si>
  <x:si>
    <x:t>Aclaración / Ampliación de pliegos</x:t>
  </x:si>
  <x:si>
    <x:t>AYUNTAMIENTO DE L'HOSPITALET DE LLOBREGAT (BARCELONA)</x:t>
  </x:si>
  <x:si>
    <x:t>Servicio de producción, colocación, control de seguimiento y posterior retirada de los diferentes elementos comunicacionales y publicitarios del Ayuntamiento de Hospitalet de Llobregat.</x:t>
  </x:si>
  <x:si>
    <x:t>2025146209</x:t>
  </x:si>
  <x:si>
    <x:t>Corrección de errores</x:t>
  </x:si>
  <x:si>
    <x:t>EMPRESA ESTATAL MERCADOS CENTRALES DE ABASTECIMIENTO SA (MERCASA)</x:t>
  </x:si>
  <x:si>
    <x:t>Servicios de una agencia de comunicación integral que dé soporte estratégico y de consultoría, para la gestión e implementación de las actividades de promoción y campañas destinadas al centro comercial de arrecife y las galerías comerciales de: la Asunción, la Plaza, la Máquina, los Cipreses y Opción</x:t>
  </x:si>
  <x:si>
    <x:t>2025148711</x:t>
  </x:si>
  <x:si>
    <x:t>FUNDACIÓN PARA LA UNIVERSITAT OBERTA DE CATALUNYA</x:t>
  </x:si>
  <x:si>
    <x:t>Servicio de Realización, Emisión, Grabación y Edición de Webinars</x:t>
  </x:si>
  <x:si>
    <x:t>2025154592</x:t>
  </x:si>
  <x:si>
    <x:t>GENERALITAT DE CATALUNYA. CENTRO DE INICIATIVAS PARA LA REINSERCIÓN (CIRE)</x:t>
  </x:si>
  <x:si>
    <x:t>Prestación de diferentes servicios de trabajos de artes gráficas y el suministro de los materiales necesarios con destino a los talleres productivos de impresión de los centros penitenciarios de Catalunya. Lote 1 Servicio en acabados imprenta e impresiones digitales. Lote 2 Servicio de recogida de residuos talleres imprenta. Lote 3 Servicio afilamiento cuchillas imprenta. Lote 4 Servicio y suministro de mat. publicidad.</x:t>
  </x:si>
  <x:si>
    <x:t>2025154837</x:t>
  </x:si>
  <x:si>
    <x:t>MADRID DESTINO CULTURA TURISMO Y NEGOCIO, S.A</x:t>
  </x:si>
  <x:si>
    <x:t>Servicio de construcción museográfica, montaje y desmontaje de obra de arte (Lote 1) y Suministro en régimen de alquiler, instalación, mantenimiento y desmontaje de material audiovisual (Lote 2) para la exposición Ana Juan. Wunderkammer que se exhibirá en CentroCentro</x:t>
  </x:si>
  <x:si>
    <x:t>2025155305</x:t>
  </x:si>
  <x:si>
    <x:t>AYUNTAMIENTO DE LLEIDA</x:t>
  </x:si>
  <x:si>
    <x:t>Contratación de un servicio de fotografía y vídeo profesional por el Ayuntamiento de Lleida y establecimiento de un mecanismo de trabajo profesional audiovisual en relación con los actos oficiales y actividades municipales que dependen de la Sección de Comunicación. Organizar un sistema de trabajo para la realización, retoque y archivo de las fotografías y vídeos solicitadas por la Sección de Comunicación.</x:t>
  </x:si>
  <x:si>
    <x:t>2025155311</x:t>
  </x:si>
  <x:si>
    <x:t>GENERALITAT DE CATALUNYA. DEPARTAMENTO DE EMPRESA Y TRABAJO</x:t>
  </x:si>
  <x:si>
    <x:t>2.6.11 Organización y ejecución de la competición de retos Challenge iFest Competition.</x:t>
  </x:si>
  <x:si>
    <x:t>2025155312</x:t>
  </x:si>
  <x:si>
    <x:t>AYUNTAMIENTO DE MATADEPERA (BARCELONA)</x:t>
  </x:si>
  <x:si>
    <x:t>El objeto de este contrato es el servicio integral para la web de Matadepera Radio que consiste en el diseño de la página web, streaming, grabación, podcast, responsive, con aplicación en Smart Phone para Apple y Android, distribución y alojamiento y backups de los contenidos digitales de la emisora.</x:t>
  </x:si>
  <x:si>
    <x:t>2025155322</x:t>
  </x:si>
  <x:si>
    <x:t>AYUNTAMIENTO DE BARCELONA</x:t>
  </x:si>
  <x:si>
    <x:t>Elaboración de las actas de los órganos de participación. Con medidas de contratación sostenible.</x:t>
  </x:si>
  <x:si>
    <x:t>2025155327</x:t>
  </x:si>
  <x:si>
    <x:t>BARCELONA DE SERVEIS MUNICIPALS SA</x:t>
  </x:si>
  <x:si>
    <x:t>2025MK0170AC - Comercialización en exclusiva de la publicidad en las bicicletas y estaciones del servicio de Bicing.</x:t>
  </x:si>
  <x:si>
    <x:t>2025155332</x:t>
  </x:si>
  <x:si>
    <x:t>CONSORCI DE LES BIBLIOTEQUES DE BARCELONA</x:t>
  </x:si>
  <x:si>
    <x:t>Servicios de creatividad de proyectos y acciones de comunicación, de maquetación de nuevos diseños, así como de producción de adaptaciones visuales de campañas y de acciones de comunicación de Bibliotecas de Barcelona.</x:t>
  </x:si>
  <x:si>
    <x:t>2025155913</x:t>
  </x:si>
  <x:si>
    <x:t>JUNTA DE GOBIERNO DEL AYUNTAMIENTO DE MÓSTOLES (MADRID)</x:t>
  </x:si>
  <x:si>
    <x:t>Servicios de inserción de publicidad en medios de comunicación y otros soportes mediante agencia de medios del Ayuntamiento de Móstoles</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</x:si>
</x:sst>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HYPERLINK("https://www.infonalia.es/modificaciones1125/2025138644.pdf","www.infonalia.es/modificaciones1125/2025138644.pdf")</x:f>
        <x:v>www.infonalia.es/modificaciones1125/2025138644.pdf</x:v>
      </x:c>
      <x:c r="F2" s="5" t="str">
        <x:f xml:space="preserve">HYPERLINK("https://www.infonalia.es/licitaciones1025/2025138644.pdf","www.infonalia.es/licitaciones1025/2025138644.pdf")</x:f>
        <x:v>www.infonalia.es/licitaciones1025/2025138644.pdf</x:v>
      </x:c>
    </x:row>
    <x:row r="3">
      <x:c r="A3" s="3" t="s">
        <x:v>10</x:v>
      </x:c>
      <x:c r="B3" s="4" t="s">
        <x:v>11</x:v>
      </x:c>
      <x:c r="C3" s="4" t="s">
        <x:v>12</x:v>
      </x:c>
      <x:c r="D3" s="4" t="s">
        <x:v>13</x:v>
      </x:c>
      <x:c r="E3" s="5" t="str">
        <x:f xml:space="preserve">HYPERLINK("https://www.infonalia.es/modificaciones1125/2025146209.pdf","www.infonalia.es/modificaciones1125/2025146209.pdf")</x:f>
        <x:v>www.infonalia.es/modificaciones1125/2025146209.pdf</x:v>
      </x:c>
      <x:c r="F3" s="5" t="str">
        <x:f xml:space="preserve">HYPERLINK("https://www.infonalia.es/licitaciones1025/2025146209.pdf","www.infonalia.es/licitaciones1025/2025146209.pdf")</x:f>
        <x:v>www.infonalia.es/licitaciones1025/2025146209.pdf</x:v>
      </x:c>
    </x:row>
    <x:row r="4">
      <x:c r="A4" s="3" t="s">
        <x:v>14</x:v>
      </x:c>
      <x:c r="B4" s="4" t="s">
        <x:v>7</x:v>
      </x:c>
      <x:c r="C4" s="4" t="s">
        <x:v>15</x:v>
      </x:c>
      <x:c r="D4" s="4" t="s">
        <x:v>16</x:v>
      </x:c>
      <x:c r="E4" s="5" t="str">
        <x:f xml:space="preserve">HYPERLINK("https://www.infonalia.es/modificaciones1125/2025148711.pdf","www.infonalia.es/modificaciones1125/2025148711.pdf")</x:f>
        <x:v>www.infonalia.es/modificaciones1125/2025148711.pdf</x:v>
      </x:c>
      <x:c r="F4" s="5" t="str">
        <x:f xml:space="preserve">HYPERLINK("https://www.infonalia.es/licitaciones1025/2025148711.pdf","www.infonalia.es/licitaciones1025/2025148711.pdf")</x:f>
        <x:v>www.infonalia.es/licitaciones1025/2025148711.pdf</x:v>
      </x:c>
    </x:row>
    <x:row r="5">
      <x:c r="A5" s="3" t="s">
        <x:v>17</x:v>
      </x:c>
      <x:c r="B5" s="4" t="s">
        <x:v>7</x:v>
      </x:c>
      <x:c r="C5" s="4" t="s">
        <x:v>18</x:v>
      </x:c>
      <x:c r="D5" s="4" t="s">
        <x:v>19</x:v>
      </x:c>
      <x:c r="E5" s="5" t="str">
        <x:f xml:space="preserve">HYPERLINK("https://www.infonalia.es/modificaciones1125/2025154592.pdf","www.infonalia.es/modificaciones1125/2025154592.pdf")</x:f>
        <x:v>www.infonalia.es/modificaciones1125/2025154592.pdf</x:v>
      </x:c>
      <x:c r="F5" s="5" t="str">
        <x:f xml:space="preserve">HYPERLINK("https://www.infonalia.es/licitaciones1125/2025154592.pdf","www.infonalia.es/licitaciones1125/2025154592.pdf")</x:f>
        <x:v>www.infonalia.es/licitaciones1125/2025154592.pdf</x:v>
      </x:c>
    </x:row>
    <x:row r="6">
      <x:c r="A6" s="3" t="s">
        <x:v>20</x:v>
      </x:c>
      <x:c r="B6" s="4" t="s">
        <x:v>11</x:v>
      </x:c>
      <x:c r="C6" s="4" t="s">
        <x:v>21</x:v>
      </x:c>
      <x:c r="D6" s="4" t="s">
        <x:v>22</x:v>
      </x:c>
      <x:c r="E6" s="5" t="str">
        <x:f xml:space="preserve">HYPERLINK("https://www.infonalia.es/modificaciones1125/2025154837.pdf","www.infonalia.es/modificaciones1125/2025154837.pdf")</x:f>
        <x:v>www.infonalia.es/modificaciones1125/2025154837.pdf</x:v>
      </x:c>
      <x:c r="F6" s="5" t="str">
        <x:f xml:space="preserve">HYPERLINK("https://www.infonalia.es/licitaciones1125/2025154837.pdf","www.infonalia.es/licitaciones1125/2025154837.pdf")</x:f>
        <x:v>www.infonalia.es/licitaciones1125/2025154837.pdf</x:v>
      </x:c>
    </x:row>
    <x:row r="7">
      <x:c r="A7" s="3" t="s">
        <x:v>23</x:v>
      </x:c>
      <x:c r="B7" s="4" t="s">
        <x:v>7</x:v>
      </x:c>
      <x:c r="C7" s="4" t="s">
        <x:v>24</x:v>
      </x:c>
      <x:c r="D7" s="4" t="s">
        <x:v>25</x:v>
      </x:c>
      <x:c r="E7" s="5" t="str">
        <x:f xml:space="preserve">HYPERLINK("https://www.infonalia.es/modificaciones1125/2025155305.pdf","www.infonalia.es/modificaciones1125/2025155305.pdf")</x:f>
        <x:v>www.infonalia.es/modificaciones1125/2025155305.pdf</x:v>
      </x:c>
      <x:c r="F7" s="5" t="str">
        <x:f xml:space="preserve">HYPERLINK("https://www.infonalia.es/licitaciones1125/2025155305.pdf","www.infonalia.es/licitaciones1125/2025155305.pdf")</x:f>
        <x:v>www.infonalia.es/licitaciones1125/2025155305.pdf</x:v>
      </x:c>
    </x:row>
    <x:row r="8">
      <x:c r="A8" s="3" t="s">
        <x:v>26</x:v>
      </x:c>
      <x:c r="B8" s="4" t="s">
        <x:v>7</x:v>
      </x:c>
      <x:c r="C8" s="4" t="s">
        <x:v>27</x:v>
      </x:c>
      <x:c r="D8" s="4" t="s">
        <x:v>28</x:v>
      </x:c>
      <x:c r="E8" s="5" t="str">
        <x:f xml:space="preserve">HYPERLINK("https://www.infonalia.es/modificaciones1125/2025155311.pdf","www.infonalia.es/modificaciones1125/2025155311.pdf")</x:f>
        <x:v>www.infonalia.es/modificaciones1125/2025155311.pdf</x:v>
      </x:c>
      <x:c r="F8" s="5" t="str">
        <x:f xml:space="preserve">HYPERLINK("https://www.infonalia.es/licitaciones1125/2025155311.pdf","www.infonalia.es/licitaciones1125/2025155311.pdf")</x:f>
        <x:v>www.infonalia.es/licitaciones1125/2025155311.pdf</x:v>
      </x:c>
    </x:row>
    <x:row r="9">
      <x:c r="A9" s="3" t="s">
        <x:v>29</x:v>
      </x:c>
      <x:c r="B9" s="4" t="s">
        <x:v>7</x:v>
      </x:c>
      <x:c r="C9" s="4" t="s">
        <x:v>30</x:v>
      </x:c>
      <x:c r="D9" s="4" t="s">
        <x:v>31</x:v>
      </x:c>
      <x:c r="E9" s="5" t="str">
        <x:f xml:space="preserve">HYPERLINK("https://www.infonalia.es/modificaciones1125/2025155312.pdf","www.infonalia.es/modificaciones1125/2025155312.pdf")</x:f>
        <x:v>www.infonalia.es/modificaciones1125/2025155312.pdf</x:v>
      </x:c>
      <x:c r="F9" s="5" t="str">
        <x:f xml:space="preserve">HYPERLINK("https://www.infonalia.es/licitaciones1125/2025155312.pdf","www.infonalia.es/licitaciones1125/2025155312.pdf")</x:f>
        <x:v>www.infonalia.es/licitaciones1125/2025155312.pdf</x:v>
      </x:c>
    </x:row>
    <x:row r="10">
      <x:c r="A10" s="3" t="s">
        <x:v>32</x:v>
      </x:c>
      <x:c r="B10" s="4" t="s">
        <x:v>7</x:v>
      </x:c>
      <x:c r="C10" s="4" t="s">
        <x:v>33</x:v>
      </x:c>
      <x:c r="D10" s="4" t="s">
        <x:v>34</x:v>
      </x:c>
      <x:c r="E10" s="5" t="str">
        <x:f xml:space="preserve">HYPERLINK("https://www.infonalia.es/modificaciones1125/2025155322.pdf","www.infonalia.es/modificaciones1125/2025155322.pdf")</x:f>
        <x:v>www.infonalia.es/modificaciones1125/2025155322.pdf</x:v>
      </x:c>
      <x:c r="F10" s="5" t="str">
        <x:f xml:space="preserve">HYPERLINK("https://www.infonalia.es/licitaciones1125/2025155322.pdf","www.infonalia.es/licitaciones1125/2025155322.pdf")</x:f>
        <x:v>www.infonalia.es/licitaciones1125/2025155322.pdf</x:v>
      </x:c>
    </x:row>
    <x:row r="11">
      <x:c r="A11" s="3" t="s">
        <x:v>35</x:v>
      </x:c>
      <x:c r="B11" s="4" t="s">
        <x:v>7</x:v>
      </x:c>
      <x:c r="C11" s="4" t="s">
        <x:v>36</x:v>
      </x:c>
      <x:c r="D11" s="4" t="s">
        <x:v>37</x:v>
      </x:c>
      <x:c r="E11" s="5" t="str">
        <x:f xml:space="preserve">HYPERLINK("https://www.infonalia.es/modificaciones1125/2025155327.pdf","www.infonalia.es/modificaciones1125/2025155327.pdf")</x:f>
        <x:v>www.infonalia.es/modificaciones1125/2025155327.pdf</x:v>
      </x:c>
      <x:c r="F11" s="5" t="str">
        <x:f xml:space="preserve">HYPERLINK("https://www.infonalia.es/licitaciones1125/2025155327.pdf","www.infonalia.es/licitaciones1125/2025155327.pdf")</x:f>
        <x:v>www.infonalia.es/licitaciones1125/2025155327.pdf</x:v>
      </x:c>
    </x:row>
    <x:row r="12">
      <x:c r="A12" s="3" t="s">
        <x:v>38</x:v>
      </x:c>
      <x:c r="B12" s="4" t="s">
        <x:v>7</x:v>
      </x:c>
      <x:c r="C12" s="4" t="s">
        <x:v>39</x:v>
      </x:c>
      <x:c r="D12" s="4" t="s">
        <x:v>40</x:v>
      </x:c>
      <x:c r="E12" s="5" t="str">
        <x:f xml:space="preserve">HYPERLINK("https://www.infonalia.es/modificaciones1125/2025155332.pdf","www.infonalia.es/modificaciones1125/2025155332.pdf")</x:f>
        <x:v>www.infonalia.es/modificaciones1125/2025155332.pdf</x:v>
      </x:c>
      <x:c r="F12" s="5" t="str">
        <x:f xml:space="preserve">HYPERLINK("https://www.infonalia.es/licitaciones1125/2025155332.pdf","www.infonalia.es/licitaciones1125/2025155332.pdf")</x:f>
        <x:v>www.infonalia.es/licitaciones1125/2025155332.pdf</x:v>
      </x:c>
    </x:row>
    <x:row r="13">
      <x:c r="A13" s="3" t="s">
        <x:v>41</x:v>
      </x:c>
      <x:c r="B13" s="4" t="s">
        <x:v>7</x:v>
      </x:c>
      <x:c r="C13" s="4" t="s">
        <x:v>42</x:v>
      </x:c>
      <x:c r="D13" s="4" t="s">
        <x:v>43</x:v>
      </x:c>
      <x:c r="E13" s="5" t="str">
        <x:f xml:space="preserve">HYPERLINK("https://www.infonalia.es/modificaciones1125/2025155913.pdf","www.infonalia.es/modificaciones1125/2025155913.pdf")</x:f>
        <x:v>www.infonalia.es/modificaciones1125/2025155913.pdf</x:v>
      </x:c>
      <x:c r="F13" s="5" t="str">
        <x:f xml:space="preserve">HYPERLINK("https://www.infonalia.es/licitaciones1125/2025155913.pdf","www.infonalia.es/licitaciones1125/2025155913.pdf")</x:f>
        <x:v>www.infonalia.es/licitaciones1125/2025155913.pdf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