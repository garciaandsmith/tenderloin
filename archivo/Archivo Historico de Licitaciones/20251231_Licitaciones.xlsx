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loext="http://schemas.libreoffice.org/" xmlns:r="http://schemas.openxmlformats.org/officeDocument/2006/relationships" xmlns:x="http://schemas.openxmlformats.org/spreadsheetml/2006/main">
  <x:fileVersion appName="xl" lastEdited="4" lowestEdited="4" rupBuild="4506"/>
  <x:workbookPr/>
  <x:bookViews>
    <x:workbookView xWindow="0" yWindow="0" windowWidth="16380" windowHeight="8190" tabRatio="500"/>
  </x:bookViews>
  <x:sheets>
    <x:sheet name="Licitaciones" sheetId="1" r:id="rId1"/>
  </x:sheets>
  <x:definedNames>
    <x:definedName name="_xlnm._FilterDatabase" localSheetId="0" hidden="1">Licitaciones!$A$1:$Q$1</x:definedName>
  </x:definedNames>
  <x:calcPr calcId="125725" iterateDelta="1E-4"/>
  <x:extLst>
    <x:ext xmlns:loext="http://schemas.libreoffice.org/" uri="{7626C862-2A13-11E5-B345-FEFF819CDC9F}">
      <loext:extCalcPr stringRefSyntax="CalcA1ExcelA1"/>
    </x:ext>
  </x:extLst>
</x:workbook>
</file>

<file path=xl/sharedStrings.xml><?xml version="1.0" encoding="utf-8"?>
<x:sst xmlns:x="http://schemas.openxmlformats.org/spreadsheetml/2006/main" count="17" uniqueCount="17">
  <x:si>
    <x:t>TipoDato</x:t>
  </x:si>
  <x:si>
    <x:t>CodigoBoletin</x:t>
  </x:si>
  <x:si>
    <x:t>PlazoPresentacionFecha</x:t>
  </x:si>
  <x:si>
    <x:t>Referencia</x:t>
  </x:si>
  <x:si>
    <x:t>FechaIntroduccion</x:t>
  </x:si>
  <x:si>
    <x:t>OrganismoConvocante</x:t>
  </x:si>
  <x:si>
    <x:t>Objeto</x:t>
  </x:si>
  <x:si>
    <x:t>Nº Expediente</x:t>
  </x:si>
  <x:si>
    <x:t>Presupuesto</x:t>
  </x:si>
  <x:si>
    <x:t>PresupuestoVarios</x:t>
  </x:si>
  <x:si>
    <x:t>PlazoPresentacionVarios</x:t>
  </x:si>
  <x:si>
    <x:t>InformacionWeb</x:t>
  </x:si>
  <x:si>
    <x:t>PublicacionNumero</x:t>
  </x:si>
  <x:si>
    <x:t>PublicacionFecha</x:t>
  </x:si>
  <x:si>
    <x:t>Observaciones</x:t>
  </x:si>
  <x:si>
    <x:t>LugarEjecucion</x:t>
  </x:si>
  <x:si>
    <x:t>Anuncio</x:t>
  </x:si>
  <x:si>
    <x:t>Concurso</x:t>
  </x:si>
  <x:si>
    <x:t>Catalunya - Plataforma de Contratación</x:t>
  </x:si>
  <x:si>
    <x:t>09/01/2026</x:t>
  </x:si>
  <x:si>
    <x:t>2025183274</x:t>
  </x:si>
  <x:si>
    <x:t>31/12/2025</x:t>
  </x:si>
  <x:si>
    <x:t>AYUNTAMIENTO DE REUS (TARRAGONA)</x:t>
  </x:si>
  <x:si>
    <x:t>Servicio de asistencia técnica para la puesta en marcha del Plan de Actuación Integrado de la Estrategia de Desarrollo Integrado Local de Reus</x:t>
  </x:si>
  <x:si>
    <x:t>CONSER-0413/2025</x:t>
  </x:si>
  <x:si>
    <x:t>IVA excluido</x:t>
  </x:si>
  <x:si>
    <x:t/>
  </x:si>
  <x:si>
    <x:t>-----</x:t>
  </x:si>
  <x:si>
    <x:t>30/12/2025</x:t>
  </x:si>
  <x:si>
    <x:t/>
  </x:si>
  <x:si>
    <x:t>Tarragona</x:t>
  </x:si>
  <x:si>
    <x:t>Plataforma de Contratación del Estado</x:t>
  </x:si>
  <x:si>
    <x:t>14/01/2026</x:t>
  </x:si>
  <x:si>
    <x:t>2025183319</x:t>
  </x:si>
  <x:si>
    <x:t>CONSEJERA DELEGADA DE LA EMPRESA PÚBLICA DE PROMOCIÓN DEL TURISMO Y LA ARTESANÍA DE CASTILLA-LA MANCHA (ETURIA), S.A.</x:t>
  </x:si>
  <x:si>
    <x:t>Construcción, montaje, desmontaje, puesta en funcionamiento y mantenimiento del stand de la Junta de Comunidades de Castilla-La Mancha en Madrid Fusión- Alimentos de España 2026</x:t>
  </x:si>
  <x:si>
    <x:t>2025/018380</x:t>
  </x:si>
  <x:si>
    <x:t>Importe sin impuestos</x:t>
  </x:si>
  <x:si>
    <x:t/>
  </x:si>
  <x:si>
    <x:t>Madrid</x:t>
  </x:si>
  <x:si>
    <x:t>15/01/2026</x:t>
  </x:si>
  <x:si>
    <x:t>2025183335</x:t>
  </x:si>
  <x:si>
    <x:t>CONSEJERÍA DE PRESIDENCIA, RETO DEMOGRÁFICO, IGUALDAD Y TURISMO DEL PRINCIPADO DE ASTURIAS</x:t>
  </x:si>
  <x:si>
    <x:t>Contrato de servicio de campaña de publicidad institucional sobre la bandera de Asturias (25 de mayo) mediante tramitación anticipada de gasto. Lote 1: Creatividad, producción y despliegue campaña. Lote 2: Plan de medios.</x:t>
  </x:si>
  <x:si>
    <x:t>2025001145</x:t>
  </x:si>
  <x:si>
    <x:t/>
  </x:si>
  <x:si>
    <x:t>Asturias</x:t>
  </x:si>
  <x:si>
    <x:t>16/01/2026</x:t>
  </x:si>
  <x:si>
    <x:t>2025183352</x:t>
  </x:si>
  <x:si>
    <x:t>Contrato de servicio de diseño y producción del acto institucional del 25 de mayo de 2026</x:t>
  </x:si>
  <x:si>
    <x:t>2025001060</x:t>
  </x:si>
  <x:si>
    <x:t/>
  </x:si>
  <x:si>
    <x:t>20/01/2026</x:t>
  </x:si>
  <x:si>
    <x:t>2025183506</x:t>
  </x:si>
  <x:si>
    <x:t>MINISTERIO DE CIENCIA, INNOVACIÓN Y UNIVERSIDADES. SUBSECRETARÍA DE CIENCIA, INNOVACIÓN Y UNIVERSIDADES</x:t>
  </x:si>
  <x:si>
    <x:t>Servicio de asistencia logística y técnica para la realización de actos públicos del Ministerio de Ciencia, Innovación y Universidades</x:t>
  </x:si>
  <x:si>
    <x:t>202500000277</x:t>
  </x:si>
  <x:si>
    <x:t/>
  </x:si>
  <x:si>
    <x:t>Ver pliegos</x:t>
  </x:si>
  <x:si>
    <x:t>22/01/2026</x:t>
  </x:si>
  <x:si>
    <x:t>2025183574</x:t>
  </x:si>
  <x:si>
    <x:t>DIRECCIÓN DE COMPRAS DE LA CORPORACIÓN DE RADIO Y TELEVISIÓN ESPAÑOLA S.A</x:t>
  </x:si>
  <x:si>
    <x:t>Servicio externo postproducción programas - RTVE Catalunya</x:t>
  </x:si>
  <x:si>
    <x:t>S-05955-2025</x:t>
  </x:si>
  <x:si>
    <x:t/>
  </x:si>
  <x:si>
    <x:t>Barcelona</x:t>
  </x:si>
  <x:si>
    <x:t>2025183577</x:t>
  </x:si>
  <x:si>
    <x:t>ALCALDÍA DEL AYUNTAMIENTO DE BÉJAR (SALAMANCA)</x:t>
  </x:si>
  <x:si>
    <x:t>Servicio de diseño, montaje, desmontaje y actividades complementarias del stand del Ayuntamiento de Béjar en FITUR 2026</x:t>
  </x:si>
  <x:si>
    <x:t>4182/2025</x:t>
  </x:si>
  <x:si>
    <x:t/>
  </x:si>
  <x:si>
    <x:t>Barcelona. Perfil del Contratante del Ayuntamiento</x:t>
  </x:si>
  <x:si>
    <x:t>08/01/2026</x:t>
  </x:si>
  <x:si>
    <x:t>2025183597</x:t>
  </x:si>
  <x:si>
    <x:t>INSTITUTO DE CULTURA DE BARCELONA</x:t>
  </x:si>
  <x:si>
    <x:t>Servicio de instalación y mantenimiento de 5 globos lumínicos para el Festival LLUM BCN 2026.</x:t>
  </x:si>
  <x:si>
    <x:t>006_P2501921</x:t>
  </x:si>
  <x:si>
    <x:t/>
  </x:si>
  <x:si>
    <x:t/>
  </x:si>
  <x:si>
    <x:t>2025183617</x:t>
  </x:si>
  <x:si>
    <x:t>AYUNTAMIENTO DE BANYOLES (GIRONA)</x:t>
  </x:si>
  <x:si>
    <x:t>Servicios en comunicación, publicidad, difusión institucional y recopilación informativa</x:t>
  </x:si>
  <x:si>
    <x:t>X2025013839</x:t>
  </x:si>
  <x:si>
    <x:t/>
  </x:si>
  <x:si>
    <x:t/>
  </x:si>
  <x:si>
    <x:t>Girona</x:t>
  </x:si>
  <x:si>
    <x:t>2025183624</x:t>
  </x:si>
  <x:si>
    <x:t>AYUNTAMIENTO DE BARCELONA. GERENCIA DEL ÁREA DE CULTURA, EDUCACIÓN, CICLOS DE VIDA, FEMINISMOS Y LGTBI</x:t>
  </x:si>
  <x:si>
    <x:t>Suministro y servicios para la producción, distribución, instalación, seguimiento y retirada de los elementos publicitarios y producción de otros elementos de comunicación del Área de Cultura, Educación, Ciclos de Vida, Feminismos y LGTBI</x:t>
  </x:si>
  <x:si>
    <x:t>001_25003355</x:t>
  </x:si>
  <x:si>
    <x:t/>
  </x:si>
  <x:si>
    <x:t/>
  </x:si>
  <x:si>
    <x:t>2025183632</x:t>
  </x:si>
  <x:si>
    <x:t>AYUNTAMIENTO DEL MORELL (TARRAGONA)</x:t>
  </x:si>
  <x:si>
    <x:t>Plan anual de contratación armonizada 2026</x:t>
  </x:si>
  <x:si>
    <x:t>Anuncio previo 4480/2025</x:t>
  </x:si>
  <x:si>
    <x:t>Fecha prevista del proceso de licitación: 15/04/2026</x:t>
  </x:si>
  <x:si>
    <x:t/>
  </x:si>
</x:sst>
</file>

<file path=xl/styles.xml><?xml version="1.0" encoding="utf-8"?>
<styleSheet xmlns="http://schemas.openxmlformats.org/spreadsheetml/2006/main">
  <numFmts count="1">
    <numFmt numFmtId="164" formatCode="#,##0.00&quot; €&quot;;[Red]\-#,##0.00&quot; €&quot;"/>
  </numFmts>
  <fonts count="5">
    <font>
      <sz val="11"/>
      <name val="Calibri"/>
      <charset val="1"/>
    </font>
    <font>
      <sz val="10"/>
      <name val="Calibri"/>
      <family val="2"/>
      <charset val="1"/>
    </font>
    <font>
      <b/>
      <sz val="10"/>
      <color theme="0"/>
      <name val="Calibri"/>
      <family val="2"/>
      <charset val="1"/>
    </font>
    <font>
      <u/>
      <sz val="11"/>
      <color theme="10"/>
      <name val="Calibri"/>
      <charset val="1"/>
    </font>
    <font>
      <u/>
      <sz val="10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3"/>
        <bgColor rgb="FF003366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Border="0" applyProtection="0"/>
  </cellStyleXfs>
  <cellXfs count="15">
    <xf numFmtId="0" fontId="0" fillId="0" borderId="0" xfId="0"/>
    <xf numFmtId="0" fontId="1" fillId="0" borderId="0" xfId="0" applyFont="1" applyAlignment="1" applyProtection="1">
      <alignment vertical="center" wrapText="1"/>
    </xf>
    <xf numFmtId="0" fontId="1" fillId="0" borderId="0" xfId="0" applyFont="1" applyAlignment="1" applyProtection="1">
      <alignment horizontal="center" vertical="center" wrapText="1"/>
    </xf>
    <xf numFmtId="0" fontId="1" fillId="0" borderId="0" xfId="0" applyFont="1" applyAlignment="1" applyProtection="1">
      <alignment vertical="center"/>
    </xf>
    <xf numFmtId="0" fontId="2" fillId="2" borderId="1" xfId="0" applyFont="1" applyFill="1" applyBorder="1" applyAlignment="1" applyProtection="1">
      <alignment horizontal="center" vertical="center" wrapText="1"/>
    </xf>
    <xf numFmtId="0" fontId="1" fillId="0" borderId="0" xfId="0" applyFont="1" applyAlignment="1" applyProtection="1">
      <alignment horizontal="center" vertical="center"/>
    </xf>
    <xf numFmtId="0" fontId="1" fillId="0" borderId="1" xfId="0" applyFont="1" applyBorder="1" applyAlignment="1" applyProtection="1">
      <alignment vertical="center" wrapText="1"/>
    </xf>
    <xf numFmtId="14" fontId="1" fillId="0" borderId="1" xfId="0" applyNumberFormat="1" applyFont="1" applyBorder="1" applyAlignment="1" applyProtection="1">
      <alignment horizontal="center" vertical="center" wrapText="1"/>
    </xf>
    <xf numFmtId="0" fontId="1" fillId="0" borderId="1" xfId="0" applyFont="1" applyBorder="1" applyAlignment="1" applyProtection="1">
      <alignment horizontal="center" vertical="center" wrapText="1"/>
    </xf>
    <xf numFmtId="14" fontId="1" fillId="0" borderId="1" xfId="0" applyNumberFormat="1" applyFont="1" applyBorder="1" applyAlignment="1" applyProtection="1">
      <alignment vertical="center" wrapText="1"/>
    </xf>
    <xf numFmtId="164" fontId="1" fillId="0" borderId="2" xfId="0" applyNumberFormat="1" applyFont="1" applyBorder="1" applyAlignment="1" applyProtection="1">
      <alignment vertical="center" wrapText="1"/>
    </xf>
    <xf numFmtId="0" fontId="1" fillId="0" borderId="2" xfId="0" applyFont="1" applyBorder="1" applyAlignment="1" applyProtection="1">
      <alignment vertical="center" wrapText="1"/>
    </xf>
    <xf numFmtId="0" fontId="4" fillId="0" borderId="2" xfId="1" applyFont="1" applyBorder="1" applyAlignment="1" applyProtection="1">
      <alignment vertical="center" wrapText="1"/>
    </xf>
    <xf numFmtId="14" fontId="1" fillId="0" borderId="2" xfId="0" applyNumberFormat="1" applyFont="1" applyBorder="1" applyAlignment="1" applyProtection="1">
      <alignment vertical="center" wrapText="1"/>
    </xf>
    <xf numFmtId="0" fontId="4" fillId="0" borderId="1" xfId="1" applyFont="1" applyBorder="1" applyAlignment="1" applyProtection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Q2"/>
  <x:sheetViews>
    <x:sheetView showGridLines="0" tabSelected="1" zoomScaleNormal="100" workbookViewId="0">
      <x:selection sqref="A1:XFD1"/>
    </x:sheetView>
  </x:sheetViews>
  <x:sheetFormatPr baseColWidth="10" defaultColWidth="11.5703125" defaultRowHeight="12.75"/>
  <x:cols>
    <x:col min="1" max="1" width="8.5703125" style="1" customWidth="1"/>
    <x:col min="2" max="2" width="18.85546875" style="1" customWidth="1"/>
    <x:col min="3" max="3" width="19.140625" style="2" customWidth="1"/>
    <x:col min="4" max="4" width="11.140625" style="2" customWidth="1"/>
    <x:col min="5" max="5" width="14.85546875" style="1" hidden="1" customWidth="1"/>
    <x:col min="6" max="6" width="24.7109375" style="1" customWidth="1"/>
    <x:col min="7" max="7" width="57.42578125" style="1" customWidth="1"/>
    <x:col min="8" max="8" width="17.140625" style="1" customWidth="1"/>
    <x:col min="9" max="9" width="14.28515625" style="1" customWidth="1"/>
    <x:col min="10" max="10" width="16.85546875" style="1" hidden="1" customWidth="1"/>
    <x:col min="11" max="11" width="19.42578125" style="1" hidden="1" customWidth="1"/>
    <x:col min="12" max="12" width="33.85546875" style="1" customWidth="1"/>
    <x:col min="13" max="13" width="15.85546875" style="1" hidden="1" customWidth="1"/>
    <x:col min="14" max="14" width="13.85546875" style="1" hidden="1" customWidth="1"/>
    <x:col min="15" max="15" width="11.7109375" style="1" hidden="1" customWidth="1"/>
    <x:col min="16" max="16" width="17.140625" style="1" customWidth="1"/>
    <x:col min="17" max="17" width="29.7109375" style="1" customWidth="1"/>
    <x:col min="18" max="16384" width="11.5703125" style="3"/>
  </x:cols>
  <x:sheetData>
    <x:row r="1" spans="1:17" s="5" customFormat="1" ht="25.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4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15</x:v>
      </x:c>
      <x:c r="Q1" s="4" t="s">
        <x:v>16</x:v>
      </x:c>
    </x:row>
    <x:row r="2" spans="1:17">
      <x:c r="A2" s="6" t="s">
        <x:v>17</x:v>
      </x:c>
      <x:c r="B2" s="6" t="s">
        <x:v>18</x:v>
      </x:c>
      <x:c r="C2" s="7" t="s">
        <x:v>19</x:v>
      </x:c>
      <x:c r="D2" s="8" t="s">
        <x:v>20</x:v>
      </x:c>
      <x:c r="E2" s="9" t="s">
        <x:v>21</x:v>
      </x:c>
      <x:c r="F2" s="6" t="s">
        <x:v>22</x:v>
      </x:c>
      <x:c r="G2" s="6" t="s">
        <x:v>23</x:v>
      </x:c>
      <x:c r="H2" s="6" t="s">
        <x:v>24</x:v>
      </x:c>
      <x:c r="I2" s="10" t="n">
        <x:v>14940.00</x:v>
      </x:c>
      <x:c r="J2" s="11" t="s">
        <x:v>25</x:v>
      </x:c>
      <x:c r="K2" s="11" t="s">
        <x:v>26</x:v>
      </x:c>
      <x:c r="L2" s="12" t="str">
        <x:f xml:space="preserve">HYPERLINK("https://contractaciopublica.cat/es/detall-publicacio/300656771","contractaciopublica.cat/es/detall-publicacio/300656771")</x:f>
        <x:v>contractaciopublica.cat/es/detall-publicacio/300656771</x:v>
      </x:c>
      <x:c r="M2" s="11" t="s">
        <x:v>27</x:v>
      </x:c>
      <x:c r="N2" s="13" t="s">
        <x:v>28</x:v>
      </x:c>
      <x:c r="O2" s="11" t="s">
        <x:v>29</x:v>
      </x:c>
      <x:c r="P2" s="11" t="s">
        <x:v>30</x:v>
      </x:c>
      <x:c r="Q2" s="14" t="str">
        <x:f xml:space="preserve">HYPERLINK("https://www.infonalia.es/licitaciones1225/2025183274.pdf","www.infonalia.es/licitaciones1225/2025183274.pdf")</x:f>
        <x:v>www.infonalia.es/licitaciones1225/2025183274.pdf</x:v>
      </x:c>
    </x:row>
    <x:row r="3">
      <x:c r="A3" s="6" t="s">
        <x:v>17</x:v>
      </x:c>
      <x:c r="B3" s="6" t="s">
        <x:v>31</x:v>
      </x:c>
      <x:c r="C3" s="7" t="s">
        <x:v>32</x:v>
      </x:c>
      <x:c r="D3" s="8" t="s">
        <x:v>33</x:v>
      </x:c>
      <x:c r="E3" s="9" t="s">
        <x:v>21</x:v>
      </x:c>
      <x:c r="F3" s="6" t="s">
        <x:v>34</x:v>
      </x:c>
      <x:c r="G3" s="6" t="s">
        <x:v>35</x:v>
      </x:c>
      <x:c r="H3" s="6" t="s">
        <x:v>36</x:v>
      </x:c>
      <x:c r="I3" s="10" t="n">
        <x:v>74380.17</x:v>
      </x:c>
      <x:c r="J3" s="11" t="s">
        <x:v>37</x:v>
      </x:c>
      <x:c r="K3" s="11" t="s">
        <x:v>26</x:v>
      </x:c>
      <x:c r="L3" s="12" t="str">
        <x:f xml:space="preserve">HYPERLINK("https://contrataciondelestado.es/wps/poc?uri=deeplink:detalle_licitacion&amp;idEvl=S%2BkSjq1m99Ozz8fXU2i3eQ%3D%3D","contrataciondelestado.es/wps/poc?uri=deeplink:detalle_licitacion&amp;idEvl=S%2BkSjq1m99Ozz8fXU2i3eQ%3D%3D")</x:f>
        <x:v>contrataciondelestado.es/wps/poc?uri=deeplink:detalle_licitacion&amp;idEvl=S%2BkSjq1m99Ozz8fXU2i3eQ%3D%3D</x:v>
      </x:c>
      <x:c r="M3" s="11" t="s">
        <x:v>27</x:v>
      </x:c>
      <x:c r="N3" s="13" t="s">
        <x:v>28</x:v>
      </x:c>
      <x:c r="O3" s="11" t="s">
        <x:v>38</x:v>
      </x:c>
      <x:c r="P3" s="11" t="s">
        <x:v>39</x:v>
      </x:c>
      <x:c r="Q3" s="14" t="str">
        <x:f xml:space="preserve">HYPERLINK("https://www.infonalia.es/licitaciones1225/2025183319.pdf","www.infonalia.es/licitaciones1225/2025183319.pdf")</x:f>
        <x:v>www.infonalia.es/licitaciones1225/2025183319.pdf</x:v>
      </x:c>
    </x:row>
    <x:row r="4">
      <x:c r="A4" s="6" t="s">
        <x:v>17</x:v>
      </x:c>
      <x:c r="B4" s="6" t="s">
        <x:v>31</x:v>
      </x:c>
      <x:c r="C4" s="7" t="s">
        <x:v>40</x:v>
      </x:c>
      <x:c r="D4" s="8" t="s">
        <x:v>41</x:v>
      </x:c>
      <x:c r="E4" s="9" t="s">
        <x:v>21</x:v>
      </x:c>
      <x:c r="F4" s="6" t="s">
        <x:v>42</x:v>
      </x:c>
      <x:c r="G4" s="6" t="s">
        <x:v>43</x:v>
      </x:c>
      <x:c r="H4" s="6" t="s">
        <x:v>44</x:v>
      </x:c>
      <x:c r="I4" s="10" t="n">
        <x:v>26186.83</x:v>
      </x:c>
      <x:c r="J4" s="11" t="s">
        <x:v>37</x:v>
      </x:c>
      <x:c r="K4" s="11" t="s">
        <x:v>26</x:v>
      </x:c>
      <x:c r="L4" s="12" t="str">
        <x:f xml:space="preserve">HYPERLINK("https://contrataciondelestado.es/wps/poc?uri=deeplink:detalle_licitacion&amp;idEvl=OYF1yGlS7iG2gkLQ8TeYKA%3D%3D","contrataciondelestado.es/wps/poc?uri=deeplink:detalle_licitacion&amp;idEvl=OYF1yGlS7iG2gkLQ8TeYKA%3D%3D")</x:f>
        <x:v>contrataciondelestado.es/wps/poc?uri=deeplink:detalle_licitacion&amp;idEvl=OYF1yGlS7iG2gkLQ8TeYKA%3D%3D</x:v>
      </x:c>
      <x:c r="M4" s="11" t="s">
        <x:v>27</x:v>
      </x:c>
      <x:c r="N4" s="13" t="s">
        <x:v>28</x:v>
      </x:c>
      <x:c r="O4" s="11" t="s">
        <x:v>45</x:v>
      </x:c>
      <x:c r="P4" s="11" t="s">
        <x:v>46</x:v>
      </x:c>
      <x:c r="Q4" s="14" t="str">
        <x:f xml:space="preserve">HYPERLINK("https://www.infonalia.es/licitaciones1225/2025183335.pdf","www.infonalia.es/licitaciones1225/2025183335.pdf")</x:f>
        <x:v>www.infonalia.es/licitaciones1225/2025183335.pdf</x:v>
      </x:c>
    </x:row>
    <x:row r="5">
      <x:c r="A5" s="6" t="s">
        <x:v>17</x:v>
      </x:c>
      <x:c r="B5" s="6" t="s">
        <x:v>31</x:v>
      </x:c>
      <x:c r="C5" s="7" t="s">
        <x:v>47</x:v>
      </x:c>
      <x:c r="D5" s="8" t="s">
        <x:v>48</x:v>
      </x:c>
      <x:c r="E5" s="9" t="s">
        <x:v>21</x:v>
      </x:c>
      <x:c r="F5" s="6" t="s">
        <x:v>42</x:v>
      </x:c>
      <x:c r="G5" s="6" t="s">
        <x:v>49</x:v>
      </x:c>
      <x:c r="H5" s="6" t="s">
        <x:v>50</x:v>
      </x:c>
      <x:c r="I5" s="10" t="n">
        <x:v>7088.53</x:v>
      </x:c>
      <x:c r="J5" s="11" t="s">
        <x:v>37</x:v>
      </x:c>
      <x:c r="K5" s="11" t="s">
        <x:v>26</x:v>
      </x:c>
      <x:c r="L5" s="12" t="str">
        <x:f xml:space="preserve">HYPERLINK("https://contrataciondelestado.es/wps/poc?uri=deeplink:detalle_licitacion&amp;idEvl=QnqUbEJCNFQZDGvgaZEVxQ%3D%3D","contrataciondelestado.es/wps/poc?uri=deeplink:detalle_licitacion&amp;idEvl=QnqUbEJCNFQZDGvgaZEVxQ%3D%3D")</x:f>
        <x:v>contrataciondelestado.es/wps/poc?uri=deeplink:detalle_licitacion&amp;idEvl=QnqUbEJCNFQZDGvgaZEVxQ%3D%3D</x:v>
      </x:c>
      <x:c r="M5" s="11" t="s">
        <x:v>27</x:v>
      </x:c>
      <x:c r="N5" s="13" t="s">
        <x:v>28</x:v>
      </x:c>
      <x:c r="O5" s="11" t="s">
        <x:v>51</x:v>
      </x:c>
      <x:c r="P5" s="11" t="s">
        <x:v>46</x:v>
      </x:c>
      <x:c r="Q5" s="14" t="str">
        <x:f xml:space="preserve">HYPERLINK("https://www.infonalia.es/licitaciones1225/2025183352.pdf","www.infonalia.es/licitaciones1225/2025183352.pdf")</x:f>
        <x:v>www.infonalia.es/licitaciones1225/2025183352.pdf</x:v>
      </x:c>
    </x:row>
    <x:row r="6">
      <x:c r="A6" s="6" t="s">
        <x:v>17</x:v>
      </x:c>
      <x:c r="B6" s="6" t="s">
        <x:v>31</x:v>
      </x:c>
      <x:c r="C6" s="7" t="s">
        <x:v>52</x:v>
      </x:c>
      <x:c r="D6" s="8" t="s">
        <x:v>53</x:v>
      </x:c>
      <x:c r="E6" s="9" t="s">
        <x:v>21</x:v>
      </x:c>
      <x:c r="F6" s="6" t="s">
        <x:v>54</x:v>
      </x:c>
      <x:c r="G6" s="6" t="s">
        <x:v>55</x:v>
      </x:c>
      <x:c r="H6" s="6" t="s">
        <x:v>56</x:v>
      </x:c>
      <x:c r="I6" s="10" t="n">
        <x:v>59860.62</x:v>
      </x:c>
      <x:c r="J6" s="11" t="s">
        <x:v>37</x:v>
      </x:c>
      <x:c r="K6" s="11" t="s">
        <x:v>26</x:v>
      </x:c>
      <x:c r="L6" s="12" t="str">
        <x:f xml:space="preserve">HYPERLINK("https://contrataciondelestado.es/wps/poc?uri=deeplink:detalle_licitacion&amp;idEvl=0UB0Gub2mI5%2FR5QFTlaM4A%3D%3D","contrataciondelestado.es/wps/poc?uri=deeplink:detalle_licitacion&amp;idEvl=0UB0Gub2mI5%2FR5QFTlaM4A%3D%3D")</x:f>
        <x:v>contrataciondelestado.es/wps/poc?uri=deeplink:detalle_licitacion&amp;idEvl=0UB0Gub2mI5%2FR5QFTlaM4A%3D%3D</x:v>
      </x:c>
      <x:c r="M6" s="11" t="s">
        <x:v>27</x:v>
      </x:c>
      <x:c r="N6" s="13" t="s">
        <x:v>28</x:v>
      </x:c>
      <x:c r="O6" s="11" t="s">
        <x:v>57</x:v>
      </x:c>
      <x:c r="P6" s="11" t="s">
        <x:v>58</x:v>
      </x:c>
      <x:c r="Q6" s="14" t="str">
        <x:f xml:space="preserve">HYPERLINK("https://www.infonalia.es/licitaciones1225/2025183506.pdf","www.infonalia.es/licitaciones1225/2025183506.pdf")</x:f>
        <x:v>www.infonalia.es/licitaciones1225/2025183506.pdf</x:v>
      </x:c>
    </x:row>
    <x:row r="7">
      <x:c r="A7" s="6" t="s">
        <x:v>17</x:v>
      </x:c>
      <x:c r="B7" s="6" t="s">
        <x:v>31</x:v>
      </x:c>
      <x:c r="C7" s="7" t="s">
        <x:v>59</x:v>
      </x:c>
      <x:c r="D7" s="8" t="s">
        <x:v>60</x:v>
      </x:c>
      <x:c r="E7" s="9" t="s">
        <x:v>21</x:v>
      </x:c>
      <x:c r="F7" s="6" t="s">
        <x:v>61</x:v>
      </x:c>
      <x:c r="G7" s="6" t="s">
        <x:v>62</x:v>
      </x:c>
      <x:c r="H7" s="6" t="s">
        <x:v>63</x:v>
      </x:c>
      <x:c r="I7" s="10" t="n">
        <x:v>98497.00</x:v>
      </x:c>
      <x:c r="J7" s="11" t="s">
        <x:v>37</x:v>
      </x:c>
      <x:c r="K7" s="11" t="s">
        <x:v>26</x:v>
      </x:c>
      <x:c r="L7" s="12" t="str">
        <x:f xml:space="preserve">HYPERLINK("https://contrataciondelestado.es/wps/poc?uri=deeplink:detalle_licitacion&amp;idEvl=igCMPxx6kCT%2Fa9DgO%2BoYKQ%3D%3D","contrataciondelestado.es/wps/poc?uri=deeplink:detalle_licitacion&amp;idEvl=igCMPxx6kCT%2Fa9DgO%2BoYKQ%3D%3D")</x:f>
        <x:v>contrataciondelestado.es/wps/poc?uri=deeplink:detalle_licitacion&amp;idEvl=igCMPxx6kCT%2Fa9DgO%2BoYKQ%3D%3D</x:v>
      </x:c>
      <x:c r="M7" s="11" t="s">
        <x:v>27</x:v>
      </x:c>
      <x:c r="N7" s="13" t="s">
        <x:v>28</x:v>
      </x:c>
      <x:c r="O7" s="11" t="s">
        <x:v>64</x:v>
      </x:c>
      <x:c r="P7" s="11" t="s">
        <x:v>65</x:v>
      </x:c>
      <x:c r="Q7" s="14" t="str">
        <x:f xml:space="preserve">HYPERLINK("https://www.infonalia.es/licitaciones1225/2025183574.pdf","www.infonalia.es/licitaciones1225/2025183574.pdf")</x:f>
        <x:v>www.infonalia.es/licitaciones1225/2025183574.pdf</x:v>
      </x:c>
    </x:row>
    <x:row r="8">
      <x:c r="A8" s="6" t="s">
        <x:v>17</x:v>
      </x:c>
      <x:c r="B8" s="6" t="s">
        <x:v>31</x:v>
      </x:c>
      <x:c r="C8" s="7" t="s">
        <x:v>40</x:v>
      </x:c>
      <x:c r="D8" s="8" t="s">
        <x:v>66</x:v>
      </x:c>
      <x:c r="E8" s="9" t="s">
        <x:v>21</x:v>
      </x:c>
      <x:c r="F8" s="6" t="s">
        <x:v>67</x:v>
      </x:c>
      <x:c r="G8" s="6" t="s">
        <x:v>68</x:v>
      </x:c>
      <x:c r="H8" s="6" t="s">
        <x:v>69</x:v>
      </x:c>
      <x:c r="I8" s="10" t="n">
        <x:v>15702.48</x:v>
      </x:c>
      <x:c r="J8" s="11" t="s">
        <x:v>37</x:v>
      </x:c>
      <x:c r="K8" s="11" t="s">
        <x:v>26</x:v>
      </x:c>
      <x:c r="L8" s="12" t="str">
        <x:f xml:space="preserve">HYPERLINK("https://contrataciondelestado.es/wps/poc?uri=deeplink:detalle_licitacion&amp;idEvl=UcDta1FPiSU3vLk2DU2Ddg%3D%3D","contrataciondelestado.es/wps/poc?uri=deeplink:detalle_licitacion&amp;idEvl=UcDta1FPiSU3vLk2DU2Ddg%3D%3D")</x:f>
        <x:v>contrataciondelestado.es/wps/poc?uri=deeplink:detalle_licitacion&amp;idEvl=UcDta1FPiSU3vLk2DU2Ddg%3D%3D</x:v>
      </x:c>
      <x:c r="M8" s="11" t="s">
        <x:v>27</x:v>
      </x:c>
      <x:c r="N8" s="13" t="s">
        <x:v>28</x:v>
      </x:c>
      <x:c r="O8" s="11" t="s">
        <x:v>70</x:v>
      </x:c>
      <x:c r="P8" s="11" t="s">
        <x:v>39</x:v>
      </x:c>
      <x:c r="Q8" s="14" t="str">
        <x:f xml:space="preserve">HYPERLINK("https://www.infonalia.es/licitaciones1225/2025183577.pdf","www.infonalia.es/licitaciones1225/2025183577.pdf")</x:f>
        <x:v>www.infonalia.es/licitaciones1225/2025183577.pdf</x:v>
      </x:c>
    </x:row>
    <x:row r="9">
      <x:c r="A9" s="6" t="s">
        <x:v>17</x:v>
      </x:c>
      <x:c r="B9" s="6" t="s">
        <x:v>71</x:v>
      </x:c>
      <x:c r="C9" s="7" t="s">
        <x:v>72</x:v>
      </x:c>
      <x:c r="D9" s="8" t="s">
        <x:v>73</x:v>
      </x:c>
      <x:c r="E9" s="9" t="s">
        <x:v>21</x:v>
      </x:c>
      <x:c r="F9" s="6" t="s">
        <x:v>74</x:v>
      </x:c>
      <x:c r="G9" s="6" t="s">
        <x:v>75</x:v>
      </x:c>
      <x:c r="H9" s="6" t="s">
        <x:v>76</x:v>
      </x:c>
      <x:c r="I9" s="10" t="n">
        <x:v>13000.00</x:v>
      </x:c>
      <x:c r="J9" s="11" t="s">
        <x:v>37</x:v>
      </x:c>
      <x:c r="K9" s="11" t="s">
        <x:v>77</x:v>
      </x:c>
      <x:c r="L9" s="12" t="str">
        <x:f xml:space="preserve">HYPERLINK("https://licitacions.bcn.cat/licitacion/licitaciones/detalle?id=14234935","licitacions.bcn.cat/licitacion/licitaciones/detalle?id=14234935")</x:f>
        <x:v>licitacions.bcn.cat/licitacion/licitaciones/detalle?id=14234935</x:v>
      </x:c>
      <x:c r="M9" s="11" t="s">
        <x:v>27</x:v>
      </x:c>
      <x:c r="N9" s="13" t="s">
        <x:v>28</x:v>
      </x:c>
      <x:c r="O9" s="11" t="s">
        <x:v>78</x:v>
      </x:c>
      <x:c r="P9" s="11" t="s">
        <x:v>65</x:v>
      </x:c>
      <x:c r="Q9" s="14" t="str">
        <x:f xml:space="preserve">HYPERLINK("https://www.infonalia.es/licitaciones1225/2025183597.pdf","www.infonalia.es/licitaciones1225/2025183597.pdf")</x:f>
        <x:v>www.infonalia.es/licitaciones1225/2025183597.pdf</x:v>
      </x:c>
    </x:row>
    <x:row r="10">
      <x:c r="A10" s="6" t="s">
        <x:v>17</x:v>
      </x:c>
      <x:c r="B10" s="6" t="s">
        <x:v>18</x:v>
      </x:c>
      <x:c r="C10" s="7" t="s">
        <x:v>47</x:v>
      </x:c>
      <x:c r="D10" s="8" t="s">
        <x:v>79</x:v>
      </x:c>
      <x:c r="E10" s="9" t="s">
        <x:v>21</x:v>
      </x:c>
      <x:c r="F10" s="6" t="s">
        <x:v>80</x:v>
      </x:c>
      <x:c r="G10" s="6" t="s">
        <x:v>81</x:v>
      </x:c>
      <x:c r="H10" s="6" t="s">
        <x:v>82</x:v>
      </x:c>
      <x:c r="I10" s="10" t="n">
        <x:v>80418.25</x:v>
      </x:c>
      <x:c r="J10" s="11" t="s">
        <x:v>25</x:v>
      </x:c>
      <x:c r="K10" s="11" t="s">
        <x:v>83</x:v>
      </x:c>
      <x:c r="L10" s="12" t="str">
        <x:f xml:space="preserve">HYPERLINK("https://contractaciopublica.cat/es/detall-publicacio/300651487","contractaciopublica.cat/es/detall-publicacio/300651487")</x:f>
        <x:v>contractaciopublica.cat/es/detall-publicacio/300651487</x:v>
      </x:c>
      <x:c r="M10" s="11" t="s">
        <x:v>27</x:v>
      </x:c>
      <x:c r="N10" s="13" t="s">
        <x:v>28</x:v>
      </x:c>
      <x:c r="O10" s="11" t="s">
        <x:v>84</x:v>
      </x:c>
      <x:c r="P10" s="11" t="s">
        <x:v>85</x:v>
      </x:c>
      <x:c r="Q10" s="14" t="str">
        <x:f xml:space="preserve">HYPERLINK("https://www.infonalia.es/licitaciones1225/2025183617.pdf","www.infonalia.es/licitaciones1225/2025183617.pdf")</x:f>
        <x:v>www.infonalia.es/licitaciones1225/2025183617.pdf</x:v>
      </x:c>
    </x:row>
    <x:row r="11">
      <x:c r="A11" s="6" t="s">
        <x:v>17</x:v>
      </x:c>
      <x:c r="B11" s="6" t="s">
        <x:v>18</x:v>
      </x:c>
      <x:c r="C11" s="7" t="s">
        <x:v>32</x:v>
      </x:c>
      <x:c r="D11" s="8" t="s">
        <x:v>86</x:v>
      </x:c>
      <x:c r="E11" s="9" t="s">
        <x:v>21</x:v>
      </x:c>
      <x:c r="F11" s="6" t="s">
        <x:v>87</x:v>
      </x:c>
      <x:c r="G11" s="6" t="s">
        <x:v>88</x:v>
      </x:c>
      <x:c r="H11" s="6" t="s">
        <x:v>89</x:v>
      </x:c>
      <x:c r="I11" s="10" t="n">
        <x:v>58435.00</x:v>
      </x:c>
      <x:c r="J11" s="11" t="s">
        <x:v>25</x:v>
      </x:c>
      <x:c r="K11" s="11" t="s">
        <x:v>90</x:v>
      </x:c>
      <x:c r="L11" s="12" t="str">
        <x:f xml:space="preserve">HYPERLINK("https://contractaciopublica.cat/es/detall-publicacio/300656821","contractaciopublica.cat/es/detall-publicacio/300656821")</x:f>
        <x:v>contractaciopublica.cat/es/detall-publicacio/300656821</x:v>
      </x:c>
      <x:c r="M11" s="11" t="s">
        <x:v>27</x:v>
      </x:c>
      <x:c r="N11" s="13" t="s">
        <x:v>28</x:v>
      </x:c>
      <x:c r="O11" s="11" t="s">
        <x:v>91</x:v>
      </x:c>
      <x:c r="P11" s="11" t="s">
        <x:v>65</x:v>
      </x:c>
      <x:c r="Q11" s="14" t="str">
        <x:f xml:space="preserve">HYPERLINK("https://www.infonalia.es/licitaciones1225/2025183624.pdf","www.infonalia.es/licitaciones1225/2025183624.pdf")</x:f>
        <x:v>www.infonalia.es/licitaciones1225/2025183624.pdf</x:v>
      </x:c>
    </x:row>
    <x:row r="12">
      <x:c r="A12" s="6" t="s">
        <x:v>17</x:v>
      </x:c>
      <x:c r="B12" s="6" t="s">
        <x:v>18</x:v>
      </x:c>
      <x:c r="C12" s="7" t="s">
        <x:v>26</x:v>
      </x:c>
      <x:c r="D12" s="8" t="s">
        <x:v>92</x:v>
      </x:c>
      <x:c r="E12" s="9" t="s">
        <x:v>21</x:v>
      </x:c>
      <x:c r="F12" s="6" t="s">
        <x:v>93</x:v>
      </x:c>
      <x:c r="G12" s="6" t="s">
        <x:v>94</x:v>
      </x:c>
      <x:c r="H12" s="6" t="s">
        <x:v>95</x:v>
      </x:c>
      <x:c r="I12" s="10" t="n">
        <x:v>1694000.00</x:v>
      </x:c>
      <x:c r="J12" s="11" t="s">
        <x:v>25</x:v>
      </x:c>
      <x:c r="K12" s="11" t="s">
        <x:v>96</x:v>
      </x:c>
      <x:c r="L12" s="12" t="str">
        <x:f xml:space="preserve">HYPERLINK("https://contractaciopublica.cat/es/detall-publicacio/300656469","contractaciopublica.cat/es/detall-publicacio/300656469")</x:f>
        <x:v>contractaciopublica.cat/es/detall-publicacio/300656469</x:v>
      </x:c>
      <x:c r="M12" s="11" t="s">
        <x:v>27</x:v>
      </x:c>
      <x:c r="N12" s="13" t="s">
        <x:v>28</x:v>
      </x:c>
      <x:c r="O12" s="11" t="s">
        <x:v>97</x:v>
      </x:c>
      <x:c r="P12" s="11" t="s">
        <x:v>30</x:v>
      </x:c>
      <x:c r="Q12" s="14" t="str">
        <x:f xml:space="preserve">HYPERLINK("https://www.infonalia.es/licitaciones1225/2025183632.pdf","www.infonalia.es/licitaciones1225/2025183632.pdf")</x:f>
        <x:v>www.infonalia.es/licitaciones1225/2025183632.pdf</x:v>
      </x:c>
    </x:row>
  </x:sheetData>
  <x:autoFilter ref="A1:Q1"/>
  <x:pageMargins left="0.7" right="0.7" top="0.75" bottom="0.75" header="0.511811023622047" footer="0.511811023622047"/>
  <x:pageSetup paperSize="9" orientation="portrait" horizontalDpi="300" verticalDpi="300"/>
</x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Licitaciones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direc</dc:creator>
  <dc:description/>
  <cp:lastModifiedBy>.</cp:lastModifiedBy>
  <cp:revision>2</cp:revision>
  <dcterms:created xsi:type="dcterms:W3CDTF">2024-12-04T08:39:24Z</dcterms:created>
  <dcterms:modified xsi:type="dcterms:W3CDTF">2025-01-20T07:55:14Z</dcterms:modified>
  <dc:language>es-ES</dc:language>
</cp:coreProperties>
</file>