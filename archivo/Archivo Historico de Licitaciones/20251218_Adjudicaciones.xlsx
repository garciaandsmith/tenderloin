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<x:sst xmlns:x="http://schemas.openxmlformats.org/spreadsheetml/2006/main" count="11" uniqueCount="11">
  <x:si>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</x:si>
  <x:si>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</x:si>
  <x:si>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</x:si>
  <x:si>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</x:si>
  <x:si>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</x:si>
  <x:si>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</x:si>
  <x:si>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</x:si>
  <x:si>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</x:si>
  <x:si>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</x:si>
  <x:si>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</x:si>
  <x:si>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</x:si>
  <x:si>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</x:si>
  <x:si>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MARIA TERESA ALVAREZ HERNAN</x:t>
  </x:si>
  <x:si>
    <x:t>18/12/2025 0:00:00</x:t>
  </x:si>
  <x:si>
    <x:t>25254686</x:t>
  </x:si>
  <x:si>
    <x:t>JUNTA DE GOBIERNO LOCAL DEL AYUNTAMIENTO DE COLMENAR VIEJO (MADRID)</x:t>
  </x:si>
  <x:si>
    <x:t>Organización del evento navideño en el Ayuntamiento de Colmenar Viejo</x:t>
  </x:si>
  <x:si>
    <x:t>20715/2025</x:t>
  </x:si>
  <x:si>
    <x:t>Madrid</x:t>
  </x:si>
  <x:si>
    <x:t>Formalizado</x:t>
  </x:si>
  <x:si>
    <x:t>LOTE 2 6TEMS COMUNICACIÓ INTERACTIVA, SL; LOTE 3 6TEMS COMUNICACIÓ INTERACTIVA, SL</x:t>
  </x:si>
  <x:si>
    <x:t>25254790</x:t>
  </x:si>
  <x:si>
    <x:t>CONSELL COMARCAL DE LA SELVA (GIRONA)</x:t>
  </x:si>
  <x:si>
    <x:t>El objeto de la presente contratación consiste en el servicio para la “Digitalización de la visita al castillo de Montsoriu” (Lote 1), “Creación y mantenimiento del nuevo portal web de promoción turística e integración en este de las webs www.tourdera.cat y www.larutadelscabrera.cat” (Lote 2) y “Diseño y creación de 3 planificadores de rutas para el nuevo portal web Destino la Selva interior (Lote 3) – Plan de Recuperación, Transformación y Resiliencia, financiando por la Unión Europea – Next Generation EU</x:t>
  </x:si>
  <x:si>
    <x:t>2025/00011073Y</x:t>
  </x:si>
  <x:si>
    <x:t>Girona</x:t>
  </x:si>
  <x:si>
    <x:t>Ver detalle de la adjudicación</x:t>
  </x:si>
  <x:si>
    <x:t>ASSOCIACIÓ CULTURAL ELPARLANTE</x:t>
  </x:si>
  <x:si>
    <x:t>25254794</x:t>
  </x:si>
  <x:si>
    <x:t>INSTITUTO DE CULTURA DE BARCELONA</x:t>
  </x:si>
  <x:si>
    <x:t>Servicio de oficina técnica del programa Pantalla BDC en los centros cívicos de la ciudad de Barcelona.</x:t>
  </x:si>
  <x:si>
    <x:t>006_25001549</x:t>
  </x:si>
  <x:si>
    <x:t>Barcelona</x:t>
  </x:si>
  <x:si>
    <x:t>ECOGEO CONSULTORÍA MEDIOAMBIENTAL, S.L.U</x:t>
  </x:si>
  <x:si>
    <x:t>25255071</x:t>
  </x:si>
  <x:si>
    <x:t>DIRECCIÓN DE LA EMPRESA PARA LA GESTIÓN DE RESIDUOS INDUSTRIALES, S.A. (EMGRISA)</x:t>
  </x:si>
  <x:si>
    <x:t>Procedimiento abierto para la contratación de la prestación de los servicios para el desarrollo de los vuelos con dron, edición de video promocionales en obras de regadíos con lenguaje de signos y subtítulos para el Ministerio de Agricultura, Pesca y Alimentación.</x:t>
  </x:si>
  <x:si>
    <x:t>EMG 149-25</x:t>
  </x:si>
  <x:si>
    <x:t>Ver pliegos</x:t>
  </x:si>
  <x:si>
    <x:t>LOTE 3 LA PAELLA DE L'ISMA, SCP; LOTE 5 XAVI PIRRETAS MARTÍ; LOTE 6 CASA GAY, S.A.</x:t>
  </x:si>
  <x:si>
    <x:t>25255173</x:t>
  </x:si>
  <x:si>
    <x:t>UNIVERSITAT DE BARCELONA</x:t>
  </x:si>
  <x:si>
    <x:t>Provisión de servicios por las actividades de divulgación de la Unidad de Cultura Científica e Innovación (UCC+I) de la Universidad de Barcelona. Los lotes que se incluirían en este contrato son los siguientes: - Desayunos de pausas de jornadas y sesiones de formación, así como de reuniones de trabajo. - Desayunos del personal implicado en la realización de la Fiesta de la Ciencia de la Universidad de Barcelona. - Paella de la comida ofrecida al personal implicado en la realización de la Fiesta de la Ciencia de la Universidad de Barcelona. - Bebidas de la comida ofrecida al personal implicado en la realización de la Fiesta de la Ciencia de la Universidad de Barcelona. - Diseño gráfico y adaptaciones de los proyectos de la UCC+I. - Alquiler mobiliario de la Fiesta de la Ciencia. Lote 1 Desayunos de pausas de jornadas y sesiones de formación, así como de reuniones de trabajo. Lote 2 Desayunos del personal implicado en la realización de la Fiesta de la Ciencia. Lote 3 Paella de la comida ofrecida al personal implicado en la realización de la Fiesta de la Ciencia. Lote 4 Bebidas de la comida ofrecida al personal implicado en la realización de la Fiesta de la Ciencia. Lote 5 Diseño gráfico y adaptaciones de los proyectos de la UCC+I. Lote 6 Alquiler mobiliario de la Fiesta de la Ciencia</x:t>
  </x:si>
  <x:si>
    <x:t>2025/136</x:t>
  </x:si>
  <x:si>
    <x:t>LOTE 2 WE ARE VISUAL MAKERS SL</x:t>
  </x:si>
  <x:si>
    <x:t>25255217</x:t>
  </x:si>
  <x:si>
    <x:t>GENERALITAT DE CATALUNYA. DEPARTAMENTO DE EMPRESA Y TRABAJO</x:t>
  </x:si>
  <x:si>
    <x:t>El objeto del contrato es el diseño, producción, montaje, desmontaje y explotación del stand de la Generalidad de Cataluña en el MWC Barcelona 2026 (MWC en adelante), que está previsto que se celebre del 2 al 5 de marzo de 2026 en el recinto ferial de Barcelona Gran Via - L'Hospitalet de Llobregat y la conceptualización, diseño tendrá lugar en la zona expositiva del stand de la Generalidad de Cataluña en el MWC 2026.</x:t>
  </x:si>
  <x:si>
    <x:t>EMO-2026-10</x:t>
  </x:si>
  <x:si>
    <x:t>LOTE 3 TECNOPERPAL S.L.</x:t>
  </x:si>
  <x:si>
    <x:t>25255218</x:t>
  </x:si>
  <x:si>
    <x:t>AYUNTAMIENTO DEL VENDRELL (TARRAGONA)</x:t>
  </x:si>
  <x:si>
    <x:t>El objeto de este contrato es el servicio de: creación del “branding” de la nueva marca turística de El Vendrell, y diseño, maquetación, traducción e impresión de nuevos materiales divulgativos para realizar un marketing innovador y eficaz [LOT 1]; guionización, diseño, edición y realización y producción de materiales audiovisuales promocionales [LOT 2]; suministro e instalación de pantalla LED, su hardware de control y software de visualización [LOT 3]; y evolución y mejora del portal turístico “www.elvendrellturistic.com” [LOTE 4]</x:t>
  </x:si>
  <x:si>
    <x:t>GCON2025000018</x:t>
  </x:si>
  <x:si>
    <x:t>Tarragona</x:t>
  </x:si>
  <x:si>
    <x:t>TRANSFERÈNCIA DE RECURSOS AVANÇATS I NOUS SERVEIS SL</x:t>
  </x:si>
  <x:si>
    <x:t>25255219</x:t>
  </x:si>
  <x:si>
    <x:t>ENERGIES RENOVABLES PÚBLIQUES DE CATALUNYA, SA</x:t>
  </x:si>
  <x:si>
    <x:t>Servicios relativos al diseño gráfico de la página de inicio y otros contenidos de la web, el soporte y mantenimiento de la web, la gestión y administración de contenidos vigentes, la ejecución de proyectos con funcionalidades específicas y el alojamiento del servidor (hosting) por L'Energètica.</x:t>
  </x:si>
  <x:si>
    <x:t>ERPC-2025-74</x:t>
  </x:si>
  <x:si>
    <x:t>Catalunya</x:t>
  </x:si>
  <x:si>
    <x:t>LOTE 2 ZELIG COMUNICACIÓ SL</x:t>
  </x:si>
  <x:si>
    <x:t>25255229</x:t>
  </x:si>
  <x:si>
    <x:t>AYUNTAMIENTO DE GRANOLLERS (BARCELONA)</x:t>
  </x:si>
  <x:si>
    <x:t>La señalización física de los recursos turísticos, el servicio de la promoción turística y producción de recursos digitales vinculados al proyecto de rehabilitación y valorización de las murallas medievales de Granollers con el fin de mejorar la experiencia de la visita al patrimonio de las murallas de la ciudad de Granollers y potenciar el itinerario turístico y cultural. – Next Generation. Lote 1 Sistema de señalización física de los recursos turísticos. Lote 2 Servicio de promoción turística. Lote 3 Producción de recursos digitales de interpretación y difusión.</x:t>
  </x:si>
  <x:si>
    <x:t>2025/078 (75/2025/CONT)</x:t>
  </x:si>
  <x:si>
    <x:t>LOTE 2 INFOBIBLIOTECAS S.L.</x:t>
  </x:si>
  <x:si>
    <x:t>25255230</x:t>
  </x:si>
  <x:si>
    <x:t>Suministro de fondos documentales para la red urbana de bibliotecas de Granollers. • LOTE 1: Fondo de libros • LOTE 2: Fondo audiovisual • LOTE 3: Juegos de mesa</x:t>
  </x:si>
  <x:si>
    <x:t>2025/037 (45/2025/CONT)</x:t>
  </x:si>
  <x:si>
    <x:t>KLOUSNER SL</x:t>
  </x:si>
  <x:si>
    <x:t>25255317</x:t>
  </x:si>
  <x:si>
    <x:t>AYUNTAMIENTO DE BADALONA (BARCELONA)</x:t>
  </x:si>
  <x:si>
    <x:t>2025/51440P - Contrato de servicios de organización y realización del Mercado del Trasto</x:t>
  </x:si>
  <x:si>
    <x:t>2025/51440P</x:t>
  </x:si>
  <x:si>
    <x:t>MEDIA NEEDS SL</x:t>
  </x:si>
  <x:si>
    <x:t>25255334</x:t>
  </x:si>
  <x:si>
    <x:t>CONSELL COMARCAL DEL VALLÈS OCCIDENTAL (BARCELONA)</x:t>
  </x:si>
  <x:si>
    <x:t>El objeto del presente contrato es la promoción del producto turístico fruto del proyecto “El riu, teixint fils de vida” mediante elementos de identidad visual y su aplicación gráfica en el marco de una campaña de comunicación y publicidad online y offline para llevar a cabo la actuación 3.2. “Campaña de comunicación” del Eje 3 – Transición digital del proyecto PSTD la subvención del programa Planes de sostenibilidad turística en destinos y de toda la normativa derivada de la gestión en el marco del Plan de Recuperación, Transformación y Resiliencia financiado por la Unión Europea-NGEU.</x:t>
  </x:si>
  <x:si>
    <x:t>169/2025</x:t>
  </x:si>
  <x:si>
    <x:t>LOTE 2 D'ALEPH INICIATIVAS Y ORGANIZACIÓN, S.A.</x:t>
  </x:si>
  <x:si>
    <x:t>25255348</x:t>
  </x:si>
  <x:si>
    <x:t>REACTIVACIÓ BADALONA, SA</x:t>
  </x:si>
  <x:si>
    <x:t>"Producción de la 2a. Feria de Orientación Educativa de Badalona - 2026" de REACTIVACIÓN BADALONA, S.A., ubicado en la Calle de Marcus Porcius núm. 1, Polígono Les Guixeres, 08915, Badalona (Barcelona), con código de expediente PE197-25. Lote 1 Servicios de producción, logística y promoción de la Fira. Lote 2 Servicios de orientadores educativos.</x:t>
  </x:si>
  <x:si>
    <x:t>PE197-25</x:t>
  </x:si>
  <x:si>
    <x:t>FUNDACION DEL TEATRO REAL FSP</x:t>
  </x:si>
  <x:si>
    <x:t>25255425</x:t>
  </x:si>
  <x:si>
    <x:t>EMPRESA PÚBLICA PARA LA GESTIÓN DEL TURISMO Y EL DEPORTE DE ANDALUCÍA, S.A.</x:t>
  </x:si>
  <x:si>
    <x:t>Espacio para la celebración de un evento b2b en el marco de fitur 2026</x:t>
  </x:si>
  <x:si>
    <x:t>C2N07-06SK-1125-0196</x:t>
  </x:si>
  <x:si>
    <x:t>MELIA HOTELS INTERNATIONAL, S.A</x:t>
  </x:si>
  <x:si>
    <x:t>25255471</x:t>
  </x:si>
  <x:si>
    <x:t>MINISTERIO DE HACIENDA. JEFATURA DE UNIDAD DE MEDIOS INTERNOS -ÁREA DE COMPRAS DE LA COMPAÑÍA ESPAÑOLA DE SEGUROS DE CRÉDITO A LA EXPORTACIÓN S.A., S.M.E. (CESCE)</x:t>
  </x:si>
  <x:si>
    <x:t>Reunión coctel filiales Latam 5.11.2025</x:t>
  </x:si>
  <x:si>
    <x:t>F154-2025</x:t>
  </x:si>
  <x:si>
    <x:t>CIRCULO DE EMPRESARIOS DEL SUR DE ESPAÑA - CESUR</x:t>
  </x:si>
  <x:si>
    <x:t>25255514</x:t>
  </x:si>
  <x:si>
    <x:t>Patrocinio regulado en el artículo 26.1 c) de la ley 9/2017 de 8 de noviembre</x:t>
  </x:si>
  <x:si>
    <x:t>180-2025</x:t>
  </x:si>
  <x:si>
    <x:t>FIRA INTERNACIONAL DE BARCELONA</x:t>
  </x:si>
  <x:si>
    <x:t>25255528</x:t>
  </x:si>
  <x:si>
    <x:t>MINISTERIO DE AGRICULTURA, PESCA Y ALIMENTACIÓN. DIRECCIÓN GENERAL DE LA INDUSTRIA ALIMENTARIA</x:t>
  </x:si>
  <x:si>
    <x:t>Colaboración entre el MAPA Y FIRA INTERNACIONAL DE BARCELONA, para la realización de diferentes actuaciones en la feria internacional del Vino BARCELONA WINE WEEK 2026</x:t>
  </x:si>
  <x:si>
    <x:t>202505100675</x:t>
  </x:si>
  <x:si>
    <x:t>MIRARTE ARTE PARA TODOS S.L.</x:t>
  </x:si>
  <x:si>
    <x:t>25255618</x:t>
  </x:si>
  <x:si>
    <x:t>BANCO DE ESPAÑA</x:t>
  </x:si>
  <x:si>
    <x:t>Servicio de organización y desarrollo de mediación cultural para la exposición “Alegorías de un porvenir”</x:t>
  </x:si>
  <x:si>
    <x:t>LIC-10548</x:t>
  </x:si>
  <x:si>
    <x:t>ASOCIACION DE MARCAS RENOMBRADAS ESPAÑOLAS</x:t>
  </x:si>
  <x:si>
    <x:t>25255623</x:t>
  </x:si>
  <x:si>
    <x:t>JEFATURA DE UNIDAD DE MEDIOS INTERNOS -ÁREA DE COMPRAS DE LA COMPAÑÍA ESPAÑOLA DE SEGUROS DE CRÉDITO A LA EXPORTACIÓN S.A., S.M.E. (CESCE)</x:t>
  </x:si>
  <x:si>
    <x:t>Publicidad FMRE (revista y anuario)</x:t>
  </x:si>
  <x:si>
    <x:t>F162-2025</x:t>
  </x:si>
  <x:si>
    <x:t>Desierto</x:t>
  </x:si>
  <x:si>
    <x:t>DESIERTO</x:t>
  </x:si>
  <x:si>
    <x:t>25255721</x:t>
  </x:si>
  <x:si>
    <x:t>MINISTERIO DE CULTURA. DIRECCIÓN GENERAL DEL INSTITUTO NACIONAL DE LAS ARTES ESCÉNICAS Y DE LA MÚSICA</x:t>
  </x:si>
  <x:si>
    <x:t>UADG - Comisariado artístico para la Cuatrienal de Praga, en el marco del convenio entre el INAEM, Acción Cultural, la AECID, la Comunidad de Madrid, la RESAD y el Instituto Cervantes para la organización de la participación de España en la decimosexta edición de la Cuatrienal de Praga.</x:t>
  </x:si>
  <x:si>
    <x:t>2025NAC00025</x:t>
  </x:si>
  <x:si>
    <x:t>República Checa</x:t>
  </x:si>
  <x:si>
    <x:t>25255831</x:t>
  </x:si>
  <x:si>
    <x:t>MINISTERIO DEL INTERIOR. DIRECCIÓN GENERAL DE LA GUARDIA CIVIL</x:t>
  </x:si>
  <x:si>
    <x:t>La renovación de las suscripciones de un software de redes sociales, herramienta de análisis visual cuya funcionalidad permite convertir los datos en inteligencia, proporcionando características como visualizaciones de redes conectadas, análisis de redes sociales y vistas temporales y geoespaciales para cubrir conexiones y patrones ocultos. LOTE 4 - Software de ciberseguridad</x:t>
  </x:si>
  <x:si>
    <x:t>I/0341/B/24/2</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</x:si>
</x:sst>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HYPERLINK("https://www.infonalia.es/adjudicaciones1225/25254686.pdf","www.infonalia.es/adjudicaciones1225/25254686.pdf")</x:f>
        <x:v>www.infonalia.es/adjudicaciones1225/25254686.pdf</x:v>
      </x:c>
      <x:c r="E2" s="8" t="s">
        <x:v>14</x:v>
      </x:c>
      <x:c r="F2" s="6" t="s">
        <x:v>15</x:v>
      </x:c>
      <x:c r="G2" s="6" t="s">
        <x:v>16</x:v>
      </x:c>
      <x:c r="H2" s="6" t="s">
        <x:v>17</x:v>
      </x:c>
      <x:c r="I2" s="6" t="s">
        <x:v>18</x:v>
      </x:c>
      <x:c r="J2" s="9" t="n">
        <x:v>22346.13</x:v>
      </x:c>
      <x:c r="K2" s="9" t="n">
        <x:v>22346.13</x:v>
      </x:c>
    </x:row>
    <x:row r="3">
      <x:c r="A3" s="6" t="s">
        <x:v>19</x:v>
      </x:c>
      <x:c r="B3" s="6" t="s">
        <x:v>20</x:v>
      </x:c>
      <x:c r="C3" s="6" t="s">
        <x:v>13</x:v>
      </x:c>
      <x:c r="D3" s="7" t="str">
        <x:f xml:space="preserve">HYPERLINK("https://www.infonalia.es/adjudicaciones1225/25254790.pdf","www.infonalia.es/adjudicaciones1225/25254790.pdf")</x:f>
        <x:v>www.infonalia.es/adjudicaciones1225/25254790.pdf</x:v>
      </x:c>
      <x:c r="E3" s="8" t="s">
        <x:v>21</x:v>
      </x:c>
      <x:c r="F3" s="6" t="s">
        <x:v>22</x:v>
      </x:c>
      <x:c r="G3" s="6" t="s">
        <x:v>23</x:v>
      </x:c>
      <x:c r="H3" s="6" t="s">
        <x:v>24</x:v>
      </x:c>
      <x:c r="I3" s="6" t="s">
        <x:v>25</x:v>
      </x:c>
      <x:c r="J3" s="9" t="s">
        <x:v>26</x:v>
      </x:c>
      <x:c r="K3" s="9" t="n">
        <x:v>183964.96</x:v>
      </x:c>
    </x:row>
    <x:row r="4">
      <x:c r="A4" s="6" t="s">
        <x:v>11</x:v>
      </x:c>
      <x:c r="B4" s="6" t="s">
        <x:v>27</x:v>
      </x:c>
      <x:c r="C4" s="6" t="s">
        <x:v>13</x:v>
      </x:c>
      <x:c r="D4" s="7" t="str">
        <x:f xml:space="preserve">HYPERLINK("https://www.infonalia.es/adjudicaciones1225/25254794.pdf","www.infonalia.es/adjudicaciones1225/25254794.pdf")</x:f>
        <x:v>www.infonalia.es/adjudicaciones1225/25254794.pdf</x:v>
      </x:c>
      <x:c r="E4" s="8" t="s">
        <x:v>28</x:v>
      </x:c>
      <x:c r="F4" s="6" t="s">
        <x:v>29</x:v>
      </x:c>
      <x:c r="G4" s="6" t="s">
        <x:v>30</x:v>
      </x:c>
      <x:c r="H4" s="6" t="s">
        <x:v>31</x:v>
      </x:c>
      <x:c r="I4" s="6" t="s">
        <x:v>32</x:v>
      </x:c>
      <x:c r="J4" s="9" t="n">
        <x:v>346339.95</x:v>
      </x:c>
      <x:c r="K4" s="9" t="n">
        <x:v>364007.22</x:v>
      </x:c>
    </x:row>
    <x:row r="5">
      <x:c r="A5" s="6" t="s">
        <x:v>11</x:v>
      </x:c>
      <x:c r="B5" s="6" t="s">
        <x:v>33</x:v>
      </x:c>
      <x:c r="C5" s="6" t="s">
        <x:v>13</x:v>
      </x:c>
      <x:c r="D5" s="7" t="str">
        <x:f xml:space="preserve">HYPERLINK("https://www.infonalia.es/adjudicaciones1225/25255071.pdf","www.infonalia.es/adjudicaciones1225/25255071.pdf")</x:f>
        <x:v>www.infonalia.es/adjudicaciones1225/25255071.pdf</x:v>
      </x:c>
      <x:c r="E5" s="8" t="s">
        <x:v>34</x:v>
      </x:c>
      <x:c r="F5" s="6" t="s">
        <x:v>35</x:v>
      </x:c>
      <x:c r="G5" s="6" t="s">
        <x:v>36</x:v>
      </x:c>
      <x:c r="H5" s="6" t="s">
        <x:v>37</x:v>
      </x:c>
      <x:c r="I5" s="6" t="s">
        <x:v>38</x:v>
      </x:c>
      <x:c r="J5" s="9" t="n">
        <x:v>3820.40</x:v>
      </x:c>
      <x:c r="K5" s="9" t="n">
        <x:v>5457.72</x:v>
      </x:c>
    </x:row>
    <x:row r="6">
      <x:c r="A6" s="6" t="s">
        <x:v>11</x:v>
      </x:c>
      <x:c r="B6" s="6" t="s">
        <x:v>39</x:v>
      </x:c>
      <x:c r="C6" s="6" t="s">
        <x:v>13</x:v>
      </x:c>
      <x:c r="D6" s="7" t="str">
        <x:f xml:space="preserve">HYPERLINK("https://www.infonalia.es/adjudicaciones1225/25255173.pdf","www.infonalia.es/adjudicaciones1225/25255173.pdf")</x:f>
        <x:v>www.infonalia.es/adjudicaciones1225/25255173.pdf</x:v>
      </x:c>
      <x:c r="E6" s="8" t="s">
        <x:v>40</x:v>
      </x:c>
      <x:c r="F6" s="6" t="s">
        <x:v>41</x:v>
      </x:c>
      <x:c r="G6" s="6" t="s">
        <x:v>42</x:v>
      </x:c>
      <x:c r="H6" s="6" t="s">
        <x:v>43</x:v>
      </x:c>
      <x:c r="I6" s="6" t="s">
        <x:v>32</x:v>
      </x:c>
      <x:c r="J6" s="9" t="s">
        <x:v>26</x:v>
      </x:c>
      <x:c r="K6" s="9" t="n">
        <x:v>26450.00</x:v>
      </x:c>
    </x:row>
    <x:row r="7">
      <x:c r="A7" s="6" t="s">
        <x:v>11</x:v>
      </x:c>
      <x:c r="B7" s="6" t="s">
        <x:v>44</x:v>
      </x:c>
      <x:c r="C7" s="6" t="s">
        <x:v>13</x:v>
      </x:c>
      <x:c r="D7" s="7" t="str">
        <x:f xml:space="preserve">HYPERLINK("https://www.infonalia.es/adjudicaciones1225/25255217.pdf","www.infonalia.es/adjudicaciones1225/25255217.pdf")</x:f>
        <x:v>www.infonalia.es/adjudicaciones1225/25255217.pdf</x:v>
      </x:c>
      <x:c r="E7" s="8" t="s">
        <x:v>45</x:v>
      </x:c>
      <x:c r="F7" s="6" t="s">
        <x:v>46</x:v>
      </x:c>
      <x:c r="G7" s="6" t="s">
        <x:v>47</x:v>
      </x:c>
      <x:c r="H7" s="6" t="s">
        <x:v>48</x:v>
      </x:c>
      <x:c r="I7" s="6" t="s">
        <x:v>32</x:v>
      </x:c>
      <x:c r="J7" s="9" t="n">
        <x:v>226000.00</x:v>
      </x:c>
      <x:c r="K7" s="9" t="n">
        <x:v>570010.34</x:v>
      </x:c>
    </x:row>
    <x:row r="8">
      <x:c r="A8" s="6" t="s">
        <x:v>19</x:v>
      </x:c>
      <x:c r="B8" s="6" t="s">
        <x:v>49</x:v>
      </x:c>
      <x:c r="C8" s="6" t="s">
        <x:v>13</x:v>
      </x:c>
      <x:c r="D8" s="7" t="str">
        <x:f xml:space="preserve">HYPERLINK("https://www.infonalia.es/adjudicaciones1225/25255218.pdf","www.infonalia.es/adjudicaciones1225/25255218.pdf")</x:f>
        <x:v>www.infonalia.es/adjudicaciones1225/25255218.pdf</x:v>
      </x:c>
      <x:c r="E8" s="8" t="s">
        <x:v>50</x:v>
      </x:c>
      <x:c r="F8" s="6" t="s">
        <x:v>51</x:v>
      </x:c>
      <x:c r="G8" s="6" t="s">
        <x:v>52</x:v>
      </x:c>
      <x:c r="H8" s="6" t="s">
        <x:v>53</x:v>
      </x:c>
      <x:c r="I8" s="6" t="s">
        <x:v>54</x:v>
      </x:c>
      <x:c r="J8" s="9" t="n">
        <x:v>18860.00</x:v>
      </x:c>
      <x:c r="K8" s="9" t="n">
        <x:v>103747.27</x:v>
      </x:c>
    </x:row>
    <x:row r="9">
      <x:c r="A9" s="6" t="s">
        <x:v>11</x:v>
      </x:c>
      <x:c r="B9" s="6" t="s">
        <x:v>55</x:v>
      </x:c>
      <x:c r="C9" s="6" t="s">
        <x:v>13</x:v>
      </x:c>
      <x:c r="D9" s="7" t="str">
        <x:f xml:space="preserve">HYPERLINK("https://www.infonalia.es/adjudicaciones1225/25255219.pdf","www.infonalia.es/adjudicaciones1225/25255219.pdf")</x:f>
        <x:v>www.infonalia.es/adjudicaciones1225/25255219.pdf</x:v>
      </x:c>
      <x:c r="E9" s="8" t="s">
        <x:v>56</x:v>
      </x:c>
      <x:c r="F9" s="6" t="s">
        <x:v>57</x:v>
      </x:c>
      <x:c r="G9" s="6" t="s">
        <x:v>58</x:v>
      </x:c>
      <x:c r="H9" s="6" t="s">
        <x:v>59</x:v>
      </x:c>
      <x:c r="I9" s="6" t="s">
        <x:v>60</x:v>
      </x:c>
      <x:c r="J9" s="9" t="n">
        <x:v>56822.80</x:v>
      </x:c>
      <x:c r="K9" s="9" t="n">
        <x:v>59400.00</x:v>
      </x:c>
    </x:row>
    <x:row r="10">
      <x:c r="A10" s="6" t="s">
        <x:v>11</x:v>
      </x:c>
      <x:c r="B10" s="6" t="s">
        <x:v>61</x:v>
      </x:c>
      <x:c r="C10" s="6" t="s">
        <x:v>13</x:v>
      </x:c>
      <x:c r="D10" s="7" t="str">
        <x:f xml:space="preserve">HYPERLINK("https://www.infonalia.es/adjudicaciones1225/25255229.pdf","www.infonalia.es/adjudicaciones1225/25255229.pdf")</x:f>
        <x:v>www.infonalia.es/adjudicaciones1225/25255229.pdf</x:v>
      </x:c>
      <x:c r="E10" s="8" t="s">
        <x:v>62</x:v>
      </x:c>
      <x:c r="F10" s="6" t="s">
        <x:v>63</x:v>
      </x:c>
      <x:c r="G10" s="6" t="s">
        <x:v>64</x:v>
      </x:c>
      <x:c r="H10" s="6" t="s">
        <x:v>65</x:v>
      </x:c>
      <x:c r="I10" s="6" t="s">
        <x:v>32</x:v>
      </x:c>
      <x:c r="J10" s="9" t="n">
        <x:v>32000.00</x:v>
      </x:c>
      <x:c r="K10" s="9" t="n">
        <x:v>82600.00</x:v>
      </x:c>
    </x:row>
    <x:row r="11">
      <x:c r="A11" s="6" t="s">
        <x:v>19</x:v>
      </x:c>
      <x:c r="B11" s="6" t="s">
        <x:v>66</x:v>
      </x:c>
      <x:c r="C11" s="6" t="s">
        <x:v>13</x:v>
      </x:c>
      <x:c r="D11" s="7" t="str">
        <x:f xml:space="preserve">HYPERLINK("https://www.infonalia.es/adjudicaciones1225/25255230.pdf","www.infonalia.es/adjudicaciones1225/25255230.pdf")</x:f>
        <x:v>www.infonalia.es/adjudicaciones1225/25255230.pdf</x:v>
      </x:c>
      <x:c r="E11" s="8" t="s">
        <x:v>67</x:v>
      </x:c>
      <x:c r="F11" s="6" t="s">
        <x:v>63</x:v>
      </x:c>
      <x:c r="G11" s="6" t="s">
        <x:v>68</x:v>
      </x:c>
      <x:c r="H11" s="6" t="s">
        <x:v>69</x:v>
      </x:c>
      <x:c r="I11" s="6" t="s">
        <x:v>32</x:v>
      </x:c>
      <x:c r="J11" s="9" t="n">
        <x:v>4132.24</x:v>
      </x:c>
      <x:c r="K11" s="9" t="n">
        <x:v>69802.93</x:v>
      </x:c>
    </x:row>
    <x:row r="12">
      <x:c r="A12" s="6" t="s">
        <x:v>11</x:v>
      </x:c>
      <x:c r="B12" s="6" t="s">
        <x:v>70</x:v>
      </x:c>
      <x:c r="C12" s="6" t="s">
        <x:v>13</x:v>
      </x:c>
      <x:c r="D12" s="7" t="str">
        <x:f xml:space="preserve">HYPERLINK("https://www.infonalia.es/adjudicaciones1225/25255317.pdf","www.infonalia.es/adjudicaciones1225/25255317.pdf")</x:f>
        <x:v>www.infonalia.es/adjudicaciones1225/25255317.pdf</x:v>
      </x:c>
      <x:c r="E12" s="8" t="s">
        <x:v>71</x:v>
      </x:c>
      <x:c r="F12" s="6" t="s">
        <x:v>72</x:v>
      </x:c>
      <x:c r="G12" s="6" t="s">
        <x:v>73</x:v>
      </x:c>
      <x:c r="H12" s="6" t="s">
        <x:v>74</x:v>
      </x:c>
      <x:c r="I12" s="6" t="s">
        <x:v>32</x:v>
      </x:c>
      <x:c r="J12" s="9" t="n">
        <x:v>22407.42</x:v>
      </x:c>
      <x:c r="K12" s="9" t="n">
        <x:v>28000.00</x:v>
      </x:c>
    </x:row>
    <x:row r="13">
      <x:c r="A13" s="6" t="s">
        <x:v>11</x:v>
      </x:c>
      <x:c r="B13" s="6" t="s">
        <x:v>75</x:v>
      </x:c>
      <x:c r="C13" s="6" t="s">
        <x:v>13</x:v>
      </x:c>
      <x:c r="D13" s="7" t="str">
        <x:f xml:space="preserve">HYPERLINK("https://www.infonalia.es/adjudicaciones1225/25255334.pdf","www.infonalia.es/adjudicaciones1225/25255334.pdf")</x:f>
        <x:v>www.infonalia.es/adjudicaciones1225/25255334.pdf</x:v>
      </x:c>
      <x:c r="E13" s="8" t="s">
        <x:v>76</x:v>
      </x:c>
      <x:c r="F13" s="6" t="s">
        <x:v>77</x:v>
      </x:c>
      <x:c r="G13" s="6" t="s">
        <x:v>78</x:v>
      </x:c>
      <x:c r="H13" s="6" t="s">
        <x:v>79</x:v>
      </x:c>
      <x:c r="I13" s="6" t="s">
        <x:v>32</x:v>
      </x:c>
      <x:c r="J13" s="9" t="n">
        <x:v>15299.00</x:v>
      </x:c>
      <x:c r="K13" s="9" t="n">
        <x:v>25975.74</x:v>
      </x:c>
    </x:row>
    <x:row r="14">
      <x:c r="A14" s="6" t="s">
        <x:v>11</x:v>
      </x:c>
      <x:c r="B14" s="6" t="s">
        <x:v>80</x:v>
      </x:c>
      <x:c r="C14" s="6" t="s">
        <x:v>13</x:v>
      </x:c>
      <x:c r="D14" s="7" t="str">
        <x:f xml:space="preserve">HYPERLINK("https://www.infonalia.es/adjudicaciones1225/25255348.pdf","www.infonalia.es/adjudicaciones1225/25255348.pdf")</x:f>
        <x:v>www.infonalia.es/adjudicaciones1225/25255348.pdf</x:v>
      </x:c>
      <x:c r="E14" s="8" t="s">
        <x:v>81</x:v>
      </x:c>
      <x:c r="F14" s="6" t="s">
        <x:v>82</x:v>
      </x:c>
      <x:c r="G14" s="6" t="s">
        <x:v>83</x:v>
      </x:c>
      <x:c r="H14" s="6" t="s">
        <x:v>84</x:v>
      </x:c>
      <x:c r="I14" s="6" t="s">
        <x:v>32</x:v>
      </x:c>
      <x:c r="J14" s="9" t="n">
        <x:v>3993.00</x:v>
      </x:c>
      <x:c r="K14" s="9" t="n">
        <x:v>58900.00</x:v>
      </x:c>
    </x:row>
    <x:row r="15">
      <x:c r="A15" s="6" t="s">
        <x:v>11</x:v>
      </x:c>
      <x:c r="B15" s="6" t="s">
        <x:v>85</x:v>
      </x:c>
      <x:c r="C15" s="6" t="s">
        <x:v>13</x:v>
      </x:c>
      <x:c r="D15" s="7" t="str">
        <x:f xml:space="preserve">HYPERLINK("https://www.infonalia.es/adjudicaciones1225/25255425.pdf","www.infonalia.es/adjudicaciones1225/25255425.pdf")</x:f>
        <x:v>www.infonalia.es/adjudicaciones1225/25255425.pdf</x:v>
      </x:c>
      <x:c r="E15" s="8" t="s">
        <x:v>86</x:v>
      </x:c>
      <x:c r="F15" s="6" t="s">
        <x:v>87</x:v>
      </x:c>
      <x:c r="G15" s="6" t="s">
        <x:v>88</x:v>
      </x:c>
      <x:c r="H15" s="6" t="s">
        <x:v>89</x:v>
      </x:c>
      <x:c r="I15" s="6" t="s">
        <x:v>18</x:v>
      </x:c>
      <x:c r="J15" s="9" t="n">
        <x:v>28808.00</x:v>
      </x:c>
      <x:c r="K15" s="9" t="n">
        <x:v>28808.00</x:v>
      </x:c>
    </x:row>
    <x:row r="16">
      <x:c r="A16" s="6" t="s">
        <x:v>11</x:v>
      </x:c>
      <x:c r="B16" s="6" t="s">
        <x:v>90</x:v>
      </x:c>
      <x:c r="C16" s="6" t="s">
        <x:v>13</x:v>
      </x:c>
      <x:c r="D16" s="7" t="str">
        <x:f xml:space="preserve">HYPERLINK("https://www.infonalia.es/adjudicaciones1225/25255471.pdf","www.infonalia.es/adjudicaciones1225/25255471.pdf")</x:f>
        <x:v>www.infonalia.es/adjudicaciones1225/25255471.pdf</x:v>
      </x:c>
      <x:c r="E16" s="8" t="s">
        <x:v>91</x:v>
      </x:c>
      <x:c r="F16" s="6" t="s">
        <x:v>92</x:v>
      </x:c>
      <x:c r="G16" s="6" t="s">
        <x:v>93</x:v>
      </x:c>
      <x:c r="H16" s="6" t="s">
        <x:v>94</x:v>
      </x:c>
      <x:c r="I16" s="6" t="s">
        <x:v>18</x:v>
      </x:c>
      <x:c r="J16" s="9" t="n">
        <x:v>2659.09</x:v>
      </x:c>
      <x:c r="K16" s="9" t="n">
        <x:v>2659.09</x:v>
      </x:c>
    </x:row>
    <x:row r="17">
      <x:c r="A17" s="6" t="s">
        <x:v>11</x:v>
      </x:c>
      <x:c r="B17" s="6" t="s">
        <x:v>95</x:v>
      </x:c>
      <x:c r="C17" s="6" t="s">
        <x:v>13</x:v>
      </x:c>
      <x:c r="D17" s="7" t="str">
        <x:f xml:space="preserve">HYPERLINK("https://www.infonalia.es/adjudicaciones1225/25255514.pdf","www.infonalia.es/adjudicaciones1225/25255514.pdf")</x:f>
        <x:v>www.infonalia.es/adjudicaciones1225/25255514.pdf</x:v>
      </x:c>
      <x:c r="E17" s="8" t="s">
        <x:v>96</x:v>
      </x:c>
      <x:c r="F17" s="6" t="s">
        <x:v>92</x:v>
      </x:c>
      <x:c r="G17" s="6" t="s">
        <x:v>97</x:v>
      </x:c>
      <x:c r="H17" s="6" t="s">
        <x:v>98</x:v>
      </x:c>
      <x:c r="I17" s="6" t="s">
        <x:v>18</x:v>
      </x:c>
      <x:c r="J17" s="9" t="n">
        <x:v>6000.00</x:v>
      </x:c>
      <x:c r="K17" s="9" t="n">
        <x:v>6000.00</x:v>
      </x:c>
    </x:row>
    <x:row r="18">
      <x:c r="A18" s="6" t="s">
        <x:v>11</x:v>
      </x:c>
      <x:c r="B18" s="6" t="s">
        <x:v>99</x:v>
      </x:c>
      <x:c r="C18" s="6" t="s">
        <x:v>13</x:v>
      </x:c>
      <x:c r="D18" s="7" t="str">
        <x:f xml:space="preserve">HYPERLINK("https://www.infonalia.es/adjudicaciones1225/25255528.pdf","www.infonalia.es/adjudicaciones1225/25255528.pdf")</x:f>
        <x:v>www.infonalia.es/adjudicaciones1225/25255528.pdf</x:v>
      </x:c>
      <x:c r="E18" s="8" t="s">
        <x:v>100</x:v>
      </x:c>
      <x:c r="F18" s="6" t="s">
        <x:v>101</x:v>
      </x:c>
      <x:c r="G18" s="6" t="s">
        <x:v>102</x:v>
      </x:c>
      <x:c r="H18" s="6" t="s">
        <x:v>103</x:v>
      </x:c>
      <x:c r="I18" s="6" t="s">
        <x:v>32</x:v>
      </x:c>
      <x:c r="J18" s="9" t="n">
        <x:v>22279.00</x:v>
      </x:c>
      <x:c r="K18" s="9" t="n">
        <x:v>22279.00</x:v>
      </x:c>
    </x:row>
    <x:row r="19">
      <x:c r="A19" s="6" t="s">
        <x:v>11</x:v>
      </x:c>
      <x:c r="B19" s="6" t="s">
        <x:v>104</x:v>
      </x:c>
      <x:c r="C19" s="6" t="s">
        <x:v>13</x:v>
      </x:c>
      <x:c r="D19" s="7" t="str">
        <x:f xml:space="preserve">HYPERLINK("https://www.infonalia.es/adjudicaciones1225/25255618.pdf","www.infonalia.es/adjudicaciones1225/25255618.pdf")</x:f>
        <x:v>www.infonalia.es/adjudicaciones1225/25255618.pdf</x:v>
      </x:c>
      <x:c r="E19" s="8" t="s">
        <x:v>105</x:v>
      </x:c>
      <x:c r="F19" s="6" t="s">
        <x:v>106</x:v>
      </x:c>
      <x:c r="G19" s="6" t="s">
        <x:v>107</x:v>
      </x:c>
      <x:c r="H19" s="6" t="s">
        <x:v>108</x:v>
      </x:c>
      <x:c r="I19" s="6" t="s">
        <x:v>18</x:v>
      </x:c>
      <x:c r="J19" s="9" t="n">
        <x:v>6200.00</x:v>
      </x:c>
      <x:c r="K19" s="9" t="n">
        <x:v>6200.00</x:v>
      </x:c>
    </x:row>
    <x:row r="20">
      <x:c r="A20" s="6" t="s">
        <x:v>11</x:v>
      </x:c>
      <x:c r="B20" s="6" t="s">
        <x:v>109</x:v>
      </x:c>
      <x:c r="C20" s="6" t="s">
        <x:v>13</x:v>
      </x:c>
      <x:c r="D20" s="7" t="str">
        <x:f xml:space="preserve">HYPERLINK("https://www.infonalia.es/adjudicaciones1225/25255623.pdf","www.infonalia.es/adjudicaciones1225/25255623.pdf")</x:f>
        <x:v>www.infonalia.es/adjudicaciones1225/25255623.pdf</x:v>
      </x:c>
      <x:c r="E20" s="8" t="s">
        <x:v>110</x:v>
      </x:c>
      <x:c r="F20" s="6" t="s">
        <x:v>111</x:v>
      </x:c>
      <x:c r="G20" s="6" t="s">
        <x:v>112</x:v>
      </x:c>
      <x:c r="H20" s="6" t="s">
        <x:v>113</x:v>
      </x:c>
      <x:c r="I20" s="6" t="s">
        <x:v>18</x:v>
      </x:c>
      <x:c r="J20" s="9" t="n">
        <x:v>3000.00</x:v>
      </x:c>
      <x:c r="K20" s="9" t="n">
        <x:v>3000.00</x:v>
      </x:c>
    </x:row>
    <x:row r="21">
      <x:c r="A21" s="6" t="s">
        <x:v>114</x:v>
      </x:c>
      <x:c r="B21" s="6" t="s">
        <x:v>115</x:v>
      </x:c>
      <x:c r="C21" s="6" t="s">
        <x:v>13</x:v>
      </x:c>
      <x:c r="D21" s="7" t="str">
        <x:f xml:space="preserve">HYPERLINK("https://www.infonalia.es/adjudicaciones1225/25255721.pdf","www.infonalia.es/adjudicaciones1225/25255721.pdf")</x:f>
        <x:v>www.infonalia.es/adjudicaciones1225/25255721.pdf</x:v>
      </x:c>
      <x:c r="E21" s="8" t="s">
        <x:v>116</x:v>
      </x:c>
      <x:c r="F21" s="6" t="s">
        <x:v>117</x:v>
      </x:c>
      <x:c r="G21" s="6" t="s">
        <x:v>118</x:v>
      </x:c>
      <x:c r="H21" s="6" t="s">
        <x:v>119</x:v>
      </x:c>
      <x:c r="I21" s="6" t="s">
        <x:v>120</x:v>
      </x:c>
      <x:c r="J21" s="9" t="s">
        <x:v>26</x:v>
      </x:c>
      <x:c r="K21" s="9" t="n">
        <x:v>33057.85</x:v>
      </x:c>
    </x:row>
    <x:row r="22">
      <x:c r="A22" s="6" t="s">
        <x:v>114</x:v>
      </x:c>
      <x:c r="B22" s="6" t="s">
        <x:v>115</x:v>
      </x:c>
      <x:c r="C22" s="6" t="s">
        <x:v>13</x:v>
      </x:c>
      <x:c r="D22" s="7" t="str">
        <x:f xml:space="preserve">HYPERLINK("https://www.infonalia.es/adjudicaciones1225/25255831.pdf","www.infonalia.es/adjudicaciones1225/25255831.pdf")</x:f>
        <x:v>www.infonalia.es/adjudicaciones1225/25255831.pdf</x:v>
      </x:c>
      <x:c r="E22" s="8" t="s">
        <x:v>121</x:v>
      </x:c>
      <x:c r="F22" s="6" t="s">
        <x:v>122</x:v>
      </x:c>
      <x:c r="G22" s="6" t="s">
        <x:v>123</x:v>
      </x:c>
      <x:c r="H22" s="6" t="s">
        <x:v>124</x:v>
      </x:c>
      <x:c r="I22" s="6" t="s">
        <x:v>18</x:v>
      </x:c>
      <x:c r="J22" s="9" t="s">
        <x:v>26</x:v>
      </x:c>
      <x:c r="K22" s="9" t="n">
        <x:v>34902.88</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