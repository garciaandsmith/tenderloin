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<x:sst xmlns:x="http://schemas.openxmlformats.org/spreadsheetml/2006/main" count="6" uniqueCount="6">
  <x:si>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</x:si>
  <x:si>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</x:si>
  <x:si>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</x:si>
  <x:si>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</x:si>
  <x:si>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</x:si>
  <x:si>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</x:si>
  <x:si>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2025168663</x:t>
  </x:si>
  <x:si>
    <x:t>Aclaración / Ampliación de pliegos</x:t>
  </x:si>
  <x:si>
    <x:t>INSTITUTO DE CULTURA DE BARCELONA</x:t>
  </x:si>
  <x:si>
    <x:t>Servicios de oficina de producción técnica, artística y logística para la gestión de las actividades del Disseny Hub Barcelona.</x:t>
  </x:si>
  <x:si>
    <x:t>2025173271</x:t>
  </x:si>
  <x:si>
    <x:t>INSTITUTO MUNICIPAL PARQUES Y JARDINES DE BARCELONA</x:t>
  </x:si>
  <x:si>
    <x:t>Patrocinio por el 52º Congreso de la Asociación Española de Parques y Jardines Públicos en Barcelona en 2026</x:t>
  </x:si>
  <x:si>
    <x:t>2025175565</x:t>
  </x:si>
  <x:si>
    <x:t>PROMOTORA D'EXPORTACIONS CATALANES, SA (PRODECA)</x:t>
  </x:si>
  <x:si>
    <x:t>Acuerdo Marco para homologar un conjunto de profesionales y/o empresas para prestar los servicios de marketing y promoción comercial internacional de Prodeca en los mercados de África en el norte del Sáhara (Lote 1), África en el Sur del Sáhara (Lote 2), América Latina (Lote 3), Asia Oriental (Lote 4), Estados Unidos y Canadá (Lote 5), Gran China (Lote 6), India y Pakistán (Lote 7), Mercados europeos (Lote 8), Oriente Medio (Lote 9) y sureste asiático (Lote 10).</x:t>
  </x:si>
  <x:si>
    <x:t>2025176466</x:t>
  </x:si>
  <x:si>
    <x:t>FUNDACIÓ TECNOCAMPUS MATARÓ-MARESME</x:t>
  </x:si>
  <x:si>
    <x:t>El objeto del contrato consiste en la prestación de un servicio de acompañamiento en la configuración, optimización técnica, explotación de datos y toma de decisiones de marketing por las áreas del TecnoCampus que utilizan este SaaS. Por otra parte, la empresa adjudicataria deberá proveer de una licencia Active Campaign a la Fundación TecnoCampus con los términos descritos en el pliego técnico. En este sentido, la empresa realizará el pago de la plataforma en Active Campaign de acuerdo con la pauta de facturación de Fundación TecnoCampus. Éste es pues un contrato de consultoría y acompañamiento en la implementación, con una externalización en el pago de la plataforma. No es una externalización total en la gestión del SaaS, sino un acompañamiento y dictamen de propuestas innovadoras para que el TecnoCampus lo ponga en marcha y confíe en la supervisión de todas las acciones en la empresa adjudicataria</x:t>
  </x:si>
  <x:si>
    <x:t>2025181174</x:t>
  </x:si>
  <x:si>
    <x:t>GENERALITAT DE CATALUNYA. DEPARTAMENTO DE CULTURA</x:t>
  </x:si>
  <x:si>
    <x:t>Suministro de los elementos expositivos y montaje de la exposición "El archivero Duran, ideólogo de la archivística catalana", que tendrá lugar entre el 18 de marzo y el 13 de junio de 2026 en el Archivo Nacional de Cataluña</x:t>
  </x:si>
  <x:si>
    <x:t>2025181175</x:t>
  </x:si>
  <x:si>
    <x:t>FUNDACIÓ BARCELONA MOBILE WORLD CAPITAL FOUNDATION</x:t>
  </x:si>
  <x:si>
    <x:t>Servicio integral de adaptación del diseño, producción ejecutiva, montaje y desmontaje, coordinación técnica y gestión operativa de espacios específicos en el marco del congreso internacional de derechos digitales 2026 impulsado por fundación barcelona mobile world capital foundation</x:t>
  </x:si>
  <x:si>
    <x:t>2025181183</x:t>
  </x:si>
  <x:si>
    <x:t>FUNDACIÓ DE RECERCA CLÍNIC BARCELONA - INSTITUT D'INVESTIGACIONS BIOMÈDIQUES AUGUST PI I SUNYER</x:t>
  </x:si>
  <x:si>
    <x:t>F25.061S - Servicio de difusión y divulgación científica para el proyecto de investigación RETOS245779LLOV de la AECC del grupo de investigación "Investigación traslacional en oncología hepática", en función de las necesidades, de Fundación de Investigación Clínico Barcelona – Instituto de Investigaciones Biomédicas August Pi i Sunyer</x:t>
  </x:si>
  <x:si>
    <x:t>2025181234</x:t>
  </x:si>
  <x:si>
    <x:t>FERROCARRIL METROPOLITÀ DE BARCELONA, SA</x:t>
  </x:si>
  <x:si>
    <x:t>Concesión de servicios para la comercialización de productos y servicios de fotografía</x:t>
  </x:si>
  <x:si>
    <x:t>2025181270</x:t>
  </x:si>
  <x:si>
    <x:t>SERVICIO CATALÁN DE LA SALUD (CATSALUT). DIVISIÓN DE CONTRATACIÓN DEL ÁREA ECONÓMICA Y DE INVERSIONES</x:t>
  </x:si>
  <x:si>
    <x:t>SCS-2026-234: Servicio de maquetación gráfica y adaptación Memoria CatSalut</x:t>
  </x:si>
  <x:si>
    <x:t>2025181344</x:t>
  </x:si>
  <x:si>
    <x:t>Desistimiento / Anulación</x:t>
  </x:si>
  <x:si>
    <x:t>MINISTERIO DE HACIENDA. JEFATURA DE UNIDAD DE MEDIOS INTERNOS -ÁREA DE COMPRAS DE LA COMPAÑÍA ESPAÑOLA DE SEGUROS DE CRÉDITO A LA EXPORTACIÓN S.A., S.M.E. (CESCE)</x:t>
  </x:si>
  <x:si>
    <x:t>Servicio de monitorización y clipping de noticias</x:t>
  </x:si>
  <x:si>
    <x:t>2025181886</x:t>
  </x:si>
  <x:si>
    <x:t>AGÈNCIA CATALANA DE TURISME</x:t>
  </x:si>
  <x:si>
    <x:t>Servicio de promoción del enoturismo a través de las Rutas del Vino de Cataluña, en el marco del Plan de Recuperación, Transformación y Resiliencia, financiado por la Unión Europea con los fondos Next Generation EU. Lote 1 Estructuración de producto Rutas del Vino a nivel de Cataluña, lote 2 Elaboración de contenidos sobre las Rutas del Vino de Cataluña para poder promocionarlas, lote 3 Puesta en valor de las Rutas del Vino de Cataluña para sensibilizar a residentes y turistas.</x:t>
  </x:si>
  <x:si>
    <x:t>2025181918</x:t>
  </x:si>
  <x:si>
    <x:t>AYUNTAMIENTO DE BARCELONA. GERENCIA DE ÁREA DE ECONOMÍA, RECURSOS Y TRANSFORMACIÓN DIGITAL</x:t>
  </x:si>
  <x:si>
    <x:t>Acuerdo marco inserciones publicitarias</x:t>
  </x:si>
  <x:si>
    <x:t>2025183617</x:t>
  </x:si>
  <x:si>
    <x:t>AYUNTAMIENTO DE BANYOLES (GIRONA)</x:t>
  </x:si>
  <x:si>
    <x:t>Servicios en comunicación, publicidad, difusión institucional y recopilación informativa</x:t>
  </x:si>
  <x:si>
    <x:t>2025183624</x:t>
  </x:si>
  <x:si>
    <x:t>AYUNTAMIENTO DE BARCELONA. GERENCIA DEL ÁREA DE CULTURA, EDUCACIÓN, CICLOS DE VIDA, FEMINISMOS Y LGTBI</x:t>
  </x:si>
  <x:si>
    <x:t>Suministro y servicios para la producción, distribución, instalación, seguimiento y retirada de los elementos publicitarios y producción de otros elementos de comunicación del Área de Cultura, Educación, Ciclos de Vida, Feminismos y LGTBI</x:t>
  </x:si>
  <x:si>
    <x:t>2025183632</x:t>
  </x:si>
  <x:si>
    <x:t>AYUNTAMIENTO DEL MORELL (TARRAGONA)</x:t>
  </x:si>
  <x:si>
    <x:t>Plan anual de contratación armonizada 2026</x:t>
  </x:si>
  <x:si>
    <x:t>2026000114</x:t>
  </x:si>
  <x:si>
    <x:t>GENERALITAT DE CATALUNYA. DEPARTAMENTO DE POLÍTICA LINGÜÍSTICA</x:t>
  </x:si>
  <x:si>
    <x:t>Cobertura audiovisual de los actos del Departamento de Política Lingüística durante 2026</x:t>
  </x:si>
  <x:si>
    <x:t>2026000135</x:t>
  </x:si>
  <x:si>
    <x:t>INSTITUTO MUNICIPAL DE MERCADOS DE BARCELONA</x:t>
  </x:si>
  <x:si>
    <x:t>Servicio de registro y gestión de los dominios de internet y hosting de servidores web del IMMB</x:t>
  </x:si>
  <x:si>
    <x:t>2026000139</x:t>
  </x:si>
  <x:si>
    <x:t>Contrato de servicios para la contratación del servicio de dirección artística, coordinación general, mediación cultural, apoyo a la producción y oficina técnica del festival Barcelona dibuja, con medidas de contratación pública sostenible</x:t>
  </x:si>
  <x:si>
    <x:t>2026000149</x:t>
  </x:si>
  <x:si>
    <x:t>AYUNTAMIENTO DE BARCELONA. GERENCIA DE ÁREA DE CULTURA, EDUCACIÓN, CICLOS DE VIDA, FEMINISMOS Y LGTBI</x:t>
  </x:si>
  <x:si>
    <x:t>Servicios para la organización de la celebración del día del Orgullo Friki</x:t>
  </x:si>
  <x:si>
    <x:t>2026000209</x:t>
  </x:si>
  <x:si>
    <x:t>INSTITUT CATALÀ DEL SÒL (INCASÒL)</x:t>
  </x:si>
  <x:si>
    <x:t>2026_23 MAG/LCA - Servicio de diseño de los stands del proyecto Barcelona Catalonia en las ferias Mipim, Expo Real y The District 2026. Así como la producción y construcción, montaje, desmontaje, transporte y almacenamiento del stand de Mipim 2026, que tendrá lugar del 10 al 13 de marzo</x:t>
  </x:si>
  <x:si>
    <x:t>2026000441</x:t>
  </x:si>
  <x:si>
    <x:t>CONSORCI DEL BESÒS</x:t>
  </x:si>
  <x:si>
    <x:t>Diseño y producción del espacio del Catalunya Media City AL ISE 2026</x:t>
  </x:si>
  <x:si>
    <x:t>2026000448</x:t>
  </x:si>
  <x:si>
    <x:t>AYUNTAMIENTO DE SANTA PERPÈTUA DE MOGODA (BARCELONA)</x:t>
  </x:si>
  <x:si>
    <x:t>Servicios para el desarrollo del proyecto “Trabajo en los Barrios – ReAcciona Comercio: Impulso Comercial y Digital en los Barrios de Santa Perpètua de Mogoda</x:t>
  </x:si>
  <x:si>
    <x:t>2026000778</x:t>
  </x:si>
  <x:si>
    <x:t>CORPORACIÓ CATALANA DE MITJANS AUDIOVISUALS, SA (CCMA, SA)</x:t>
  </x:si>
  <x:si>
    <x:t>Contratación de los servicios de producción</x:t>
  </x:si>
  <x:si>
    <x:t>2026000791</x:t>
  </x:si>
  <x:si>
    <x:t>GENERALITAT DE CATALUNYA. DEPARTAMENTO DE ECONOMÍA Y FINANZAS</x:t>
  </x:si>
  <x:si>
    <x:t>EC 2026 52 Asistencia técnica, montaje y desmontaje de los actos del Departamento de Economía y Finanzas fuera de las instalaciones del Distrito Administrativo, así como la adaptación según los requerimientos de cada acto. El servicio incluye la realización de la escenografía, la sonorización, la iluminación y la retransmisión en streaming de los actos, así como el suministro del material y de la infraestructura necesarios</x:t>
  </x:si>
  <x:si>
    <x:t>2026000900</x:t>
  </x:si>
  <x:si>
    <x:t>AYUNTAMIENTO DE SANT JOAN DESPÍ  (BARCELONA)</x:t>
  </x:si>
  <x:si>
    <x:t>Servicio para la cobertura fotográfica de actos municipales y eventos institucionales organizados y/o participados por el Ayuntamiento de Sant Joan Despí</x:t>
  </x:si>
  <x:si>
    <x:t>2026000908</x:t>
  </x:si>
  <x:si>
    <x:t>AYUNTAMIENTO DE LA LLAGOSTA (BARCELONA)</x:t>
  </x:si>
  <x:si>
    <x:t>Contrato para la prestación del servicio de explotación de la publicidad y la impresión de la publicación municipal "La Llagosta informa"</x:t>
  </x:si>
  <x:si>
    <x:t>2026000911</x:t>
  </x:si>
  <x:si>
    <x:t>PROCORNELLÀ</x:t>
  </x:si>
  <x:si>
    <x:t>Exp 25-104 MIXTO DE SUMINISTRO Y SERVICIOS DE MONTAJE, DESMONTAJE DE ESTANDOS Y DE MOBILIARIO Y EQUIPAMIENTO INTERIOR PARA LLEVAR A CABO LOS EVENTOS FERIALES (PROPIOS Y EXTERNOS) QUE TENDRÁN LUGAR DURANTE EL AÑO 2; LOTE 2.- FERIA INFANTIL; Y LOTE 3.- FERIAS EXTERNAS, EN LAS INSTALACIONES DE FERIA DE CORNELLÀ DE LLOBREGAT (Tirso de Molina 34 CP 08940, Cornellà de Llobregat)</x:t>
  </x:si>
  <x:si>
    <x:t>2026000924</x:t>
  </x:si>
  <x:si>
    <x:t>AYUNTAMIENTO DE LA POBLA DE SEGUR (LLEIDA)</x:t>
  </x:si>
  <x:si>
    <x:t>Servicio de conceptualización, creación y elaboración del plan de viabilidad del turismo de la marca "La Pobla de Segur: naturaleza y turismo activo sostenible". Actuación 10 del Eje 4 del Plan de Sostenibilidad Turística en Destino - PRTR - Next Generation EU</x:t>
  </x:si>
  <x:si>
    <x:t>2026000930</x:t>
  </x:si>
  <x:si>
    <x:t>BARCELONA DE SERVEIS MUNICIPALS SA</x:t>
  </x:si>
  <x:si>
    <x:t>2025PG0593AC - Exposición ''Al abrigo del Park Güell'' (Centenario)</x:t>
  </x:si>
  <x:si>
    <x:t>2026000931</x:t>
  </x:si>
  <x:si>
    <x:t>2025PG0585AC - Servicio de planificación y producción de actividades por el centenario del Park Güell</x:t>
  </x:si>
  <x:si>
    <x:t>2026001427</x:t>
  </x:si>
  <x:si>
    <x:t>AYUNTAMIENTO DE BEGUR (GIRONA)</x:t>
  </x:si>
  <x:si>
    <x:t>Licitación para la contratación de los servicios de organización del festival de música de Begur "El cruce de Ultramar"</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</x:si>
</x:sst>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HYPERLINK("https://www.infonalia.es/modificaciones0126/2025168663.pdf","www.infonalia.es/modificaciones0126/2025168663.pdf")</x:f>
        <x:v>www.infonalia.es/modificaciones0126/2025168663.pdf</x:v>
      </x:c>
      <x:c r="F2" s="5" t="str">
        <x:f xml:space="preserve">HYPERLINK("https://www.infonalia.es/licitaciones1125/2025168663.pdf","www.infonalia.es/licitaciones1125/2025168663.pdf")</x:f>
        <x:v>www.infonalia.es/licitaciones1125/2025168663.pdf</x:v>
      </x:c>
    </x:row>
    <x:row r="3">
      <x:c r="A3" s="3" t="s">
        <x:v>10</x:v>
      </x:c>
      <x:c r="B3" s="4" t="s">
        <x:v>7</x:v>
      </x:c>
      <x:c r="C3" s="4" t="s">
        <x:v>11</x:v>
      </x:c>
      <x:c r="D3" s="4" t="s">
        <x:v>12</x:v>
      </x:c>
      <x:c r="E3" s="5" t="str">
        <x:f xml:space="preserve">HYPERLINK("https://www.infonalia.es/modificaciones0126/2025173271.pdf","www.infonalia.es/modificaciones0126/2025173271.pdf")</x:f>
        <x:v>www.infonalia.es/modificaciones0126/2025173271.pdf</x:v>
      </x:c>
      <x:c r="F3" s="5" t="str">
        <x:f xml:space="preserve">HYPERLINK("https://www.infonalia.es/licitaciones1225/2025173271.pdf","www.infonalia.es/licitaciones1225/2025173271.pdf")</x:f>
        <x:v>www.infonalia.es/licitaciones1225/2025173271.pdf</x:v>
      </x:c>
    </x:row>
    <x:row r="4">
      <x:c r="A4" s="3" t="s">
        <x:v>13</x:v>
      </x:c>
      <x:c r="B4" s="4" t="s">
        <x:v>7</x:v>
      </x:c>
      <x:c r="C4" s="4" t="s">
        <x:v>14</x:v>
      </x:c>
      <x:c r="D4" s="4" t="s">
        <x:v>15</x:v>
      </x:c>
      <x:c r="E4" s="5" t="str">
        <x:f xml:space="preserve">HYPERLINK("https://www.infonalia.es/modificaciones0126/2025175565.pdf","www.infonalia.es/modificaciones0126/2025175565.pdf")</x:f>
        <x:v>www.infonalia.es/modificaciones0126/2025175565.pdf</x:v>
      </x:c>
      <x:c r="F4" s="5" t="str">
        <x:f xml:space="preserve">HYPERLINK("https://www.infonalia.es/licitaciones1225/2025175565.pdf","www.infonalia.es/licitaciones1225/2025175565.pdf")</x:f>
        <x:v>www.infonalia.es/licitaciones1225/2025175565.pdf</x:v>
      </x:c>
    </x:row>
    <x:row r="5">
      <x:c r="A5" s="3" t="s">
        <x:v>16</x:v>
      </x:c>
      <x:c r="B5" s="4" t="s">
        <x:v>7</x:v>
      </x:c>
      <x:c r="C5" s="4" t="s">
        <x:v>17</x:v>
      </x:c>
      <x:c r="D5" s="4" t="s">
        <x:v>18</x:v>
      </x:c>
      <x:c r="E5" s="5" t="str">
        <x:f xml:space="preserve">HYPERLINK("https://www.infonalia.es/modificaciones0126/2025176466.pdf","www.infonalia.es/modificaciones0126/2025176466.pdf")</x:f>
        <x:v>www.infonalia.es/modificaciones0126/2025176466.pdf</x:v>
      </x:c>
      <x:c r="F5" s="5" t="str">
        <x:f xml:space="preserve">HYPERLINK("https://www.infonalia.es/licitaciones1225/2025176466.pdf","www.infonalia.es/licitaciones1225/2025176466.pdf")</x:f>
        <x:v>www.infonalia.es/licitaciones1225/2025176466.pdf</x:v>
      </x:c>
    </x:row>
    <x:row r="6">
      <x:c r="A6" s="3" t="s">
        <x:v>19</x:v>
      </x:c>
      <x:c r="B6" s="4" t="s">
        <x:v>7</x:v>
      </x:c>
      <x:c r="C6" s="4" t="s">
        <x:v>20</x:v>
      </x:c>
      <x:c r="D6" s="4" t="s">
        <x:v>21</x:v>
      </x:c>
      <x:c r="E6" s="5" t="str">
        <x:f xml:space="preserve">HYPERLINK("https://www.infonalia.es/modificaciones0126/2025181174.pdf","www.infonalia.es/modificaciones0126/2025181174.pdf")</x:f>
        <x:v>www.infonalia.es/modificaciones0126/2025181174.pdf</x:v>
      </x:c>
      <x:c r="F6" s="5" t="str">
        <x:f xml:space="preserve">HYPERLINK("https://www.infonalia.es/licitaciones1225/2025181174.pdf","www.infonalia.es/licitaciones1225/2025181174.pdf")</x:f>
        <x:v>www.infonalia.es/licitaciones1225/2025181174.pdf</x:v>
      </x:c>
    </x:row>
    <x:row r="7">
      <x:c r="A7" s="3" t="s">
        <x:v>22</x:v>
      </x:c>
      <x:c r="B7" s="4" t="s">
        <x:v>7</x:v>
      </x:c>
      <x:c r="C7" s="4" t="s">
        <x:v>23</x:v>
      </x:c>
      <x:c r="D7" s="4" t="s">
        <x:v>24</x:v>
      </x:c>
      <x:c r="E7" s="5" t="str">
        <x:f xml:space="preserve">HYPERLINK("https://www.infonalia.es/modificaciones0126/2025181175.pdf","www.infonalia.es/modificaciones0126/2025181175.pdf")</x:f>
        <x:v>www.infonalia.es/modificaciones0126/2025181175.pdf</x:v>
      </x:c>
      <x:c r="F7" s="5" t="str">
        <x:f xml:space="preserve">HYPERLINK("https://www.infonalia.es/licitaciones1225/2025181175.pdf","www.infonalia.es/licitaciones1225/2025181175.pdf")</x:f>
        <x:v>www.infonalia.es/licitaciones1225/2025181175.pdf</x:v>
      </x:c>
    </x:row>
    <x:row r="8">
      <x:c r="A8" s="3" t="s">
        <x:v>25</x:v>
      </x:c>
      <x:c r="B8" s="4" t="s">
        <x:v>7</x:v>
      </x:c>
      <x:c r="C8" s="4" t="s">
        <x:v>26</x:v>
      </x:c>
      <x:c r="D8" s="4" t="s">
        <x:v>27</x:v>
      </x:c>
      <x:c r="E8" s="5" t="str">
        <x:f xml:space="preserve">HYPERLINK("https://www.infonalia.es/modificaciones0126/2025181183.pdf","www.infonalia.es/modificaciones0126/2025181183.pdf")</x:f>
        <x:v>www.infonalia.es/modificaciones0126/2025181183.pdf</x:v>
      </x:c>
      <x:c r="F8" s="5" t="str">
        <x:f xml:space="preserve">HYPERLINK("https://www.infonalia.es/licitaciones1225/2025181183.pdf","www.infonalia.es/licitaciones1225/2025181183.pdf")</x:f>
        <x:v>www.infonalia.es/licitaciones1225/2025181183.pdf</x:v>
      </x:c>
    </x:row>
    <x:row r="9">
      <x:c r="A9" s="3" t="s">
        <x:v>28</x:v>
      </x:c>
      <x:c r="B9" s="4" t="s">
        <x:v>7</x:v>
      </x:c>
      <x:c r="C9" s="4" t="s">
        <x:v>29</x:v>
      </x:c>
      <x:c r="D9" s="4" t="s">
        <x:v>30</x:v>
      </x:c>
      <x:c r="E9" s="5" t="str">
        <x:f xml:space="preserve">HYPERLINK("https://www.infonalia.es/modificaciones0126/2025181234.pdf","www.infonalia.es/modificaciones0126/2025181234.pdf")</x:f>
        <x:v>www.infonalia.es/modificaciones0126/2025181234.pdf</x:v>
      </x:c>
      <x:c r="F9" s="5" t="str">
        <x:f xml:space="preserve">HYPERLINK("https://www.infonalia.es/licitaciones1225/2025181234.pdf","www.infonalia.es/licitaciones1225/2025181234.pdf")</x:f>
        <x:v>www.infonalia.es/licitaciones1225/2025181234.pdf</x:v>
      </x:c>
    </x:row>
    <x:row r="10">
      <x:c r="A10" s="3" t="s">
        <x:v>31</x:v>
      </x:c>
      <x:c r="B10" s="4" t="s">
        <x:v>7</x:v>
      </x:c>
      <x:c r="C10" s="4" t="s">
        <x:v>32</x:v>
      </x:c>
      <x:c r="D10" s="4" t="s">
        <x:v>33</x:v>
      </x:c>
      <x:c r="E10" s="5" t="str">
        <x:f xml:space="preserve">HYPERLINK("https://www.infonalia.es/modificaciones0126/2025181270.pdf","www.infonalia.es/modificaciones0126/2025181270.pdf")</x:f>
        <x:v>www.infonalia.es/modificaciones0126/2025181270.pdf</x:v>
      </x:c>
      <x:c r="F10" s="5" t="str">
        <x:f xml:space="preserve">HYPERLINK("https://www.infonalia.es/licitaciones1225/2025181270.pdf","www.infonalia.es/licitaciones1225/2025181270.pdf")</x:f>
        <x:v>www.infonalia.es/licitaciones1225/2025181270.pdf</x:v>
      </x:c>
    </x:row>
    <x:row r="11">
      <x:c r="A11" s="3" t="s">
        <x:v>34</x:v>
      </x:c>
      <x:c r="B11" s="4" t="s">
        <x:v>35</x:v>
      </x:c>
      <x:c r="C11" s="4" t="s">
        <x:v>36</x:v>
      </x:c>
      <x:c r="D11" s="4" t="s">
        <x:v>37</x:v>
      </x:c>
      <x:c r="E11" s="5" t="str">
        <x:f xml:space="preserve">HYPERLINK("https://www.infonalia.es/modificaciones0126/2025181344.pdf","www.infonalia.es/modificaciones0126/2025181344.pdf")</x:f>
        <x:v>www.infonalia.es/modificaciones0126/2025181344.pdf</x:v>
      </x:c>
      <x:c r="F11" s="5" t="str">
        <x:f xml:space="preserve">HYPERLINK("https://www.infonalia.es/licitaciones1225/2025181344.pdf","www.infonalia.es/licitaciones1225/2025181344.pdf")</x:f>
        <x:v>www.infonalia.es/licitaciones1225/2025181344.pdf</x:v>
      </x:c>
    </x:row>
    <x:row r="12">
      <x:c r="A12" s="3" t="s">
        <x:v>38</x:v>
      </x:c>
      <x:c r="B12" s="4" t="s">
        <x:v>7</x:v>
      </x:c>
      <x:c r="C12" s="4" t="s">
        <x:v>39</x:v>
      </x:c>
      <x:c r="D12" s="4" t="s">
        <x:v>40</x:v>
      </x:c>
      <x:c r="E12" s="5" t="str">
        <x:f xml:space="preserve">HYPERLINK("https://www.infonalia.es/modificaciones0126/2025181886.pdf","www.infonalia.es/modificaciones0126/2025181886.pdf")</x:f>
        <x:v>www.infonalia.es/modificaciones0126/2025181886.pdf</x:v>
      </x:c>
      <x:c r="F12" s="5" t="str">
        <x:f xml:space="preserve">HYPERLINK("https://www.infonalia.es/licitaciones1225/2025181886.pdf","www.infonalia.es/licitaciones1225/2025181886.pdf")</x:f>
        <x:v>www.infonalia.es/licitaciones1225/2025181886.pdf</x:v>
      </x:c>
    </x:row>
    <x:row r="13">
      <x:c r="A13" s="3" t="s">
        <x:v>41</x:v>
      </x:c>
      <x:c r="B13" s="4" t="s">
        <x:v>7</x:v>
      </x:c>
      <x:c r="C13" s="4" t="s">
        <x:v>42</x:v>
      </x:c>
      <x:c r="D13" s="4" t="s">
        <x:v>43</x:v>
      </x:c>
      <x:c r="E13" s="5" t="str">
        <x:f xml:space="preserve">HYPERLINK("https://www.infonalia.es/modificaciones0126/2025181918.pdf","www.infonalia.es/modificaciones0126/2025181918.pdf")</x:f>
        <x:v>www.infonalia.es/modificaciones0126/2025181918.pdf</x:v>
      </x:c>
      <x:c r="F13" s="5" t="str">
        <x:f xml:space="preserve">HYPERLINK("https://www.infonalia.es/licitaciones1225/2025181918.pdf","www.infonalia.es/licitaciones1225/2025181918.pdf")</x:f>
        <x:v>www.infonalia.es/licitaciones1225/2025181918.pdf</x:v>
      </x:c>
    </x:row>
    <x:row r="14">
      <x:c r="A14" s="3" t="s">
        <x:v>44</x:v>
      </x:c>
      <x:c r="B14" s="4" t="s">
        <x:v>7</x:v>
      </x:c>
      <x:c r="C14" s="4" t="s">
        <x:v>45</x:v>
      </x:c>
      <x:c r="D14" s="4" t="s">
        <x:v>46</x:v>
      </x:c>
      <x:c r="E14" s="5" t="str">
        <x:f xml:space="preserve">HYPERLINK("https://www.infonalia.es/modificaciones0126/2025183617.pdf","www.infonalia.es/modificaciones0126/2025183617.pdf")</x:f>
        <x:v>www.infonalia.es/modificaciones0126/2025183617.pdf</x:v>
      </x:c>
      <x:c r="F14" s="5" t="str">
        <x:f xml:space="preserve">HYPERLINK("https://www.infonalia.es/licitaciones1225/2025183617.pdf","www.infonalia.es/licitaciones1225/2025183617.pdf")</x:f>
        <x:v>www.infonalia.es/licitaciones1225/2025183617.pdf</x:v>
      </x:c>
    </x:row>
    <x:row r="15">
      <x:c r="A15" s="3" t="s">
        <x:v>47</x:v>
      </x:c>
      <x:c r="B15" s="4" t="s">
        <x:v>7</x:v>
      </x:c>
      <x:c r="C15" s="4" t="s">
        <x:v>48</x:v>
      </x:c>
      <x:c r="D15" s="4" t="s">
        <x:v>49</x:v>
      </x:c>
      <x:c r="E15" s="5" t="str">
        <x:f xml:space="preserve">HYPERLINK("https://www.infonalia.es/modificaciones0126/2025183624.pdf","www.infonalia.es/modificaciones0126/2025183624.pdf")</x:f>
        <x:v>www.infonalia.es/modificaciones0126/2025183624.pdf</x:v>
      </x:c>
      <x:c r="F15" s="5" t="str">
        <x:f xml:space="preserve">HYPERLINK("https://www.infonalia.es/licitaciones1225/2025183624.pdf","www.infonalia.es/licitaciones1225/2025183624.pdf")</x:f>
        <x:v>www.infonalia.es/licitaciones1225/2025183624.pdf</x:v>
      </x:c>
    </x:row>
    <x:row r="16">
      <x:c r="A16" s="3" t="s">
        <x:v>50</x:v>
      </x:c>
      <x:c r="B16" s="4" t="s">
        <x:v>7</x:v>
      </x:c>
      <x:c r="C16" s="4" t="s">
        <x:v>51</x:v>
      </x:c>
      <x:c r="D16" s="4" t="s">
        <x:v>52</x:v>
      </x:c>
      <x:c r="E16" s="5" t="str">
        <x:f xml:space="preserve">HYPERLINK("https://www.infonalia.es/modificaciones0126/2025183632.pdf","www.infonalia.es/modificaciones0126/2025183632.pdf")</x:f>
        <x:v>www.infonalia.es/modificaciones0126/2025183632.pdf</x:v>
      </x:c>
      <x:c r="F16" s="5" t="str">
        <x:f xml:space="preserve">HYPERLINK("https://www.infonalia.es/licitaciones1225/2025183632.pdf","www.infonalia.es/licitaciones1225/2025183632.pdf")</x:f>
        <x:v>www.infonalia.es/licitaciones1225/2025183632.pdf</x:v>
      </x:c>
    </x:row>
    <x:row r="17">
      <x:c r="A17" s="3" t="s">
        <x:v>53</x:v>
      </x:c>
      <x:c r="B17" s="4" t="s">
        <x:v>7</x:v>
      </x:c>
      <x:c r="C17" s="4" t="s">
        <x:v>54</x:v>
      </x:c>
      <x:c r="D17" s="4" t="s">
        <x:v>55</x:v>
      </x:c>
      <x:c r="E17" s="5" t="str">
        <x:f xml:space="preserve">HYPERLINK("https://www.infonalia.es/modificaciones0126/2026000114.pdf","www.infonalia.es/modificaciones0126/2026000114.pdf")</x:f>
        <x:v>www.infonalia.es/modificaciones0126/2026000114.pdf</x:v>
      </x:c>
      <x:c r="F17" s="5" t="str">
        <x:f xml:space="preserve">HYPERLINK("https://www.infonalia.es/licitaciones0126/2026000114.pdf","www.infonalia.es/licitaciones0126/2026000114.pdf")</x:f>
        <x:v>www.infonalia.es/licitaciones0126/2026000114.pdf</x:v>
      </x:c>
    </x:row>
    <x:row r="18">
      <x:c r="A18" s="3" t="s">
        <x:v>56</x:v>
      </x:c>
      <x:c r="B18" s="4" t="s">
        <x:v>7</x:v>
      </x:c>
      <x:c r="C18" s="4" t="s">
        <x:v>57</x:v>
      </x:c>
      <x:c r="D18" s="4" t="s">
        <x:v>58</x:v>
      </x:c>
      <x:c r="E18" s="5" t="str">
        <x:f xml:space="preserve">HYPERLINK("https://www.infonalia.es/modificaciones0126/2026000135.pdf","www.infonalia.es/modificaciones0126/2026000135.pdf")</x:f>
        <x:v>www.infonalia.es/modificaciones0126/2026000135.pdf</x:v>
      </x:c>
      <x:c r="F18" s="5" t="str">
        <x:f xml:space="preserve">HYPERLINK("https://www.infonalia.es/licitaciones0126/2026000135.pdf","www.infonalia.es/licitaciones0126/2026000135.pdf")</x:f>
        <x:v>www.infonalia.es/licitaciones0126/2026000135.pdf</x:v>
      </x:c>
    </x:row>
    <x:row r="19">
      <x:c r="A19" s="3" t="s">
        <x:v>59</x:v>
      </x:c>
      <x:c r="B19" s="4" t="s">
        <x:v>7</x:v>
      </x:c>
      <x:c r="C19" s="4" t="s">
        <x:v>8</x:v>
      </x:c>
      <x:c r="D19" s="4" t="s">
        <x:v>60</x:v>
      </x:c>
      <x:c r="E19" s="5" t="str">
        <x:f xml:space="preserve">HYPERLINK("https://www.infonalia.es/modificaciones0126/2026000139.pdf","www.infonalia.es/modificaciones0126/2026000139.pdf")</x:f>
        <x:v>www.infonalia.es/modificaciones0126/2026000139.pdf</x:v>
      </x:c>
      <x:c r="F19" s="5" t="str">
        <x:f xml:space="preserve">HYPERLINK("https://www.infonalia.es/licitaciones0126/2026000139.pdf","www.infonalia.es/licitaciones0126/2026000139.pdf")</x:f>
        <x:v>www.infonalia.es/licitaciones0126/2026000139.pdf</x:v>
      </x:c>
    </x:row>
    <x:row r="20">
      <x:c r="A20" s="3" t="s">
        <x:v>61</x:v>
      </x:c>
      <x:c r="B20" s="4" t="s">
        <x:v>7</x:v>
      </x:c>
      <x:c r="C20" s="4" t="s">
        <x:v>62</x:v>
      </x:c>
      <x:c r="D20" s="4" t="s">
        <x:v>63</x:v>
      </x:c>
      <x:c r="E20" s="5" t="str">
        <x:f xml:space="preserve">HYPERLINK("https://www.infonalia.es/modificaciones0126/2026000149.pdf","www.infonalia.es/modificaciones0126/2026000149.pdf")</x:f>
        <x:v>www.infonalia.es/modificaciones0126/2026000149.pdf</x:v>
      </x:c>
      <x:c r="F20" s="5" t="str">
        <x:f xml:space="preserve">HYPERLINK("https://www.infonalia.es/licitaciones0126/2026000149.pdf","www.infonalia.es/licitaciones0126/2026000149.pdf")</x:f>
        <x:v>www.infonalia.es/licitaciones0126/2026000149.pdf</x:v>
      </x:c>
    </x:row>
    <x:row r="21">
      <x:c r="A21" s="3" t="s">
        <x:v>64</x:v>
      </x:c>
      <x:c r="B21" s="4" t="s">
        <x:v>7</x:v>
      </x:c>
      <x:c r="C21" s="4" t="s">
        <x:v>65</x:v>
      </x:c>
      <x:c r="D21" s="4" t="s">
        <x:v>66</x:v>
      </x:c>
      <x:c r="E21" s="5" t="str">
        <x:f xml:space="preserve">HYPERLINK("https://www.infonalia.es/modificaciones0126/2026000209.pdf","www.infonalia.es/modificaciones0126/2026000209.pdf")</x:f>
        <x:v>www.infonalia.es/modificaciones0126/2026000209.pdf</x:v>
      </x:c>
      <x:c r="F21" s="5" t="str">
        <x:f xml:space="preserve">HYPERLINK("https://www.infonalia.es/licitaciones0126/2026000209.pdf","www.infonalia.es/licitaciones0126/2026000209.pdf")</x:f>
        <x:v>www.infonalia.es/licitaciones0126/2026000209.pdf</x:v>
      </x:c>
    </x:row>
    <x:row r="22">
      <x:c r="A22" s="3" t="s">
        <x:v>67</x:v>
      </x:c>
      <x:c r="B22" s="4" t="s">
        <x:v>7</x:v>
      </x:c>
      <x:c r="C22" s="4" t="s">
        <x:v>68</x:v>
      </x:c>
      <x:c r="D22" s="4" t="s">
        <x:v>69</x:v>
      </x:c>
      <x:c r="E22" s="5" t="str">
        <x:f xml:space="preserve">HYPERLINK("https://www.infonalia.es/modificaciones0126/2026000441.pdf","www.infonalia.es/modificaciones0126/2026000441.pdf")</x:f>
        <x:v>www.infonalia.es/modificaciones0126/2026000441.pdf</x:v>
      </x:c>
      <x:c r="F22" s="5" t="str">
        <x:f xml:space="preserve">HYPERLINK("https://www.infonalia.es/licitaciones0126/2026000441.pdf","www.infonalia.es/licitaciones0126/2026000441.pdf")</x:f>
        <x:v>www.infonalia.es/licitaciones0126/2026000441.pdf</x:v>
      </x:c>
    </x:row>
    <x:row r="23">
      <x:c r="A23" s="3" t="s">
        <x:v>70</x:v>
      </x:c>
      <x:c r="B23" s="4" t="s">
        <x:v>7</x:v>
      </x:c>
      <x:c r="C23" s="4" t="s">
        <x:v>71</x:v>
      </x:c>
      <x:c r="D23" s="4" t="s">
        <x:v>72</x:v>
      </x:c>
      <x:c r="E23" s="5" t="str">
        <x:f xml:space="preserve">HYPERLINK("https://www.infonalia.es/modificaciones0126/2026000448.pdf","www.infonalia.es/modificaciones0126/2026000448.pdf")</x:f>
        <x:v>www.infonalia.es/modificaciones0126/2026000448.pdf</x:v>
      </x:c>
      <x:c r="F23" s="5" t="str">
        <x:f xml:space="preserve">HYPERLINK("https://www.infonalia.es/licitaciones0126/2026000448.pdf","www.infonalia.es/licitaciones0126/2026000448.pdf")</x:f>
        <x:v>www.infonalia.es/licitaciones0126/2026000448.pdf</x:v>
      </x:c>
    </x:row>
    <x:row r="24">
      <x:c r="A24" s="3" t="s">
        <x:v>73</x:v>
      </x:c>
      <x:c r="B24" s="4" t="s">
        <x:v>7</x:v>
      </x:c>
      <x:c r="C24" s="4" t="s">
        <x:v>74</x:v>
      </x:c>
      <x:c r="D24" s="4" t="s">
        <x:v>75</x:v>
      </x:c>
      <x:c r="E24" s="5" t="str">
        <x:f xml:space="preserve">HYPERLINK("https://www.infonalia.es/modificaciones0126/2026000778.pdf","www.infonalia.es/modificaciones0126/2026000778.pdf")</x:f>
        <x:v>www.infonalia.es/modificaciones0126/2026000778.pdf</x:v>
      </x:c>
      <x:c r="F24" s="5" t="str">
        <x:f xml:space="preserve">HYPERLINK("https://www.infonalia.es/licitaciones0126/2026000778.pdf","www.infonalia.es/licitaciones0126/2026000778.pdf")</x:f>
        <x:v>www.infonalia.es/licitaciones0126/2026000778.pdf</x:v>
      </x:c>
    </x:row>
    <x:row r="25">
      <x:c r="A25" s="3" t="s">
        <x:v>76</x:v>
      </x:c>
      <x:c r="B25" s="4" t="s">
        <x:v>7</x:v>
      </x:c>
      <x:c r="C25" s="4" t="s">
        <x:v>77</x:v>
      </x:c>
      <x:c r="D25" s="4" t="s">
        <x:v>78</x:v>
      </x:c>
      <x:c r="E25" s="5" t="str">
        <x:f xml:space="preserve">HYPERLINK("https://www.infonalia.es/modificaciones0126/2026000791.pdf","www.infonalia.es/modificaciones0126/2026000791.pdf")</x:f>
        <x:v>www.infonalia.es/modificaciones0126/2026000791.pdf</x:v>
      </x:c>
      <x:c r="F25" s="5" t="str">
        <x:f xml:space="preserve">HYPERLINK("https://www.infonalia.es/licitaciones0126/2026000791.pdf","www.infonalia.es/licitaciones0126/2026000791.pdf")</x:f>
        <x:v>www.infonalia.es/licitaciones0126/2026000791.pdf</x:v>
      </x:c>
    </x:row>
    <x:row r="26">
      <x:c r="A26" s="3" t="s">
        <x:v>79</x:v>
      </x:c>
      <x:c r="B26" s="4" t="s">
        <x:v>7</x:v>
      </x:c>
      <x:c r="C26" s="4" t="s">
        <x:v>80</x:v>
      </x:c>
      <x:c r="D26" s="4" t="s">
        <x:v>81</x:v>
      </x:c>
      <x:c r="E26" s="5" t="str">
        <x:f xml:space="preserve">HYPERLINK("https://www.infonalia.es/modificaciones0126/2026000900.pdf","www.infonalia.es/modificaciones0126/2026000900.pdf")</x:f>
        <x:v>www.infonalia.es/modificaciones0126/2026000900.pdf</x:v>
      </x:c>
      <x:c r="F26" s="5" t="str">
        <x:f xml:space="preserve">HYPERLINK("https://www.infonalia.es/licitaciones0126/2026000900.pdf","www.infonalia.es/licitaciones0126/2026000900.pdf")</x:f>
        <x:v>www.infonalia.es/licitaciones0126/2026000900.pdf</x:v>
      </x:c>
    </x:row>
    <x:row r="27">
      <x:c r="A27" s="3" t="s">
        <x:v>82</x:v>
      </x:c>
      <x:c r="B27" s="4" t="s">
        <x:v>7</x:v>
      </x:c>
      <x:c r="C27" s="4" t="s">
        <x:v>83</x:v>
      </x:c>
      <x:c r="D27" s="4" t="s">
        <x:v>84</x:v>
      </x:c>
      <x:c r="E27" s="5" t="str">
        <x:f xml:space="preserve">HYPERLINK("https://www.infonalia.es/modificaciones0126/2026000908.pdf","www.infonalia.es/modificaciones0126/2026000908.pdf")</x:f>
        <x:v>www.infonalia.es/modificaciones0126/2026000908.pdf</x:v>
      </x:c>
      <x:c r="F27" s="5" t="str">
        <x:f xml:space="preserve">HYPERLINK("https://www.infonalia.es/licitaciones0126/2026000908.pdf","www.infonalia.es/licitaciones0126/2026000908.pdf")</x:f>
        <x:v>www.infonalia.es/licitaciones0126/2026000908.pdf</x:v>
      </x:c>
    </x:row>
    <x:row r="28">
      <x:c r="A28" s="3" t="s">
        <x:v>85</x:v>
      </x:c>
      <x:c r="B28" s="4" t="s">
        <x:v>7</x:v>
      </x:c>
      <x:c r="C28" s="4" t="s">
        <x:v>86</x:v>
      </x:c>
      <x:c r="D28" s="4" t="s">
        <x:v>87</x:v>
      </x:c>
      <x:c r="E28" s="5" t="str">
        <x:f xml:space="preserve">HYPERLINK("https://www.infonalia.es/modificaciones0126/2026000911.pdf","www.infonalia.es/modificaciones0126/2026000911.pdf")</x:f>
        <x:v>www.infonalia.es/modificaciones0126/2026000911.pdf</x:v>
      </x:c>
      <x:c r="F28" s="5" t="str">
        <x:f xml:space="preserve">HYPERLINK("https://www.infonalia.es/licitaciones0126/2026000911.pdf","www.infonalia.es/licitaciones0126/2026000911.pdf")</x:f>
        <x:v>www.infonalia.es/licitaciones0126/2026000911.pdf</x:v>
      </x:c>
    </x:row>
    <x:row r="29">
      <x:c r="A29" s="3" t="s">
        <x:v>88</x:v>
      </x:c>
      <x:c r="B29" s="4" t="s">
        <x:v>7</x:v>
      </x:c>
      <x:c r="C29" s="4" t="s">
        <x:v>89</x:v>
      </x:c>
      <x:c r="D29" s="4" t="s">
        <x:v>90</x:v>
      </x:c>
      <x:c r="E29" s="5" t="str">
        <x:f xml:space="preserve">HYPERLINK("https://www.infonalia.es/modificaciones0126/2026000924.pdf","www.infonalia.es/modificaciones0126/2026000924.pdf")</x:f>
        <x:v>www.infonalia.es/modificaciones0126/2026000924.pdf</x:v>
      </x:c>
      <x:c r="F29" s="5" t="str">
        <x:f xml:space="preserve">HYPERLINK("https://www.infonalia.es/licitaciones0126/2026000924.pdf","www.infonalia.es/licitaciones0126/2026000924.pdf")</x:f>
        <x:v>www.infonalia.es/licitaciones0126/2026000924.pdf</x:v>
      </x:c>
    </x:row>
    <x:row r="30">
      <x:c r="A30" s="3" t="s">
        <x:v>91</x:v>
      </x:c>
      <x:c r="B30" s="4" t="s">
        <x:v>7</x:v>
      </x:c>
      <x:c r="C30" s="4" t="s">
        <x:v>92</x:v>
      </x:c>
      <x:c r="D30" s="4" t="s">
        <x:v>93</x:v>
      </x:c>
      <x:c r="E30" s="5" t="str">
        <x:f xml:space="preserve">HYPERLINK("https://www.infonalia.es/modificaciones0126/2026000930.pdf","www.infonalia.es/modificaciones0126/2026000930.pdf")</x:f>
        <x:v>www.infonalia.es/modificaciones0126/2026000930.pdf</x:v>
      </x:c>
      <x:c r="F30" s="5" t="str">
        <x:f xml:space="preserve">HYPERLINK("https://www.infonalia.es/licitaciones0126/2026000930.pdf","www.infonalia.es/licitaciones0126/2026000930.pdf")</x:f>
        <x:v>www.infonalia.es/licitaciones0126/2026000930.pdf</x:v>
      </x:c>
    </x:row>
    <x:row r="31">
      <x:c r="A31" s="3" t="s">
        <x:v>94</x:v>
      </x:c>
      <x:c r="B31" s="4" t="s">
        <x:v>7</x:v>
      </x:c>
      <x:c r="C31" s="4" t="s">
        <x:v>92</x:v>
      </x:c>
      <x:c r="D31" s="4" t="s">
        <x:v>95</x:v>
      </x:c>
      <x:c r="E31" s="5" t="str">
        <x:f xml:space="preserve">HYPERLINK("https://www.infonalia.es/modificaciones0126/2026000931.pdf","www.infonalia.es/modificaciones0126/2026000931.pdf")</x:f>
        <x:v>www.infonalia.es/modificaciones0126/2026000931.pdf</x:v>
      </x:c>
      <x:c r="F31" s="5" t="str">
        <x:f xml:space="preserve">HYPERLINK("https://www.infonalia.es/licitaciones0126/2026000931.pdf","www.infonalia.es/licitaciones0126/2026000931.pdf")</x:f>
        <x:v>www.infonalia.es/licitaciones0126/2026000931.pdf</x:v>
      </x:c>
    </x:row>
    <x:row r="32">
      <x:c r="A32" s="3" t="s">
        <x:v>96</x:v>
      </x:c>
      <x:c r="B32" s="4" t="s">
        <x:v>7</x:v>
      </x:c>
      <x:c r="C32" s="4" t="s">
        <x:v>97</x:v>
      </x:c>
      <x:c r="D32" s="4" t="s">
        <x:v>98</x:v>
      </x:c>
      <x:c r="E32" s="5" t="str">
        <x:f xml:space="preserve">HYPERLINK("https://www.infonalia.es/modificaciones0126/2026001427.pdf","www.infonalia.es/modificaciones0126/2026001427.pdf")</x:f>
        <x:v>www.infonalia.es/modificaciones0126/2026001427.pdf</x:v>
      </x:c>
      <x:c r="F32" s="5" t="str">
        <x:f xml:space="preserve">HYPERLINK("https://www.infonalia.es/licitaciones0126/2026001427.pdf","www.infonalia.es/licitaciones0126/2026001427.pdf")</x:f>
        <x:v>www.infonalia.es/licitaciones0126/2026001427.pdf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