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<x:sst xmlns:x="http://schemas.openxmlformats.org/spreadsheetml/2006/main" count="6" uniqueCount="6">
  <x:si>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</x:si>
  <x:si>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</x:si>
  <x:si>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</x:si>
  <x:si>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</x:si>
  <x:si>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</x:si>
  <x:si>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</x:si>
  <x:si>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2026003333</x:t>
  </x:si>
  <x:si>
    <x:t>Corrección de errores</x:t>
  </x:si>
  <x:si>
    <x:t>MADRID DESTINO CULTURA TURISMO Y NEGOCIO, S.A.</x:t>
  </x:si>
  <x:si>
    <x:t>Contratación de la prestación de los servicios de coordinación y trabajo de comunicación, atención a medios y redes sociales de campañas culturales (Lotes 1, 2, 3, 4 y 5) que son encomendadas a Madrid Destino. Lote 1: Navidad y Cabalgata de Reyes, San Isidro y Carnaval. Lote 2: Veranos de la Villa y Refúgiate en la Cultura, Semana Santa y Año Nuevo Chino. Lote 3: Festival Internacional JAZZMADRID. Lote 4: Bienal Flamenco Madrid. Lote 5: Campañas culturales nuevas: medio mes y mes entero.</x:t>
  </x:si>
  <x:si>
    <x:t>2026009924</x:t>
  </x:si>
  <x:si>
    <x:t>Aclaración / Ampliación de pliegos</x:t>
  </x:si>
  <x:si>
    <x:t>CONSORCI DEL BAGES PER A LA GESTIÓ DE RESIDUS</x:t>
  </x:si>
  <x:si>
    <x:t>Servicio de comunicación y gestión de redes sociales</x:t>
  </x:si>
  <x:si>
    <x:t>2026010021</x:t>
  </x:si>
  <x:si>
    <x:t>DIPUTACIÓN DE BARCELONA</x:t>
  </x:si>
  <x:si>
    <x:t>Servicio de subtitulado para las proyecciones cinematográficas y DCP (Digital Cinema Package), y para los vídeos que forman parte de las exposiciones e instalaciones artísticas audiovisuales y los vídeos que el CCCB publica online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</x:si>
</x:sst>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HYPERLINK("https://www.infonalia.es/modificaciones0226/2026003333.pdf","www.infonalia.es/modificaciones0226/2026003333.pdf")</x:f>
        <x:v>www.infonalia.es/modificaciones0226/2026003333.pdf</x:v>
      </x:c>
      <x:c r="F2" s="5" t="str">
        <x:f xml:space="preserve">HYPERLINK("https://www.infonalia.es/licitaciones0126/2026003333.pdf","www.infonalia.es/licitaciones0126/2026003333.pdf")</x:f>
        <x:v>www.infonalia.es/licitaciones0126/2026003333.pdf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HYPERLINK("https://www.infonalia.es/modificaciones0226/2026009924.pdf","www.infonalia.es/modificaciones0226/2026009924.pdf")</x:f>
        <x:v>www.infonalia.es/modificaciones0226/2026009924.pdf</x:v>
      </x:c>
      <x:c r="F3" s="5" t="str">
        <x:f xml:space="preserve">HYPERLINK("https://www.infonalia.es/licitaciones0126/2026009924.pdf","www.infonalia.es/licitaciones0126/2026009924.pdf")</x:f>
        <x:v>www.infonalia.es/licitaciones0126/2026009924.pdf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HYPERLINK("https://www.infonalia.es/modificaciones0226/2026010021.pdf","www.infonalia.es/modificaciones0226/2026010021.pdf")</x:f>
        <x:v>www.infonalia.es/modificaciones0226/2026010021.pdf</x:v>
      </x:c>
      <x:c r="F4" s="5" t="str">
        <x:f xml:space="preserve">HYPERLINK("https://www.infonalia.es/licitaciones0126/2026010021.pdf","www.infonalia.es/licitaciones0126/2026010021.pdf")</x:f>
        <x:v>www.infonalia.es/licitaciones0126/2026010021.pdf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