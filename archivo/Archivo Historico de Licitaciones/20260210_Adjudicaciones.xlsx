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Adjudicaciones" sheetId="1" r:id="rId1"/>
  </x:sheets>
  <x:definedNames>
    <x:definedName name="_xlnm._FilterDatabase" localSheetId="0" hidden="1">Adjudicaciones!$A$1:$K$1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<x:sst xmlns:x="http://schemas.openxmlformats.org/spreadsheetml/2006/main" count="11" uniqueCount="11">
  <x:si>
    <x:t>Tipo Adjudicacion</x:t>
  </x:si>
  <x:si>
    <x:t>Contratista</x:t>
  </x:si>
  <x:si>
    <x:t>Fecha</x:t>
  </x:si>
  <x:si>
    <x:t>Pdf Adjudicacion</x:t>
  </x:si>
  <x:si>
    <x:t>Referencia</x:t>
  </x:si>
  <x:si>
    <x:t>Organismo Convocante</x:t>
  </x:si>
  <x:si>
    <x:t>Objeto</x:t>
  </x:si>
  <x:si>
    <x:t>Nº Expediente</x:t>
  </x:si>
  <x:si>
    <x:t>Lugar Ejecucion</x:t>
  </x:si>
  <x:si>
    <x:t>Importe Adjudicacion</x:t>
  </x:si>
  <x:si>
    <x:t>Presupuesto Licitacion</x:t>
  </x:si>
  <x:si>
    <x:t>Adjudicado</x:t>
  </x:si>
  <x:si>
    <x:t>UNA MIRADA INFORMATIVA ESPECIAL SL</x:t>
  </x:si>
  <x:si>
    <x:t>10/02/2026 0:00:00</x:t>
  </x:si>
  <x:si>
    <x:t>26020329</x:t>
  </x:si>
  <x:si>
    <x:t>GENERALITAT DE CATALUNYA. DEPARTAMENTO DE POLÍTICA LINGÜÍSTICA</x:t>
  </x:si>
  <x:si>
    <x:t>Producción de 5 vídeos breves para fomentar el aprendizaje y el uso del catalán en el comercio de proximidad, dirigidos a colectivos de personas recién llegadas con presencia destacada en el sector comercial</x:t>
  </x:si>
  <x:si>
    <x:t>LI-2026-6</x:t>
  </x:si>
  <x:si>
    <x:t>Catalunya</x:t>
  </x:si>
  <x:si>
    <x:t>Formalizado</x:t>
  </x:si>
  <x:si>
    <x:t>LOTE 3 OPTIMPEOPLE S.L.</x:t>
  </x:si>
  <x:si>
    <x:t>26020337</x:t>
  </x:si>
  <x:si>
    <x:t>CONSELL COMARCAL DE LA RIBERA D'EBRE (TARRAGONA)</x:t>
  </x:si>
  <x:si>
    <x:t>El objeto del contrato consiste en la regulación técnica y cubrir la prestación del servicio para promover e incentivar al sector empresarial, atraer nuevas inversiones y dinamizar las áreas industriales de la Ribera d'Ebre. Y, de la acción 21-02 denominada "Asistencia técnica para la dinamización del sector industrial". Con el objetivo de identificar y mapear las zonas industriales con potencial, mejorar la visibilidad de los polígonos industriales e impulsar una estrategia de dinamización integral que favorezca el desarrollo económico y la atracción de inversiones. Lote 1 Mapeo de las zonas con potencial industrializable de los municipios de la Ribera d'Ebre. Lote 2 Actualización del sitio web de Polígonos Industriales, creación de materiales de marketing y creación de una base de datos empresarial. Lote 3 Acuerdos de colaboración con entidades públicas, programa de incubación de start-ups, programa de soft landing, programa de fomento de la emprendeduría en las escuelas e institutos de la comarca, organización y dinamización de encuentros empresariales en la Ribera de Ebre</x:t>
  </x:si>
  <x:si>
    <x:t>607/2025</x:t>
  </x:si>
  <x:si>
    <x:t>Tarragona</x:t>
  </x:si>
  <x:si>
    <x:t>FESTES INFANTILS MOBILPARC, S.L</x:t>
  </x:si>
  <x:si>
    <x:t>26020499</x:t>
  </x:si>
  <x:si>
    <x:t>AYUNTAMIENTO DE BARBERÀ DEL VALLÈS (BARCELONA)</x:t>
  </x:si>
  <x:si>
    <x:t>Contratación del servicio de gestión integral del espacio familiar “Barberà en Familia” de la Fiesta Mayor 2025 de Barberà del Vallès que, junto a su codificación, figura en los apartados A) y C) del cuadro de características anexo (Anexo 1). En la licitación y ejecución del contrato regirán, además de la normativa legal aplicable, el Pliego de cláusulas administrativas particulares y el Pliego de prescripciones técnicas (PPT) (Anexo 2).</x:t>
  </x:si>
  <x:si>
    <x:t>N774250046</x:t>
  </x:si>
  <x:si>
    <x:t>Barcelona</x:t>
  </x:si>
  <x:si>
    <x:t>PUBLISERVEI, S.L</x:t>
  </x:si>
  <x:si>
    <x:t>26020530</x:t>
  </x:si>
  <x:si>
    <x:t>AYUNTAMIENTO DE L'HOSPITALET DE LLOBREGAT (BARCELONA)</x:t>
  </x:si>
  <x:si>
    <x:t>Servicio de producción, colocación, control de seguimiento y posterior retirada de los diferentes elementos comunicacionales y publicitarios del Ayuntamiento de Hospitalet de Llobregat.</x:t>
  </x:si>
  <x:si>
    <x:t>AJT/4444/2025</x:t>
  </x:si>
  <x:si>
    <x:t>CONMUNICA MEDIATRADER, S.L.U</x:t>
  </x:si>
  <x:si>
    <x:t>26020580</x:t>
  </x:si>
  <x:si>
    <x:t>MINISTERIO DE DEFENSA. INTENDENCIA DE MADRID</x:t>
  </x:si>
  <x:si>
    <x:t>T.A Asistencia Técnica para la elaboración del plan de comunicación y su seguimiento durante la conmemoración del centenario del Buque Escuela JSE.</x:t>
  </x:si>
  <x:si>
    <x:t>2025/AR21U/00002164E</x:t>
  </x:si>
  <x:si>
    <x:t>Madrid</x:t>
  </x:si>
  <x:si>
    <x:t>LABAD &amp; ARTEAGA, S.L</x:t>
  </x:si>
  <x:si>
    <x:t>26020670</x:t>
  </x:si>
  <x:si>
    <x:t>COMUNIDAD DE MADRID. CONSEJERÍA DE CULTURA, TURISMO Y DEPORTE CONSEJERÍA DE CULTURA, TURISMO Y DEPORTE</x:t>
  </x:si>
  <x:si>
    <x:t>Prestación del servicio de montaje, desmontaje y mantenimiento de la exposición ‘Valle Inclán en Madrid”, que se celebrará en la Sala de Exposiciones de la Biblioteca Regional de Madrid</x:t>
  </x:si>
  <x:si>
    <x:t>C-332B/013-25 (A/SER-043669/2025)</x:t>
  </x:si>
  <x:si>
    <x:t>NTT DATA SPAIN, S.L.U</x:t>
  </x:si>
  <x:si>
    <x:t>26020706</x:t>
  </x:si>
  <x:si>
    <x:t>AENA. DIRECCIÓN DE CONTRATACIÓN</x:t>
  </x:si>
  <x:si>
    <x:t>Servicios De Analítica Digital, Seo/Aso Y Posicionamiento digital En Web, Apps Y Redes Sociales De Aena</x:t>
  </x:si>
  <x:si>
    <x:t>DCP-387/2025</x:t>
  </x:si>
  <x:si>
    <x:t>JUAN GUARDIOLA ROMÁN</x:t>
  </x:si>
  <x:si>
    <x:t>26020728</x:t>
  </x:si>
  <x:si>
    <x:t>MINISTERIO DE ECONOMÍA, COMERCIO Y EMPRESA. DIRECCIÓN DE LA FUNDACIÓN ICO</x:t>
  </x:si>
  <x:si>
    <x:t>Comisariado de la exposición "Jorge Yeregui: territorio, arquitectura y cultura" (título provisional), que tendrá lugar en el Museo ICO entre 3 de junio y el 6 de septiembre de 2026</x:t>
  </x:si>
  <x:si>
    <x:t>NSP30/2025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</x:si>
</x:sst>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"/>
  <x:sheetViews>
    <x:sheetView showGridLines="0" tabSelected="1" zoomScaleNormal="100" workbookViewId="0">
      <x:selection sqref="A1:XFD1"/>
    </x:sheetView>
  </x:sheetViews>
  <x:sheetFormatPr baseColWidth="10" defaultColWidth="16" defaultRowHeight="12.75"/>
  <x:cols>
    <x:col min="1" max="1" width="14.42578125" style="1" customWidth="1"/>
    <x:col min="2" max="2" width="19.85546875" style="1" customWidth="1"/>
    <x:col min="3" max="3" width="11.5703125" style="1" hidden="1" customWidth="1"/>
    <x:col min="4" max="4" width="20.140625" style="1" customWidth="1"/>
    <x:col min="5" max="5" width="11.140625" style="2" customWidth="1"/>
    <x:col min="6" max="6" width="26.7109375" style="1" customWidth="1"/>
    <x:col min="7" max="7" width="47.28515625" style="1" customWidth="1"/>
    <x:col min="8" max="8" width="15.7109375" style="1" customWidth="1"/>
    <x:col min="9" max="9" width="13.42578125" style="1" customWidth="1"/>
    <x:col min="10" max="10" width="17.28515625" style="1" customWidth="1"/>
    <x:col min="11" max="11" width="18" style="1" customWidth="1"/>
    <x:col min="12" max="16384" width="16" style="1"/>
  </x:cols>
  <x:sheetData>
    <x:row r="1" spans="1:11" s="5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4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</x:row>
    <x:row r="2" spans="1:11">
      <x:c r="A2" s="6" t="s">
        <x:v>11</x:v>
      </x:c>
      <x:c r="B2" s="6" t="s">
        <x:v>12</x:v>
      </x:c>
      <x:c r="C2" s="6" t="s">
        <x:v>13</x:v>
      </x:c>
      <x:c r="D2" s="7" t="str">
        <x:f xml:space="preserve">HYPERLINK("https://www.infonalia.es/adjudicaciones0226/26020329.pdf","www.infonalia.es/adjudicaciones0226/26020329.pdf")</x:f>
        <x:v>www.infonalia.es/adjudicaciones0226/26020329.pdf</x:v>
      </x:c>
      <x:c r="E2" s="8" t="s">
        <x:v>14</x:v>
      </x:c>
      <x:c r="F2" s="6" t="s">
        <x:v>15</x:v>
      </x:c>
      <x:c r="G2" s="6" t="s">
        <x:v>16</x:v>
      </x:c>
      <x:c r="H2" s="6" t="s">
        <x:v>17</x:v>
      </x:c>
      <x:c r="I2" s="6" t="s">
        <x:v>18</x:v>
      </x:c>
      <x:c r="J2" s="9" t="n">
        <x:v>54000.00</x:v>
      </x:c>
      <x:c r="K2" s="9" t="n">
        <x:v>60000.00</x:v>
      </x:c>
    </x:row>
    <x:row r="3">
      <x:c r="A3" s="6" t="s">
        <x:v>19</x:v>
      </x:c>
      <x:c r="B3" s="6" t="s">
        <x:v>20</x:v>
      </x:c>
      <x:c r="C3" s="6" t="s">
        <x:v>13</x:v>
      </x:c>
      <x:c r="D3" s="7" t="str">
        <x:f xml:space="preserve">HYPERLINK("https://www.infonalia.es/adjudicaciones0226/26020337.pdf","www.infonalia.es/adjudicaciones0226/26020337.pdf")</x:f>
        <x:v>www.infonalia.es/adjudicaciones0226/26020337.pdf</x:v>
      </x:c>
      <x:c r="E3" s="8" t="s">
        <x:v>21</x:v>
      </x:c>
      <x:c r="F3" s="6" t="s">
        <x:v>22</x:v>
      </x:c>
      <x:c r="G3" s="6" t="s">
        <x:v>23</x:v>
      </x:c>
      <x:c r="H3" s="6" t="s">
        <x:v>24</x:v>
      </x:c>
      <x:c r="I3" s="6" t="s">
        <x:v>25</x:v>
      </x:c>
      <x:c r="J3" s="9" t="n">
        <x:v>82351.37</x:v>
      </x:c>
      <x:c r="K3" s="9" t="n">
        <x:v>122727.27</x:v>
      </x:c>
    </x:row>
    <x:row r="4">
      <x:c r="A4" s="6" t="s">
        <x:v>11</x:v>
      </x:c>
      <x:c r="B4" s="6" t="s">
        <x:v>26</x:v>
      </x:c>
      <x:c r="C4" s="6" t="s">
        <x:v>13</x:v>
      </x:c>
      <x:c r="D4" s="7" t="str">
        <x:f xml:space="preserve">HYPERLINK("https://www.infonalia.es/adjudicaciones0226/26020499.pdf","www.infonalia.es/adjudicaciones0226/26020499.pdf")</x:f>
        <x:v>www.infonalia.es/adjudicaciones0226/26020499.pdf</x:v>
      </x:c>
      <x:c r="E4" s="8" t="s">
        <x:v>27</x:v>
      </x:c>
      <x:c r="F4" s="6" t="s">
        <x:v>28</x:v>
      </x:c>
      <x:c r="G4" s="6" t="s">
        <x:v>29</x:v>
      </x:c>
      <x:c r="H4" s="6" t="s">
        <x:v>30</x:v>
      </x:c>
      <x:c r="I4" s="6" t="s">
        <x:v>31</x:v>
      </x:c>
      <x:c r="J4" s="9" t="n">
        <x:v>32200.00</x:v>
      </x:c>
      <x:c r="K4" s="9" t="n">
        <x:v>32385.00</x:v>
      </x:c>
    </x:row>
    <x:row r="5">
      <x:c r="A5" s="6" t="s">
        <x:v>11</x:v>
      </x:c>
      <x:c r="B5" s="6" t="s">
        <x:v>32</x:v>
      </x:c>
      <x:c r="C5" s="6" t="s">
        <x:v>13</x:v>
      </x:c>
      <x:c r="D5" s="7" t="str">
        <x:f xml:space="preserve">HYPERLINK("https://www.infonalia.es/adjudicaciones0226/26020530.pdf","www.infonalia.es/adjudicaciones0226/26020530.pdf")</x:f>
        <x:v>www.infonalia.es/adjudicaciones0226/26020530.pdf</x:v>
      </x:c>
      <x:c r="E5" s="8" t="s">
        <x:v>33</x:v>
      </x:c>
      <x:c r="F5" s="6" t="s">
        <x:v>34</x:v>
      </x:c>
      <x:c r="G5" s="6" t="s">
        <x:v>35</x:v>
      </x:c>
      <x:c r="H5" s="6" t="s">
        <x:v>36</x:v>
      </x:c>
      <x:c r="I5" s="6" t="s">
        <x:v>31</x:v>
      </x:c>
      <x:c r="J5" s="9" t="n">
        <x:v>360000.00</x:v>
      </x:c>
      <x:c r="K5" s="9" t="n">
        <x:v>360000.00</x:v>
      </x:c>
    </x:row>
    <x:row r="6">
      <x:c r="A6" s="6" t="s">
        <x:v>11</x:v>
      </x:c>
      <x:c r="B6" s="6" t="s">
        <x:v>37</x:v>
      </x:c>
      <x:c r="C6" s="6" t="s">
        <x:v>13</x:v>
      </x:c>
      <x:c r="D6" s="7" t="str">
        <x:f xml:space="preserve">HYPERLINK("https://www.infonalia.es/adjudicaciones0226/26020580.pdf","www.infonalia.es/adjudicaciones0226/26020580.pdf")</x:f>
        <x:v>www.infonalia.es/adjudicaciones0226/26020580.pdf</x:v>
      </x:c>
      <x:c r="E6" s="8" t="s">
        <x:v>38</x:v>
      </x:c>
      <x:c r="F6" s="6" t="s">
        <x:v>39</x:v>
      </x:c>
      <x:c r="G6" s="6" t="s">
        <x:v>40</x:v>
      </x:c>
      <x:c r="H6" s="6" t="s">
        <x:v>41</x:v>
      </x:c>
      <x:c r="I6" s="6" t="s">
        <x:v>42</x:v>
      </x:c>
      <x:c r="J6" s="9" t="n">
        <x:v>157768.38</x:v>
      </x:c>
      <x:c r="K6" s="9" t="n">
        <x:v>256198.34</x:v>
      </x:c>
    </x:row>
    <x:row r="7">
      <x:c r="A7" s="6" t="s">
        <x:v>11</x:v>
      </x:c>
      <x:c r="B7" s="6" t="s">
        <x:v>43</x:v>
      </x:c>
      <x:c r="C7" s="6" t="s">
        <x:v>13</x:v>
      </x:c>
      <x:c r="D7" s="7" t="str">
        <x:f xml:space="preserve">HYPERLINK("https://www.infonalia.es/adjudicaciones0226/26020670.pdf","www.infonalia.es/adjudicaciones0226/26020670.pdf")</x:f>
        <x:v>www.infonalia.es/adjudicaciones0226/26020670.pdf</x:v>
      </x:c>
      <x:c r="E7" s="8" t="s">
        <x:v>44</x:v>
      </x:c>
      <x:c r="F7" s="6" t="s">
        <x:v>45</x:v>
      </x:c>
      <x:c r="G7" s="6" t="s">
        <x:v>46</x:v>
      </x:c>
      <x:c r="H7" s="6" t="s">
        <x:v>47</x:v>
      </x:c>
      <x:c r="I7" s="6" t="s">
        <x:v>42</x:v>
      </x:c>
      <x:c r="J7" s="9" t="n">
        <x:v>74669.69</x:v>
      </x:c>
      <x:c r="K7" s="9" t="n">
        <x:v>83800.00</x:v>
      </x:c>
    </x:row>
    <x:row r="8">
      <x:c r="A8" s="6" t="s">
        <x:v>11</x:v>
      </x:c>
      <x:c r="B8" s="6" t="s">
        <x:v>48</x:v>
      </x:c>
      <x:c r="C8" s="6" t="s">
        <x:v>13</x:v>
      </x:c>
      <x:c r="D8" s="7" t="str">
        <x:f xml:space="preserve">HYPERLINK("https://www.infonalia.es/adjudicaciones0226/26020706.pdf","www.infonalia.es/adjudicaciones0226/26020706.pdf")</x:f>
        <x:v>www.infonalia.es/adjudicaciones0226/26020706.pdf</x:v>
      </x:c>
      <x:c r="E8" s="8" t="s">
        <x:v>49</x:v>
      </x:c>
      <x:c r="F8" s="6" t="s">
        <x:v>50</x:v>
      </x:c>
      <x:c r="G8" s="6" t="s">
        <x:v>51</x:v>
      </x:c>
      <x:c r="H8" s="6" t="s">
        <x:v>52</x:v>
      </x:c>
      <x:c r="I8" s="6" t="s">
        <x:v>42</x:v>
      </x:c>
      <x:c r="J8" s="9" t="n">
        <x:v>130000.00</x:v>
      </x:c>
      <x:c r="K8" s="9" t="n">
        <x:v>200000.00</x:v>
      </x:c>
    </x:row>
    <x:row r="9">
      <x:c r="A9" s="6" t="s">
        <x:v>11</x:v>
      </x:c>
      <x:c r="B9" s="6" t="s">
        <x:v>53</x:v>
      </x:c>
      <x:c r="C9" s="6" t="s">
        <x:v>13</x:v>
      </x:c>
      <x:c r="D9" s="7" t="str">
        <x:f xml:space="preserve">HYPERLINK("https://www.infonalia.es/adjudicaciones0226/26020728.pdf","www.infonalia.es/adjudicaciones0226/26020728.pdf")</x:f>
        <x:v>www.infonalia.es/adjudicaciones0226/26020728.pdf</x:v>
      </x:c>
      <x:c r="E9" s="8" t="s">
        <x:v>54</x:v>
      </x:c>
      <x:c r="F9" s="6" t="s">
        <x:v>55</x:v>
      </x:c>
      <x:c r="G9" s="6" t="s">
        <x:v>56</x:v>
      </x:c>
      <x:c r="H9" s="6" t="s">
        <x:v>57</x:v>
      </x:c>
      <x:c r="I9" s="6" t="s">
        <x:v>42</x:v>
      </x:c>
      <x:c r="J9" s="9" t="n">
        <x:v>9917.36</x:v>
      </x:c>
      <x:c r="K9" s="9" t="n">
        <x:v>9917.36</x:v>
      </x:c>
    </x:row>
  </x:sheetData>
  <x:autoFilter ref="A1:K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Adjudicaciones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2024-12-04T08:58:32Z</dcterms:created>
  <dcterms:modified xsi:type="dcterms:W3CDTF">2025-01-20T07:55:24Z</dcterms:modified>
  <dc:language>es-ES</dc:language>
</cp:coreProperties>
</file>