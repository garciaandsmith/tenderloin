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<x:sst xmlns:x="http://schemas.openxmlformats.org/spreadsheetml/2006/main" count="11" uniqueCount="11">
  <x:si>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</x:si>
  <x:si>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</x:si>
  <x:si>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</x:si>
  <x:si>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</x:si>
  <x:si>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</x:si>
  <x:si>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</x:si>
  <x:si>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</x:si>
  <x:si>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</x:si>
  <x:si>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</x:si>
  <x:si>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</x:si>
  <x:si>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</x:si>
  <x:si>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</x:si>
  <x:si>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FACTO COOPERATIVA SCCL</x:t>
  </x:si>
  <x:si>
    <x:t>12/12/2025 0:00:00</x:t>
  </x:si>
  <x:si>
    <x:t>25249615</x:t>
  </x:si>
  <x:si>
    <x:t>BARCELONA ACTIVA SAU SPM</x:t>
  </x:si>
  <x:si>
    <x:t>Servicios de realización del módulo de sinergias y actos de networking en el marco del Programa Ideas con Futuro (Exp. 64-25)</x:t>
  </x:si>
  <x:si>
    <x:t>64-25</x:t>
  </x:si>
  <x:si>
    <x:t>Barcelona</x:t>
  </x:si>
  <x:si>
    <x:t>ASSOCIACIO MERCAT DE COLOM</x:t>
  </x:si>
  <x:si>
    <x:t>25249757</x:t>
  </x:si>
  <x:si>
    <x:t>GERENCIA URBANÍSTICA PORT VELL DE LA AUTORIDAD PORTUARIA DE BARCELONA</x:t>
  </x:si>
  <x:si>
    <x:t>Contratación de los derechos de uso de superficie para la instalación y explotación de un mercado de brocanteria en el Portal de la Pau en el Port Vell</x:t>
  </x:si>
  <x:si>
    <x:t>I04/25</x:t>
  </x:si>
  <x:si>
    <x:t>ROCA CALDENTEY,S.L</x:t>
  </x:si>
  <x:si>
    <x:t>25249799</x:t>
  </x:si>
  <x:si>
    <x:t>GENERALITAT DE CATALUNYA. DEPARTAMENTO DE INVESTIGACIÓN Y UNIVERSIDADES</x:t>
  </x:si>
  <x:si>
    <x:t>Servicios de diseño, montaje, desmontaje y almacenamiento de un stand del Consejo Interuniversitario de Cataluña para su participación en la feria de educación Saló de l'Ensenyament para 2026 y 2027</x:t>
  </x:si>
  <x:si>
    <x:t>UR-2026-4</x:t>
  </x:si>
  <x:si>
    <x:t>GESPER RECURSOS HUMANOS, S.L</x:t>
  </x:si>
  <x:si>
    <x:t>25249921</x:t>
  </x:si>
  <x:si>
    <x:t>CONSEJERA DELEGADA DE LA EMPRESA PÚBLICA DE PROMOCIÓN DEL TURISMO Y LA ARTESANÍA DE CASTILLA-LA MANCHA (ETURIA), S.A</x:t>
  </x:si>
  <x:si>
    <x:t>Servicios de apoyo a las acciones y promociones en las ferias y eventos peninsulares en los que participe ETURIA CLM en 2026</x:t>
  </x:si>
  <x:si>
    <x:t>2025/016368</x:t>
  </x:si>
  <x:si>
    <x:t>Ver pliegos</x:t>
  </x:si>
  <x:si>
    <x:t>LOTE 2 ZELIG COMUNICACIÓ SL</x:t>
  </x:si>
  <x:si>
    <x:t>25250191</x:t>
  </x:si>
  <x:si>
    <x:t>AYUNTAMIENTO DE GRANOLLERS (BARCELONA)</x:t>
  </x:si>
  <x:si>
    <x:t>La señalización física de los recursos turísticos, el servicio de la promoción turística y producción de recursos digitales vinculados al proyecto de rehabilitación y valorización de las murallas medievales de Granollers con el fin de mejorar la experiencia de la visita al patrimonio de las murallas de la ciudad de Granollers y potenciar el itinerario turístico y cultural. – Next Generation. Lote 1 Sistema de señalización física de los recursos turísticos. Lote 2 Servicio de promoción turística. Lote 3 Producción de recursos digitales de interpretación y difusión.</x:t>
  </x:si>
  <x:si>
    <x:t>2025/078 (75/2025/CONT)</x:t>
  </x:si>
  <x:si>
    <x:t>Formalizado</x:t>
  </x:si>
  <x:si>
    <x:t>LOTE 2 TUCAN MEDIA LAB, SL</x:t>
  </x:si>
  <x:si>
    <x:t>25250199</x:t>
  </x:si>
  <x:si>
    <x:t>BIBLIOTECA DE CATALUNYA</x:t>
  </x:si>
  <x:si>
    <x:t>Servicio de digitalización de documentos sonoros de la Biblioteca de Catalunya. Lote 1. Cintas magnéticas audio en rodillo abierto. Lote 2. Cintas de vídeo formato no doméstico.</x:t>
  </x:si>
  <x:si>
    <x:t>BC-2025-146</x:t>
  </x:si>
  <x:si>
    <x:t>Catalunya</x:t>
  </x:si>
  <x:si>
    <x:t>REAL CIENCIAS RUGBY CLUB</x:t>
  </x:si>
  <x:si>
    <x:t>25250269</x:t>
  </x:si>
  <x:si>
    <x:t>EMPRESA PÚBLICA PARA LA GESTIÓN DEL TURISMO Y EL DEPORTE DE ANDALUCÍA, S.A</x:t>
  </x:si>
  <x:si>
    <x:t>Patrocinio ciencias rugby club temporada 2025-2026</x:t>
  </x:si>
  <x:si>
    <x:t>C2N06-05RG-1125-0203</x:t>
  </x:si>
  <x:si>
    <x:t>----------</x:t>
  </x:si>
  <x:si>
    <x:t>CD AMIGOS DEL BALONCESTO DE ESTEPONA</x:t>
  </x:si>
  <x:si>
    <x:t>25250271</x:t>
  </x:si>
  <x:si>
    <x:t>Patrocinio del equipo ingeniería ambiental cab Estepona durante la temporada 2025- 2026</x:t>
  </x:si>
  <x:si>
    <x:t>C2N06-05RG-1125-0208</x:t>
  </x:si>
  <x:si>
    <x:t>SERVICIOS E INFORMACION DEL METAL,S.L.U</x:t>
  </x:si>
  <x:si>
    <x:t>25250313</x:t>
  </x:si>
  <x:si>
    <x:t>CONSEJERÍA DELEGADA DE GETAFE INICIATIVAS, S.A</x:t>
  </x:si>
  <x:si>
    <x:t>Promoción de la industria del metal mecanizado en Getafe</x:t>
  </x:si>
  <x:si>
    <x:t>114/2025</x:t>
  </x:si>
  <x:si>
    <x:t>Madrid</x:t>
  </x:si>
  <x:si>
    <x:t>CLUB AGRUPACION VOLEIBOL ESQUIMO</x:t>
  </x:si>
  <x:si>
    <x:t>25250351</x:t>
  </x:si>
  <x:si>
    <x:t>Patrocinio fundación unicaja Andalucía voleibol esquimo - temporada 2025-26</x:t>
  </x:si>
  <x:si>
    <x:t>C2N06-05TG-1125-0184</x:t>
  </x:si>
  <x:si>
    <x:t>TELEFONICA SOLUCIONES DE INFORMATICA Y COMUNICACIONES DE ESPAÑA S.A.U. </x:t>
  </x:si>
  <x:si>
    <x:t>25250410</x:t>
  </x:si>
  <x:si>
    <x:t>MINISTERIO DE HACIENDA. D.G. DE RACIONALIZACIÓN Y CENTRALIZACIÓN DE LA CONTRATACIÓN</x:t>
  </x:si>
  <x:si>
    <x:t>Adquisición De Licencias De Sitio De Software Para La Gestión Y Análisis Avanzado De Bases De Datos Con Destino A La Agencia Estatal De Administración Tributaria (Servicio De Gestion Economica De La A.E.A.T.)</x:t>
  </x:si>
  <x:si>
    <x:t>CEA5986/2025</x:t>
  </x:si>
  <x:si>
    <x:t>IRISMEDIA AGENCIA DE MEDIOS S.L</x:t>
  </x:si>
  <x:si>
    <x:t>25250412</x:t>
  </x:si>
  <x:si>
    <x:t>ÁREA DE GOBIERNO DE VICEALCALDÍA, PORTAVOZ, SEGURIDAD Y EMERGENCIAS DEL AYUNTAMIENTO DE MADRID</x:t>
  </x:si>
  <x:si>
    <x:t>Difusión de la campaña de Presupuestos Participativos 2026: fase I presentación de proyectos</x:t>
  </x:si>
  <x:si>
    <x:t>511/2024/09993.1.54</x:t>
  </x:si>
  <x:si>
    <x:t>RPM RACING, S.L.U</x:t>
  </x:si>
  <x:si>
    <x:t>25250442</x:t>
  </x:si>
  <x:si>
    <x:t>JUNTA DE GOBIERNO LOCAL DEL AYUNTAMIENTO DE VILLANUEVA DEL PARDILLO (MADRID)</x:t>
  </x:si>
  <x:si>
    <x:t>Organización, desarrollo y celebración del evento ciclista “MUSSARA”, que tendrá lugar el domingo 26 de octubre de 2025, con salida y llegada en Villanueva del Pardillo</x:t>
  </x:si>
  <x:si>
    <x:t>5433/2025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</x:si>
</x:sst>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HYPERLINK("https://www.infonalia.es/adjudicaciones1225/25249615.pdf","www.infonalia.es/adjudicaciones1225/25249615.pdf")</x:f>
        <x:v>www.infonalia.es/adjudicaciones1225/25249615.pdf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8142.20</x:v>
      </x:c>
      <x:c r="K2" s="9" t="n">
        <x:v>9047.00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HYPERLINK("https://www.infonalia.es/adjudicaciones1225/25249757.pdf","www.infonalia.es/adjudicaciones1225/25249757.pdf")</x:f>
        <x:v>www.infonalia.es/adjudicaciones1225/25249757.pdf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18</x:v>
      </x:c>
      <x:c r="J3" s="9" t="n">
        <x:v>86864.76</x:v>
      </x:c>
      <x:c r="K3" s="9" t="n">
        <x:v>85864.76</x:v>
      </x:c>
    </x:row>
    <x:row r="4">
      <x:c r="A4" s="6" t="s">
        <x:v>11</x:v>
      </x:c>
      <x:c r="B4" s="6" t="s">
        <x:v>24</x:v>
      </x:c>
      <x:c r="C4" s="6" t="s">
        <x:v>13</x:v>
      </x:c>
      <x:c r="D4" s="7" t="str">
        <x:f xml:space="preserve">HYPERLINK("https://www.infonalia.es/adjudicaciones1225/25249799.pdf","www.infonalia.es/adjudicaciones1225/25249799.pdf")</x:f>
        <x:v>www.infonalia.es/adjudicaciones1225/25249799.pdf</x:v>
      </x:c>
      <x:c r="E4" s="8" t="s">
        <x:v>25</x:v>
      </x:c>
      <x:c r="F4" s="6" t="s">
        <x:v>26</x:v>
      </x:c>
      <x:c r="G4" s="6" t="s">
        <x:v>27</x:v>
      </x:c>
      <x:c r="H4" s="6" t="s">
        <x:v>28</x:v>
      </x:c>
      <x:c r="I4" s="6" t="s">
        <x:v>18</x:v>
      </x:c>
      <x:c r="J4" s="9" t="n">
        <x:v>167123.96</x:v>
      </x:c>
      <x:c r="K4" s="9" t="n">
        <x:v>183652.70</x:v>
      </x:c>
    </x:row>
    <x:row r="5">
      <x:c r="A5" s="6" t="s">
        <x:v>11</x:v>
      </x:c>
      <x:c r="B5" s="6" t="s">
        <x:v>29</x:v>
      </x:c>
      <x:c r="C5" s="6" t="s">
        <x:v>13</x:v>
      </x:c>
      <x:c r="D5" s="7" t="str">
        <x:f xml:space="preserve">HYPERLINK("https://www.infonalia.es/adjudicaciones1225/25249921.pdf","www.infonalia.es/adjudicaciones1225/25249921.pdf")</x:f>
        <x:v>www.infonalia.es/adjudicaciones1225/25249921.pdf</x:v>
      </x:c>
      <x:c r="E5" s="8" t="s">
        <x:v>30</x:v>
      </x:c>
      <x:c r="F5" s="6" t="s">
        <x:v>31</x:v>
      </x:c>
      <x:c r="G5" s="6" t="s">
        <x:v>32</x:v>
      </x:c>
      <x:c r="H5" s="6" t="s">
        <x:v>33</x:v>
      </x:c>
      <x:c r="I5" s="6" t="s">
        <x:v>34</x:v>
      </x:c>
      <x:c r="J5" s="9" t="n">
        <x:v>65262.20</x:v>
      </x:c>
      <x:c r="K5" s="9" t="n">
        <x:v>70245.00</x:v>
      </x:c>
    </x:row>
    <x:row r="6">
      <x:c r="A6" s="6" t="s">
        <x:v>11</x:v>
      </x:c>
      <x:c r="B6" s="6" t="s">
        <x:v>35</x:v>
      </x:c>
      <x:c r="C6" s="6" t="s">
        <x:v>13</x:v>
      </x:c>
      <x:c r="D6" s="7" t="str">
        <x:f xml:space="preserve">HYPERLINK("https://www.infonalia.es/adjudicaciones1225/25250191.pdf","www.infonalia.es/adjudicaciones1225/25250191.pdf")</x:f>
        <x:v>www.infonalia.es/adjudicaciones1225/25250191.pdf</x:v>
      </x:c>
      <x:c r="E6" s="8" t="s">
        <x:v>36</x:v>
      </x:c>
      <x:c r="F6" s="6" t="s">
        <x:v>37</x:v>
      </x:c>
      <x:c r="G6" s="6" t="s">
        <x:v>38</x:v>
      </x:c>
      <x:c r="H6" s="6" t="s">
        <x:v>39</x:v>
      </x:c>
      <x:c r="I6" s="6" t="s">
        <x:v>18</x:v>
      </x:c>
      <x:c r="J6" s="9" t="n">
        <x:v>32000.00</x:v>
      </x:c>
      <x:c r="K6" s="9" t="n">
        <x:v>82600.00</x:v>
      </x:c>
    </x:row>
    <x:row r="7">
      <x:c r="A7" s="6" t="s">
        <x:v>40</x:v>
      </x:c>
      <x:c r="B7" s="6" t="s">
        <x:v>41</x:v>
      </x:c>
      <x:c r="C7" s="6" t="s">
        <x:v>13</x:v>
      </x:c>
      <x:c r="D7" s="7" t="str">
        <x:f xml:space="preserve">HYPERLINK("https://www.infonalia.es/adjudicaciones1225/25250199.pdf","www.infonalia.es/adjudicaciones1225/25250199.pdf")</x:f>
        <x:v>www.infonalia.es/adjudicaciones1225/25250199.pdf</x:v>
      </x:c>
      <x:c r="E7" s="8" t="s">
        <x:v>42</x:v>
      </x:c>
      <x:c r="F7" s="6" t="s">
        <x:v>43</x:v>
      </x:c>
      <x:c r="G7" s="6" t="s">
        <x:v>44</x:v>
      </x:c>
      <x:c r="H7" s="6" t="s">
        <x:v>45</x:v>
      </x:c>
      <x:c r="I7" s="6" t="s">
        <x:v>46</x:v>
      </x:c>
      <x:c r="J7" s="9" t="n">
        <x:v>11577.44</x:v>
      </x:c>
      <x:c r="K7" s="9" t="n">
        <x:v>38063.96</x:v>
      </x:c>
    </x:row>
    <x:row r="8">
      <x:c r="A8" s="6" t="s">
        <x:v>11</x:v>
      </x:c>
      <x:c r="B8" s="6" t="s">
        <x:v>47</x:v>
      </x:c>
      <x:c r="C8" s="6" t="s">
        <x:v>13</x:v>
      </x:c>
      <x:c r="D8" s="7" t="str">
        <x:f xml:space="preserve">HYPERLINK("https://www.infonalia.es/adjudicaciones1225/25250269.pdf","www.infonalia.es/adjudicaciones1225/25250269.pdf")</x:f>
        <x:v>www.infonalia.es/adjudicaciones1225/25250269.pdf</x:v>
      </x:c>
      <x:c r="E8" s="8" t="s">
        <x:v>48</x:v>
      </x:c>
      <x:c r="F8" s="6" t="s">
        <x:v>49</x:v>
      </x:c>
      <x:c r="G8" s="6" t="s">
        <x:v>50</x:v>
      </x:c>
      <x:c r="H8" s="6" t="s">
        <x:v>51</x:v>
      </x:c>
      <x:c r="I8" s="6" t="s">
        <x:v>52</x:v>
      </x:c>
      <x:c r="J8" s="9" t="n">
        <x:v>50351.24</x:v>
      </x:c>
      <x:c r="K8" s="9" t="n">
        <x:v>50351.24</x:v>
      </x:c>
    </x:row>
    <x:row r="9">
      <x:c r="A9" s="6" t="s">
        <x:v>11</x:v>
      </x:c>
      <x:c r="B9" s="6" t="s">
        <x:v>53</x:v>
      </x:c>
      <x:c r="C9" s="6" t="s">
        <x:v>13</x:v>
      </x:c>
      <x:c r="D9" s="7" t="str">
        <x:f xml:space="preserve">HYPERLINK("https://www.infonalia.es/adjudicaciones1225/25250271.pdf","www.infonalia.es/adjudicaciones1225/25250271.pdf")</x:f>
        <x:v>www.infonalia.es/adjudicaciones1225/25250271.pdf</x:v>
      </x:c>
      <x:c r="E9" s="8" t="s">
        <x:v>54</x:v>
      </x:c>
      <x:c r="F9" s="6" t="s">
        <x:v>49</x:v>
      </x:c>
      <x:c r="G9" s="6" t="s">
        <x:v>55</x:v>
      </x:c>
      <x:c r="H9" s="6" t="s">
        <x:v>56</x:v>
      </x:c>
      <x:c r="I9" s="6" t="s">
        <x:v>52</x:v>
      </x:c>
      <x:c r="J9" s="9" t="n">
        <x:v>50351.23</x:v>
      </x:c>
      <x:c r="K9" s="9" t="n">
        <x:v>50351.23</x:v>
      </x:c>
    </x:row>
    <x:row r="10">
      <x:c r="A10" s="6" t="s">
        <x:v>11</x:v>
      </x:c>
      <x:c r="B10" s="6" t="s">
        <x:v>57</x:v>
      </x:c>
      <x:c r="C10" s="6" t="s">
        <x:v>13</x:v>
      </x:c>
      <x:c r="D10" s="7" t="str">
        <x:f xml:space="preserve">HYPERLINK("https://www.infonalia.es/adjudicaciones1225/25250313.pdf","www.infonalia.es/adjudicaciones1225/25250313.pdf")</x:f>
        <x:v>www.infonalia.es/adjudicaciones1225/25250313.pdf</x:v>
      </x:c>
      <x:c r="E10" s="8" t="s">
        <x:v>58</x:v>
      </x:c>
      <x:c r="F10" s="6" t="s">
        <x:v>59</x:v>
      </x:c>
      <x:c r="G10" s="6" t="s">
        <x:v>60</x:v>
      </x:c>
      <x:c r="H10" s="6" t="s">
        <x:v>61</x:v>
      </x:c>
      <x:c r="I10" s="6" t="s">
        <x:v>62</x:v>
      </x:c>
      <x:c r="J10" s="9" t="n">
        <x:v>2100.00</x:v>
      </x:c>
      <x:c r="K10" s="9" t="n">
        <x:v>2500.00</x:v>
      </x:c>
    </x:row>
    <x:row r="11">
      <x:c r="A11" s="6" t="s">
        <x:v>11</x:v>
      </x:c>
      <x:c r="B11" s="6" t="s">
        <x:v>63</x:v>
      </x:c>
      <x:c r="C11" s="6" t="s">
        <x:v>13</x:v>
      </x:c>
      <x:c r="D11" s="7" t="str">
        <x:f xml:space="preserve">HYPERLINK("https://www.infonalia.es/adjudicaciones1225/25250351.pdf","www.infonalia.es/adjudicaciones1225/25250351.pdf")</x:f>
        <x:v>www.infonalia.es/adjudicaciones1225/25250351.pdf</x:v>
      </x:c>
      <x:c r="E11" s="8" t="s">
        <x:v>64</x:v>
      </x:c>
      <x:c r="F11" s="6" t="s">
        <x:v>49</x:v>
      </x:c>
      <x:c r="G11" s="6" t="s">
        <x:v>65</x:v>
      </x:c>
      <x:c r="H11" s="6" t="s">
        <x:v>66</x:v>
      </x:c>
      <x:c r="I11" s="6" t="s">
        <x:v>52</x:v>
      </x:c>
      <x:c r="J11" s="9" t="n">
        <x:v>135123.96</x:v>
      </x:c>
      <x:c r="K11" s="9" t="n">
        <x:v>135123.96</x:v>
      </x:c>
    </x:row>
    <x:row r="12">
      <x:c r="A12" s="6" t="s">
        <x:v>11</x:v>
      </x:c>
      <x:c r="B12" s="6" t="s">
        <x:v>67</x:v>
      </x:c>
      <x:c r="C12" s="6" t="s">
        <x:v>13</x:v>
      </x:c>
      <x:c r="D12" s="7" t="str">
        <x:f xml:space="preserve">HYPERLINK("https://www.infonalia.es/adjudicaciones1225/25250410.pdf","www.infonalia.es/adjudicaciones1225/25250410.pdf")</x:f>
        <x:v>www.infonalia.es/adjudicaciones1225/25250410.pdf</x:v>
      </x:c>
      <x:c r="E12" s="8" t="s">
        <x:v>68</x:v>
      </x:c>
      <x:c r="F12" s="6" t="s">
        <x:v>69</x:v>
      </x:c>
      <x:c r="G12" s="6" t="s">
        <x:v>70</x:v>
      </x:c>
      <x:c r="H12" s="6" t="s">
        <x:v>71</x:v>
      </x:c>
      <x:c r="I12" s="6" t="s">
        <x:v>62</x:v>
      </x:c>
      <x:c r="J12" s="9" t="n">
        <x:v>184501.21</x:v>
      </x:c>
      <x:c r="K12" s="9" t="n">
        <x:v>197667.20</x:v>
      </x:c>
    </x:row>
    <x:row r="13">
      <x:c r="A13" s="6" t="s">
        <x:v>11</x:v>
      </x:c>
      <x:c r="B13" s="6" t="s">
        <x:v>72</x:v>
      </x:c>
      <x:c r="C13" s="6" t="s">
        <x:v>13</x:v>
      </x:c>
      <x:c r="D13" s="7" t="str">
        <x:f xml:space="preserve">HYPERLINK("https://www.infonalia.es/adjudicaciones1225/25250412.pdf","www.infonalia.es/adjudicaciones1225/25250412.pdf")</x:f>
        <x:v>www.infonalia.es/adjudicaciones1225/25250412.pdf</x:v>
      </x:c>
      <x:c r="E13" s="8" t="s">
        <x:v>73</x:v>
      </x:c>
      <x:c r="F13" s="6" t="s">
        <x:v>74</x:v>
      </x:c>
      <x:c r="G13" s="6" t="s">
        <x:v>75</x:v>
      </x:c>
      <x:c r="H13" s="6" t="s">
        <x:v>76</x:v>
      </x:c>
      <x:c r="I13" s="6" t="s">
        <x:v>62</x:v>
      </x:c>
      <x:c r="J13" s="9" t="n">
        <x:v>140500.00</x:v>
      </x:c>
      <x:c r="K13" s="9" t="n">
        <x:v>140500.00</x:v>
      </x:c>
    </x:row>
    <x:row r="14">
      <x:c r="A14" s="6" t="s">
        <x:v>11</x:v>
      </x:c>
      <x:c r="B14" s="6" t="s">
        <x:v>77</x:v>
      </x:c>
      <x:c r="C14" s="6" t="s">
        <x:v>13</x:v>
      </x:c>
      <x:c r="D14" s="7" t="str">
        <x:f xml:space="preserve">HYPERLINK("https://www.infonalia.es/adjudicaciones1225/25250442.pdf","www.infonalia.es/adjudicaciones1225/25250442.pdf")</x:f>
        <x:v>www.infonalia.es/adjudicaciones1225/25250442.pdf</x:v>
      </x:c>
      <x:c r="E14" s="8" t="s">
        <x:v>78</x:v>
      </x:c>
      <x:c r="F14" s="6" t="s">
        <x:v>79</x:v>
      </x:c>
      <x:c r="G14" s="6" t="s">
        <x:v>80</x:v>
      </x:c>
      <x:c r="H14" s="6" t="s">
        <x:v>81</x:v>
      </x:c>
      <x:c r="I14" s="6" t="s">
        <x:v>62</x:v>
      </x:c>
      <x:c r="J14" s="9" t="n">
        <x:v>27500.00</x:v>
      </x:c>
      <x:c r="K14" s="9" t="n">
        <x:v>27500.00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