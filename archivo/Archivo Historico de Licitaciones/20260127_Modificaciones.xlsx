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<x:sst xmlns:x="http://schemas.openxmlformats.org/spreadsheetml/2006/main" count="6" uniqueCount="6">
  <x:si>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</x:si>
  <x:si>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</x:si>
  <x:si>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</x:si>
  <x:si>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</x:si>
  <x:si>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</x:si>
  <x:si>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</x:si>
  <x:si>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2026001452</x:t>
  </x:si>
  <x:si>
    <x:t>Aclaración / Ampliación de pliegos</x:t>
  </x:si>
  <x:si>
    <x:t>GENERALITAT DE CATALUNYA. DEPARTAMENTO DE LA PRESIDENCIA</x:t>
  </x:si>
  <x:si>
    <x:t>Servicios y suministros para la conceptualización, planificación y realización técnica de los actos institucionales del consejero del Departamento la Presidencia en el Palau de la Generalitat y en el resto de espacios donde se lleven a cabo</x:t>
  </x:si>
  <x:si>
    <x:t>2026002500</x:t>
  </x:si>
  <x:si>
    <x:t>Corrección de errores</x:t>
  </x:si>
  <x:si>
    <x:t>MINISTERIO DE VIVIENDA Y AGENDA URBANA</x:t>
  </x:si>
  <x:si>
    <x:t>Pas - Servicio De Producción Y Realización De Eventos Públicos Institucionales Con Cobertura Informativa Promovidos Por El Ministerio De Vivienda Y Agenda Urbana. 2026</x:t>
  </x:si>
  <x:si>
    <x:t>2026003653</x:t>
  </x:si>
  <x:si>
    <x:t>MADRID DESTINO CULTURA TURISMO Y NEGOCIO, S.A.</x:t>
  </x:si>
  <x:si>
    <x:t>Contratación del montaje y desmontaje de la exposición pelo de tormenta. Homenaje a Francisco Nieva</x:t>
  </x:si>
  <x:si>
    <x:t>2026007374</x:t>
  </x:si>
  <x:si>
    <x:t>DIRECCIÓN DE LA AGENCIA ESPAÑOLA DE COOPERACIÓN INTERNACIONAL PARA EL DESARROLLO (AECID)</x:t>
  </x:si>
  <x:si>
    <x:t>Contrato para la provisión de servicios de toma y edición de fotografía y vídeo para la AECID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</x:si>
</x:sst>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HYPERLINK("https://www.infonalia.es/modificaciones0126/2026001452.pdf","www.infonalia.es/modificaciones0126/2026001452.pdf")</x:f>
        <x:v>www.infonalia.es/modificaciones0126/2026001452.pdf</x:v>
      </x:c>
      <x:c r="F2" s="5" t="str">
        <x:f xml:space="preserve">HYPERLINK("https://www.infonalia.es/licitaciones0126/2026001452.pdf","www.infonalia.es/licitaciones0126/2026001452.pdf")</x:f>
        <x:v>www.infonalia.es/licitaciones0126/2026001452.pdf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HYPERLINK("https://www.infonalia.es/modificaciones0126/2026002500.pdf","www.infonalia.es/modificaciones0126/2026002500.pdf")</x:f>
        <x:v>www.infonalia.es/modificaciones0126/2026002500.pdf</x:v>
      </x:c>
      <x:c r="F3" s="5" t="str">
        <x:f xml:space="preserve">HYPERLINK("https://www.infonalia.es/licitaciones0126/2026002500.pdf","www.infonalia.es/licitaciones0126/2026002500.pdf")</x:f>
        <x:v>www.infonalia.es/licitaciones0126/2026002500.pdf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HYPERLINK("https://www.infonalia.es/modificaciones0126/2026003653.pdf","www.infonalia.es/modificaciones0126/2026003653.pdf")</x:f>
        <x:v>www.infonalia.es/modificaciones0126/2026003653.pdf</x:v>
      </x:c>
      <x:c r="F4" s="5" t="str">
        <x:f xml:space="preserve">HYPERLINK("https://www.infonalia.es/licitaciones0126/2026003653.pdf","www.infonalia.es/licitaciones0126/2026003653.pdf")</x:f>
        <x:v>www.infonalia.es/licitaciones0126/2026003653.pdf</x:v>
      </x:c>
    </x:row>
    <x:row r="5">
      <x:c r="A5" s="3" t="s">
        <x:v>17</x:v>
      </x:c>
      <x:c r="B5" s="4" t="s">
        <x:v>7</x:v>
      </x:c>
      <x:c r="C5" s="4" t="s">
        <x:v>18</x:v>
      </x:c>
      <x:c r="D5" s="4" t="s">
        <x:v>19</x:v>
      </x:c>
      <x:c r="E5" s="5" t="str">
        <x:f xml:space="preserve">HYPERLINK("https://www.infonalia.es/modificaciones0126/2026007374.pdf","www.infonalia.es/modificaciones0126/2026007374.pdf")</x:f>
        <x:v>www.infonalia.es/modificaciones0126/2026007374.pdf</x:v>
      </x:c>
      <x:c r="F5" s="5" t="str">
        <x:f xml:space="preserve">HYPERLINK("https://www.infonalia.es/licitaciones0126/2026007374.pdf","www.infonalia.es/licitaciones0126/2026007374.pdf")</x:f>
        <x:v>www.infonalia.es/licitaciones0126/2026007374.pdf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