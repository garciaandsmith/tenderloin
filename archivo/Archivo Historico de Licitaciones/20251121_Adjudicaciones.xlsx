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<x:sst xmlns:x="http://schemas.openxmlformats.org/spreadsheetml/2006/main" count="11" uniqueCount="11">
  <x:si>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</x:si>
  <x:si>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</x:si>
  <x:si>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</x:si>
  <x:si>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</x:si>
  <x:si>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</x:si>
  <x:si>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</x:si>
  <x:si>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</x:si>
  <x:si>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</x:si>
  <x:si>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</x:si>
  <x:si>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</x:si>
  <x:si>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</x:si>
  <x:si>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</x:si>
  <x:si>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ABSOLUTE EXPERIENCIAS DE COMUNICACION S.L</x:t>
  </x:si>
  <x:si>
    <x:t>21/11/2025 0:00:00</x:t>
  </x:si>
  <x:si>
    <x:t>25230810</x:t>
  </x:si>
  <x:si>
    <x:t>DIRECCIÓN GENERAL DE LA ENTIDAD PÚBLICA EMPRESARIAL RED.ES</x:t>
  </x:si>
  <x:si>
    <x:t>Servicio de producción integral del pabellón de España en MWC Barcelona 2026.</x:t>
  </x:si>
  <x:si>
    <x:t>012/25-CO</x:t>
  </x:si>
  <x:si>
    <x:t>Barcelona</x:t>
  </x:si>
  <x:si>
    <x:t>LOTE 3 ALEJANDRO JIMÉNEZ ARESTEGUI</x:t>
  </x:si>
  <x:si>
    <x:t>25230830</x:t>
  </x:si>
  <x:si>
    <x:t>COMUNIDAD DE MADRID. CONSEJERÍA DE EDUCACIÓN, CIENCIA Y UNIVERSIDADES</x:t>
  </x:si>
  <x:si>
    <x:t>El contrato tiene por objeto la organización del XVII torneo escolar de debate de la Comunidad de Madrid (Lote 1), el XI concurso de oratoria en primaria de la Comunidad de Madrid (Lote 2) y el XXXIII certamen de teatro escolar de la Comunidad de Madrid (Lote 3), dividido en 3 lotes</x:t>
  </x:si>
  <x:si>
    <x:t>A/SER-030286/2025 (322O-004-25)</x:t>
  </x:si>
  <x:si>
    <x:t>Madrid</x:t>
  </x:si>
  <x:si>
    <x:t>ENRIQUE AYALA VELASCO FOTOGRAFÍA</x:t>
  </x:si>
  <x:si>
    <x:t>25230985</x:t>
  </x:si>
  <x:si>
    <x:t>JUNTA DE GOBIERNO DEL AYUNTAMIENTO DE RIVAS VACIAMADRID (MADRID)</x:t>
  </x:si>
  <x:si>
    <x:t>Servicio de fotografía para el Gabinete de Prensa y Comunicación del Ayuntamiento de Rivas Vaciamadrid</x:t>
  </x:si>
  <x:si>
    <x:t>36269/2025</x:t>
  </x:si>
  <x:si>
    <x:t>D'ALEPH INICIATIVAS Y ORGANIZACIÓN S.A</x:t>
  </x:si>
  <x:si>
    <x:t>25231011</x:t>
  </x:si>
  <x:si>
    <x:t>Servicio de participación de Red.es en eventos asociados al emprendimiento innovador</x:t>
  </x:si>
  <x:si>
    <x:t>039/24-ED</x:t>
  </x:si>
  <x:si>
    <x:t>ARTERIA LOGÍSTICA DEL ARTE S.L</x:t>
  </x:si>
  <x:si>
    <x:t>25231021</x:t>
  </x:si>
  <x:si>
    <x:t>SOCIEDAD MERCANTIL ESTATAL DE ACCIÓN CULTURAL S.A.</x:t>
  </x:si>
  <x:si>
    <x:t>Producción, montaje y desmontaje de los elementos que integran el proyecto gráfico de las exposiciones: - Carmen Martín Gaite. Un paradigma de mujer de letras - Ignacio Aldecoa. El oficio de escribir. Sede: Madrid, Biblioteca Nacional de España (BNE). Calendario: 18 de Diciembre de 2025 - 14 de junio de 2026.</x:t>
  </x:si>
  <x:si>
    <x:t>071025/04 PAS</x:t>
  </x:si>
  <x:si>
    <x:t>ODEC-IMPAORSA</x:t>
  </x:si>
  <x:si>
    <x:t>25231188</x:t>
  </x:si>
  <x:si>
    <x:t>MINISTERIO DEL INTERIOR. SUBDIRECCIÓN GENERAL DE PLANIFICACIÓN Y GESTIÓN ECONÓMICA</x:t>
  </x:si>
  <x:si>
    <x:t>Servicio Gestión Material para la realización de procesos selectivos OEP 2025</x:t>
  </x:si>
  <x:si>
    <x:t>020020250155</x:t>
  </x:si>
  <x:si>
    <x:t>LOTE 2 AJEDREZ CAPABLANCA, SL </x:t>
  </x:si>
  <x:si>
    <x:t>25231200</x:t>
  </x:si>
  <x:si>
    <x:t>AYUNTAMIENTO DE MADRID. DISTRITO DE CHAMARTÍN</x:t>
  </x:si>
  <x:si>
    <x:t>Contrato para la prestación del servicio de actividades culturales y de ocio en el Distrito de Chamartín (3 lotes). Lote 1: Programacion en centros culturales y espacios abiertos. Lote 2: Simultanea internacional de ajedrez y ajedrez en en los parques. Lote 3: Actividades conmemorativas, puntuales o extraordinarias.</x:t>
  </x:si>
  <x:si>
    <x:t>300/2025/00928</x:t>
  </x:si>
  <x:si>
    <x:t>Ver detalle de la adjudicación</x:t>
  </x:si>
  <x:si>
    <x:t>VISUAL ENTIDAD DE GESTIÓN DE ARTISTAS PLÁSTICOS (VEGAP)</x:t>
  </x:si>
  <x:si>
    <x:t>25231347</x:t>
  </x:si>
  <x:si>
    <x:t>DIRECCIÓN DE LA FUNDACIÓN ICO</x:t>
  </x:si>
  <x:si>
    <x:t>Servicios de derechos de autor por la reproducción, distribución y comunicación pública de obras de autores representados por VEGAP, en los soportes editados con motivo de la exposición La Suite Vollard de Picasso y el grabado en la Colección del Museo ICO</x:t>
  </x:si>
  <x:si>
    <x:t>NSP06/2025</x:t>
  </x:si>
  <x:si>
    <x:t>FLUGE AUDIOVISUALES, S.L</x:t>
  </x:si>
  <x:si>
    <x:t>25231466</x:t>
  </x:si>
  <x:si>
    <x:t>ORGANISMO AUTÓNOMO CONSORCIO REGIONAL DE TRANSPORTES REGULARES DE MADRID</x:t>
  </x:si>
  <x:si>
    <x:t>Con motivo del 40 aniversario de la constitución del Consorcio Regional de Transportes de Madrid (CRTM), se prevé la organización de una serie de actos institucionales y actividades de carácter cultural y social que permitirán poner en valor la trayectoria del organismo y acercar su labor a la ciudadanía. En este marco, resulta de especial interés la organización de actuaciones musicales en los intercambiadores de transporte, espacios emblemáticos del organismo que combinan la intermodalidad y la innovación en la movilidad de la región. Por tanto, el objeto del presente contrato es la contratación de una serie de conciertos a través de una empresa de representación que cuenta con los derechos de exclusiva de los artistas o grupos musicales en las fechas en las que el Consorcio Regional de Transportes de Madrid (CRTM) ha decidido realizar los conciertos</x:t>
  </x:si>
  <x:si>
    <x:t>P/SER-043688/2025</x:t>
  </x:si>
  <x:si>
    <x:t>NIVELL PUBLICITARI DIGITAL S.L</x:t>
  </x:si>
  <x:si>
    <x:t>25231559</x:t>
  </x:si>
  <x:si>
    <x:t>ÁREA DE GOBIERNO DE VICEALCALDÍA, PORTAVOZ, SEGURIDAD Y EMERGENCIAS DEL AYUNTAMIENTO DE MADRID</x:t>
  </x:si>
  <x:si>
    <x:t>Descubre cómo renovamos CIUDAD LINEAL.</x:t>
  </x:si>
  <x:si>
    <x:t>511/2024/09735.38</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</x:si>
</x:sst>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HYPERLINK("https://www.infonalia.es/adjudicaciones1125/25230810.pdf","www.infonalia.es/adjudicaciones1125/25230810.pdf")</x:f>
        <x:v>www.infonalia.es/adjudicaciones1125/25230810.pdf</x:v>
      </x:c>
      <x:c r="E2" s="8" t="s">
        <x:v>14</x:v>
      </x:c>
      <x:c r="F2" s="6" t="s">
        <x:v>15</x:v>
      </x:c>
      <x:c r="G2" s="6" t="s">
        <x:v>16</x:v>
      </x:c>
      <x:c r="H2" s="6" t="s">
        <x:v>17</x:v>
      </x:c>
      <x:c r="I2" s="6" t="s">
        <x:v>18</x:v>
      </x:c>
      <x:c r="J2" s="9" t="n">
        <x:v>1518000.00</x:v>
      </x:c>
      <x:c r="K2" s="9" t="n">
        <x:v>1725000.00</x:v>
      </x:c>
    </x:row>
    <x:row r="3">
      <x:c r="A3" s="6" t="s">
        <x:v>11</x:v>
      </x:c>
      <x:c r="B3" s="6" t="s">
        <x:v>19</x:v>
      </x:c>
      <x:c r="C3" s="6" t="s">
        <x:v>13</x:v>
      </x:c>
      <x:c r="D3" s="7" t="str">
        <x:f xml:space="preserve">HYPERLINK("https://www.infonalia.es/adjudicaciones1125/25230830.pdf","www.infonalia.es/adjudicaciones1125/25230830.pdf")</x:f>
        <x:v>www.infonalia.es/adjudicaciones1125/25230830.pdf</x:v>
      </x:c>
      <x:c r="E3" s="8" t="s">
        <x:v>20</x:v>
      </x:c>
      <x:c r="F3" s="6" t="s">
        <x:v>21</x:v>
      </x:c>
      <x:c r="G3" s="6" t="s">
        <x:v>22</x:v>
      </x:c>
      <x:c r="H3" s="6" t="s">
        <x:v>23</x:v>
      </x:c>
      <x:c r="I3" s="6" t="s">
        <x:v>24</x:v>
      </x:c>
      <x:c r="J3" s="9" t="n">
        <x:v>23986.80</x:v>
      </x:c>
      <x:c r="K3" s="9" t="n">
        <x:v>50421.50</x:v>
      </x:c>
    </x:row>
    <x:row r="4">
      <x:c r="A4" s="6" t="s">
        <x:v>11</x:v>
      </x:c>
      <x:c r="B4" s="6" t="s">
        <x:v>25</x:v>
      </x:c>
      <x:c r="C4" s="6" t="s">
        <x:v>13</x:v>
      </x:c>
      <x:c r="D4" s="7" t="str">
        <x:f xml:space="preserve">HYPERLINK("https://www.infonalia.es/adjudicaciones1125/25230985.pdf","www.infonalia.es/adjudicaciones1125/25230985.pdf")</x:f>
        <x:v>www.infonalia.es/adjudicaciones1125/25230985.pdf</x:v>
      </x:c>
      <x:c r="E4" s="8" t="s">
        <x:v>26</x:v>
      </x:c>
      <x:c r="F4" s="6" t="s">
        <x:v>27</x:v>
      </x:c>
      <x:c r="G4" s="6" t="s">
        <x:v>28</x:v>
      </x:c>
      <x:c r="H4" s="6" t="s">
        <x:v>29</x:v>
      </x:c>
      <x:c r="I4" s="6" t="s">
        <x:v>24</x:v>
      </x:c>
      <x:c r="J4" s="9" t="n">
        <x:v>5685.95</x:v>
      </x:c>
      <x:c r="K4" s="9" t="n">
        <x:v>5685.95</x:v>
      </x:c>
    </x:row>
    <x:row r="5">
      <x:c r="A5" s="6" t="s">
        <x:v>11</x:v>
      </x:c>
      <x:c r="B5" s="6" t="s">
        <x:v>30</x:v>
      </x:c>
      <x:c r="C5" s="6" t="s">
        <x:v>13</x:v>
      </x:c>
      <x:c r="D5" s="7" t="str">
        <x:f xml:space="preserve">HYPERLINK("https://www.infonalia.es/adjudicaciones1125/25231011.pdf","www.infonalia.es/adjudicaciones1125/25231011.pdf")</x:f>
        <x:v>www.infonalia.es/adjudicaciones1125/25231011.pdf</x:v>
      </x:c>
      <x:c r="E5" s="8" t="s">
        <x:v>31</x:v>
      </x:c>
      <x:c r="F5" s="6" t="s">
        <x:v>15</x:v>
      </x:c>
      <x:c r="G5" s="6" t="s">
        <x:v>32</x:v>
      </x:c>
      <x:c r="H5" s="6" t="s">
        <x:v>33</x:v>
      </x:c>
      <x:c r="I5" s="6" t="s">
        <x:v>24</x:v>
      </x:c>
      <x:c r="J5" s="9" t="n">
        <x:v>677930.10</x:v>
      </x:c>
      <x:c r="K5" s="9" t="n">
        <x:v>935076.00</x:v>
      </x:c>
    </x:row>
    <x:row r="6">
      <x:c r="A6" s="6" t="s">
        <x:v>11</x:v>
      </x:c>
      <x:c r="B6" s="6" t="s">
        <x:v>34</x:v>
      </x:c>
      <x:c r="C6" s="6" t="s">
        <x:v>13</x:v>
      </x:c>
      <x:c r="D6" s="7" t="str">
        <x:f xml:space="preserve">HYPERLINK("https://www.infonalia.es/adjudicaciones1125/25231021.pdf","www.infonalia.es/adjudicaciones1125/25231021.pdf")</x:f>
        <x:v>www.infonalia.es/adjudicaciones1125/25231021.pdf</x:v>
      </x:c>
      <x:c r="E6" s="8" t="s">
        <x:v>35</x:v>
      </x:c>
      <x:c r="F6" s="6" t="s">
        <x:v>36</x:v>
      </x:c>
      <x:c r="G6" s="6" t="s">
        <x:v>37</x:v>
      </x:c>
      <x:c r="H6" s="6" t="s">
        <x:v>38</x:v>
      </x:c>
      <x:c r="I6" s="6" t="s">
        <x:v>24</x:v>
      </x:c>
      <x:c r="J6" s="9" t="n">
        <x:v>37330.00</x:v>
      </x:c>
      <x:c r="K6" s="9" t="n">
        <x:v>48000.00</x:v>
      </x:c>
    </x:row>
    <x:row r="7">
      <x:c r="A7" s="6" t="s">
        <x:v>11</x:v>
      </x:c>
      <x:c r="B7" s="6" t="s">
        <x:v>39</x:v>
      </x:c>
      <x:c r="C7" s="6" t="s">
        <x:v>13</x:v>
      </x:c>
      <x:c r="D7" s="7" t="str">
        <x:f xml:space="preserve">HYPERLINK("https://www.infonalia.es/adjudicaciones1125/25231188.pdf","www.infonalia.es/adjudicaciones1125/25231188.pdf")</x:f>
        <x:v>www.infonalia.es/adjudicaciones1125/25231188.pdf</x:v>
      </x:c>
      <x:c r="E7" s="8" t="s">
        <x:v>40</x:v>
      </x:c>
      <x:c r="F7" s="6" t="s">
        <x:v>41</x:v>
      </x:c>
      <x:c r="G7" s="6" t="s">
        <x:v>42</x:v>
      </x:c>
      <x:c r="H7" s="6" t="s">
        <x:v>43</x:v>
      </x:c>
      <x:c r="I7" s="6" t="s">
        <x:v>24</x:v>
      </x:c>
      <x:c r="J7" s="9" t="n">
        <x:v>48410.13</x:v>
      </x:c>
      <x:c r="K7" s="9" t="n">
        <x:v>49886.78</x:v>
      </x:c>
    </x:row>
    <x:row r="8">
      <x:c r="A8" s="6" t="s">
        <x:v>11</x:v>
      </x:c>
      <x:c r="B8" s="6" t="s">
        <x:v>44</x:v>
      </x:c>
      <x:c r="C8" s="6" t="s">
        <x:v>13</x:v>
      </x:c>
      <x:c r="D8" s="7" t="str">
        <x:f xml:space="preserve">HYPERLINK("https://www.infonalia.es/adjudicaciones1125/25231200.pdf","www.infonalia.es/adjudicaciones1125/25231200.pdf")</x:f>
        <x:v>www.infonalia.es/adjudicaciones1125/25231200.pdf</x:v>
      </x:c>
      <x:c r="E8" s="8" t="s">
        <x:v>45</x:v>
      </x:c>
      <x:c r="F8" s="6" t="s">
        <x:v>46</x:v>
      </x:c>
      <x:c r="G8" s="6" t="s">
        <x:v>47</x:v>
      </x:c>
      <x:c r="H8" s="6" t="s">
        <x:v>48</x:v>
      </x:c>
      <x:c r="I8" s="6" t="s">
        <x:v>24</x:v>
      </x:c>
      <x:c r="J8" s="9" t="s">
        <x:v>49</x:v>
      </x:c>
      <x:c r="K8" s="9" t="n">
        <x:v>313004.79</x:v>
      </x:c>
    </x:row>
    <x:row r="9">
      <x:c r="A9" s="6" t="s">
        <x:v>11</x:v>
      </x:c>
      <x:c r="B9" s="6" t="s">
        <x:v>50</x:v>
      </x:c>
      <x:c r="C9" s="6" t="s">
        <x:v>13</x:v>
      </x:c>
      <x:c r="D9" s="7" t="str">
        <x:f xml:space="preserve">HYPERLINK("https://www.infonalia.es/adjudicaciones1125/25231347.pdf","www.infonalia.es/adjudicaciones1125/25231347.pdf")</x:f>
        <x:v>www.infonalia.es/adjudicaciones1125/25231347.pdf</x:v>
      </x:c>
      <x:c r="E9" s="8" t="s">
        <x:v>51</x:v>
      </x:c>
      <x:c r="F9" s="6" t="s">
        <x:v>52</x:v>
      </x:c>
      <x:c r="G9" s="6" t="s">
        <x:v>53</x:v>
      </x:c>
      <x:c r="H9" s="6" t="s">
        <x:v>54</x:v>
      </x:c>
      <x:c r="I9" s="6" t="s">
        <x:v>24</x:v>
      </x:c>
      <x:c r="J9" s="9" t="n">
        <x:v>24372.42</x:v>
      </x:c>
      <x:c r="K9" s="9" t="n">
        <x:v>24372.42</x:v>
      </x:c>
    </x:row>
    <x:row r="10">
      <x:c r="A10" s="6" t="s">
        <x:v>11</x:v>
      </x:c>
      <x:c r="B10" s="6" t="s">
        <x:v>55</x:v>
      </x:c>
      <x:c r="C10" s="6" t="s">
        <x:v>13</x:v>
      </x:c>
      <x:c r="D10" s="7" t="str">
        <x:f xml:space="preserve">HYPERLINK("https://www.infonalia.es/adjudicaciones1125/25231466.pdf","www.infonalia.es/adjudicaciones1125/25231466.pdf")</x:f>
        <x:v>www.infonalia.es/adjudicaciones1125/25231466.pdf</x:v>
      </x:c>
      <x:c r="E10" s="8" t="s">
        <x:v>56</x:v>
      </x:c>
      <x:c r="F10" s="6" t="s">
        <x:v>57</x:v>
      </x:c>
      <x:c r="G10" s="6" t="s">
        <x:v>58</x:v>
      </x:c>
      <x:c r="H10" s="6" t="s">
        <x:v>59</x:v>
      </x:c>
      <x:c r="I10" s="6" t="s">
        <x:v>24</x:v>
      </x:c>
      <x:c r="J10" s="9" t="s">
        <x:v>49</x:v>
      </x:c>
      <x:c r="K10" s="9" t="n">
        <x:v>104000.00</x:v>
      </x:c>
    </x:row>
    <x:row r="11">
      <x:c r="A11" s="6" t="s">
        <x:v>11</x:v>
      </x:c>
      <x:c r="B11" s="6" t="s">
        <x:v>60</x:v>
      </x:c>
      <x:c r="C11" s="6" t="s">
        <x:v>13</x:v>
      </x:c>
      <x:c r="D11" s="7" t="str">
        <x:f xml:space="preserve">HYPERLINK("https://www.infonalia.es/adjudicaciones1125/25231559.pdf","www.infonalia.es/adjudicaciones1125/25231559.pdf")</x:f>
        <x:v>www.infonalia.es/adjudicaciones1125/25231559.pdf</x:v>
      </x:c>
      <x:c r="E11" s="8" t="s">
        <x:v>61</x:v>
      </x:c>
      <x:c r="F11" s="6" t="s">
        <x:v>62</x:v>
      </x:c>
      <x:c r="G11" s="6" t="s">
        <x:v>63</x:v>
      </x:c>
      <x:c r="H11" s="6" t="s">
        <x:v>64</x:v>
      </x:c>
      <x:c r="I11" s="6" t="s">
        <x:v>24</x:v>
      </x:c>
      <x:c r="J11" s="9" t="n">
        <x:v>1315.20</x:v>
      </x:c>
      <x:c r="K11" s="9" t="n">
        <x:v>1315.20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