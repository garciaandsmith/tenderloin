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<x:sst xmlns:x="http://schemas.openxmlformats.org/spreadsheetml/2006/main" count="11" uniqueCount="11">
  <x:si>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</x:si>
  <x:si>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</x:si>
  <x:si>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</x:si>
  <x:si>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</x:si>
  <x:si>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</x:si>
  <x:si>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</x:si>
  <x:si>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</x:si>
  <x:si>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</x:si>
  <x:si>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</x:si>
  <x:si>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</x:si>
  <x:si>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</x:si>
  <x:si>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</x:si>
  <x:si>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RIO PRODUCCIONES Y SERVICIOS INTEGRALES SL</x:t>
  </x:si>
  <x:si>
    <x:t>07/01/2026 0:00:00</x:t>
  </x:si>
  <x:si>
    <x:t>26000743</x:t>
  </x:si>
  <x:si>
    <x:t>JUNTA DE GOBIERNO DEL AYUNTAMIENTO DE LEGANÉS (MADRID)</x:t>
  </x:si>
  <x:si>
    <x:t>Servicio de transporte, alquiler, montaje y desmontaje de carpas desmontables para los eventos y fiestas del municipio de Leganés</x:t>
  </x:si>
  <x:si>
    <x:t>2025/0129</x:t>
  </x:si>
  <x:si>
    <x:t>Madrid</x:t>
  </x:si>
  <x:si>
    <x:t>EVENTOUR ANDALUCIA INCOMING SL</x:t>
  </x:si>
  <x:si>
    <x:t>26000833</x:t>
  </x:si>
  <x:si>
    <x:t>CONSEJO RECTOR DEL INSTITUTO MUNICIPAL DE TURISMO DE CÓRDOBA (IMTUR)</x:t>
  </x:si>
  <x:si>
    <x:t>Servicio de secretaria Técnica para la organización de contactos profesionales en FITUR 2026</x:t>
  </x:si>
  <x:si>
    <x:t>022/2025</x:t>
  </x:si>
  <x:si>
    <x:t>EXILE GROUP LIMITED</x:t>
  </x:si>
  <x:si>
    <x:t>26000902</x:t>
  </x:si>
  <x:si>
    <x:t>JEFATURA DE UNIDAD DE MEDIOS INTERNOS -ÁREA DE COMPRAS DE LA COMPAÑÍA ESPAÑOLA DE SEGUROS DE CRÉDITO A LA EXPORTACIÓN S.A., S.M.E. (CESCE)</x:t>
  </x:si>
  <x:si>
    <x:t>Patrocinio regulado en el artículo 26.1 c) de la ley 9/2017 de 8 de noviembre</x:t>
  </x:si>
  <x:si>
    <x:t>191-2025</x:t>
  </x:si>
  <x:si>
    <x:t>ASOCIACIÓN ESPAÑOLA DE FINANCIEROS DE EMPRESA - ASSET</x:t>
  </x:si>
  <x:si>
    <x:t>26000905</x:t>
  </x:si>
  <x:si>
    <x:t>183-2025</x:t>
  </x:si>
  <x:si>
    <x:t>VER DETALLE DE LA ADJUDICACIÓN</x:t>
  </x:si>
  <x:si>
    <x:t>26000980</x:t>
  </x:si>
  <x:si>
    <x:t>MADRID DESTINO CULTURA TURISMO Y NEGOCIO, S.A</x:t>
  </x:si>
  <x:si>
    <x:t>Servicio de construcción museográfica, montaje y desmontaje de obra de arte (Lote 1) y Suministro en régimen de alquiler, instalación, mantenimiento y desmontaje de material audiovisual (Lote 2) para la exposición Ana Juan. Wunderkammer que se exhibirá en CentroCentro</x:t>
  </x:si>
  <x:si>
    <x:t>SP25-00483 / SP25-00484</x:t>
  </x:si>
  <x:si>
    <x:t>Ver detalle de la adjudicación</x:t>
  </x:si>
  <x:si>
    <x:t>Adjudicación</x:t>
  </x:si>
  <x:si>
    <x:t>KANTAR MEDIA, SAU</x:t>
  </x:si>
  <x:si>
    <x:t>26001000</x:t>
  </x:si>
  <x:si>
    <x:t>DIRECCIÓN DE COMPRAS DE LA CORPORACIÓN DE RADIO Y TELEVISIÓN ESPAÑOLA S.A</x:t>
  </x:si>
  <x:si>
    <x:t>Servicio de medición de audiencias de televisión</x:t>
  </x:si>
  <x:si>
    <x:t>S-04276-2025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</x:si>
</x:sst>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HYPERLINK("https://www.infonalia.es/adjudicaciones0126/26000743.pdf","www.infonalia.es/adjudicaciones0126/26000743.pdf")</x:f>
        <x:v>www.infonalia.es/adjudicaciones0126/26000743.pdf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132530.00</x:v>
      </x:c>
      <x:c r="K2" s="9" t="n">
        <x:v>132530.00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HYPERLINK("https://www.infonalia.es/adjudicaciones0126/26000833.pdf","www.infonalia.es/adjudicaciones0126/26000833.pdf")</x:f>
        <x:v>www.infonalia.es/adjudicaciones0126/26000833.pdf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n">
        <x:v>5206.00</x:v>
      </x:c>
      <x:c r="K3" s="9" t="n">
        <x:v>7438.02</x:v>
      </x:c>
    </x:row>
    <x:row r="4">
      <x:c r="A4" s="6" t="s">
        <x:v>11</x:v>
      </x:c>
      <x:c r="B4" s="6" t="s">
        <x:v>24</x:v>
      </x:c>
      <x:c r="C4" s="6" t="s">
        <x:v>13</x:v>
      </x:c>
      <x:c r="D4" s="7" t="str">
        <x:f xml:space="preserve">HYPERLINK("https://www.infonalia.es/adjudicaciones0126/26000902.pdf","www.infonalia.es/adjudicaciones0126/26000902.pdf")</x:f>
        <x:v>www.infonalia.es/adjudicaciones0126/26000902.pdf</x:v>
      </x:c>
      <x:c r="E4" s="8" t="s">
        <x:v>25</x:v>
      </x:c>
      <x:c r="F4" s="6" t="s">
        <x:v>26</x:v>
      </x:c>
      <x:c r="G4" s="6" t="s">
        <x:v>27</x:v>
      </x:c>
      <x:c r="H4" s="6" t="s">
        <x:v>28</x:v>
      </x:c>
      <x:c r="I4" s="6" t="s">
        <x:v>18</x:v>
      </x:c>
      <x:c r="J4" s="9" t="n">
        <x:v>19321.78</x:v>
      </x:c>
      <x:c r="K4" s="9" t="n">
        <x:v>19321.78</x:v>
      </x:c>
    </x:row>
    <x:row r="5">
      <x:c r="A5" s="6" t="s">
        <x:v>11</x:v>
      </x:c>
      <x:c r="B5" s="6" t="s">
        <x:v>29</x:v>
      </x:c>
      <x:c r="C5" s="6" t="s">
        <x:v>13</x:v>
      </x:c>
      <x:c r="D5" s="7" t="str">
        <x:f xml:space="preserve">HYPERLINK("https://www.infonalia.es/adjudicaciones0126/26000905.pdf","www.infonalia.es/adjudicaciones0126/26000905.pdf")</x:f>
        <x:v>www.infonalia.es/adjudicaciones0126/26000905.pdf</x:v>
      </x:c>
      <x:c r="E5" s="8" t="s">
        <x:v>30</x:v>
      </x:c>
      <x:c r="F5" s="6" t="s">
        <x:v>26</x:v>
      </x:c>
      <x:c r="G5" s="6" t="s">
        <x:v>27</x:v>
      </x:c>
      <x:c r="H5" s="6" t="s">
        <x:v>31</x:v>
      </x:c>
      <x:c r="I5" s="6" t="s">
        <x:v>18</x:v>
      </x:c>
      <x:c r="J5" s="9" t="n">
        <x:v>10000.00</x:v>
      </x:c>
      <x:c r="K5" s="9" t="n">
        <x:v>10000.00</x:v>
      </x:c>
    </x:row>
    <x:row r="6">
      <x:c r="A6" s="6" t="s">
        <x:v>11</x:v>
      </x:c>
      <x:c r="B6" s="6" t="s">
        <x:v>32</x:v>
      </x:c>
      <x:c r="C6" s="6" t="s">
        <x:v>13</x:v>
      </x:c>
      <x:c r="D6" s="7" t="str">
        <x:f xml:space="preserve">HYPERLINK("https://www.infonalia.es/adjudicaciones0126/26000980.pdf","www.infonalia.es/adjudicaciones0126/26000980.pdf")</x:f>
        <x:v>www.infonalia.es/adjudicaciones0126/26000980.pdf</x:v>
      </x:c>
      <x:c r="E6" s="8" t="s">
        <x:v>33</x:v>
      </x:c>
      <x:c r="F6" s="6" t="s">
        <x:v>34</x:v>
      </x:c>
      <x:c r="G6" s="6" t="s">
        <x:v>35</x:v>
      </x:c>
      <x:c r="H6" s="6" t="s">
        <x:v>36</x:v>
      </x:c>
      <x:c r="I6" s="6" t="s">
        <x:v>18</x:v>
      </x:c>
      <x:c r="J6" s="9" t="s">
        <x:v>37</x:v>
      </x:c>
      <x:c r="K6" s="9" t="n">
        <x:v>58713.85</x:v>
      </x:c>
    </x:row>
    <x:row r="7">
      <x:c r="A7" s="6" t="s">
        <x:v>38</x:v>
      </x:c>
      <x:c r="B7" s="6" t="s">
        <x:v>39</x:v>
      </x:c>
      <x:c r="C7" s="6" t="s">
        <x:v>13</x:v>
      </x:c>
      <x:c r="D7" s="7" t="str">
        <x:f xml:space="preserve">HYPERLINK("https://www.infonalia.es/adjudicaciones0126/26001000.pdf","www.infonalia.es/adjudicaciones0126/26001000.pdf")</x:f>
        <x:v>www.infonalia.es/adjudicaciones0126/26001000.pdf</x:v>
      </x:c>
      <x:c r="E7" s="8" t="s">
        <x:v>40</x:v>
      </x:c>
      <x:c r="F7" s="6" t="s">
        <x:v>41</x:v>
      </x:c>
      <x:c r="G7" s="6" t="s">
        <x:v>42</x:v>
      </x:c>
      <x:c r="H7" s="6" t="s">
        <x:v>43</x:v>
      </x:c>
      <x:c r="I7" s="6" t="s">
        <x:v>18</x:v>
      </x:c>
      <x:c r="J7" s="9" t="n">
        <x:v>1932000.00</x:v>
      </x:c>
      <x:c r="K7" s="9" t="s">
        <x:v>37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