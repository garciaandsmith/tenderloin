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<x:sst xmlns:x="http://schemas.openxmlformats.org/spreadsheetml/2006/main" count="11" uniqueCount="11">
  <x:si>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</x:si>
  <x:si>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</x:si>
  <x:si>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</x:si>
  <x:si>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</x:si>
  <x:si>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</x:si>
  <x:si>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</x:si>
  <x:si>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</x:si>
  <x:si>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</x:si>
  <x:si>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</x:si>
  <x:si>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</x:si>
  <x:si>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</x:si>
  <x:si>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</x:si>
  <x:si>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BERNAT CASTANYER COLOME</x:t>
  </x:si>
  <x:si>
    <x:t>13/01/2026 0:00:00</x:t>
  </x:si>
  <x:si>
    <x:t>26003743</x:t>
  </x:si>
  <x:si>
    <x:t>AYUNTAMIENTO DE BREDA (GIRONA)</x:t>
  </x:si>
  <x:si>
    <x:t>El objeto del presente contrato consiste en desarrollar las tareas propias del Área de Comunicación del Ayuntamiento de Breda establecidas en la cláusula 1 del Pliego de Prescripciones Técnicas. El Ayuntamiento de Breda, dado que no tiene en su plantilla de personal ningún empleado público que disponga de la competencia profesional para llevar a cabo el presente servicio, resulta necesario contratar este servicio a un profesional suficientemente capacitado para la gestión de las tareas de comunicación, que suponen la creación de la información de las diferentes áreas municipales y su difusión a terceros, especialmente a los aldeanos y aldeanas de Breda</x:t>
  </x:si>
  <x:si>
    <x:t>X2025002664</x:t>
  </x:si>
  <x:si>
    <x:t>Girona</x:t>
  </x:si>
  <x:si>
    <x:t>DISTRIBUTION AS A SERVICE EMEA SL</x:t>
  </x:si>
  <x:si>
    <x:t>26003773</x:t>
  </x:si>
  <x:si>
    <x:t>MUTUA UNIVERSAL MUGENAT, MUTUA COLABORADORA CON LA SEGURIDAD SOCIAL Nº 10</x:t>
  </x:si>
  <x:si>
    <x:t>Suscripción plataforma email marketing de MailChimp</x:t>
  </x:si>
  <x:si>
    <x:t>033-2025-0417</x:t>
  </x:si>
  <x:si>
    <x:t>Ver pliegos</x:t>
  </x:si>
  <x:si>
    <x:t>LA MADRIGUERA COMUNICACIÓN, S.L</x:t>
  </x:si>
  <x:si>
    <x:t>26004157</x:t>
  </x:si>
  <x:si>
    <x:t>JEFATURA DE UNIDAD DE MEDIOS INTERNOS -ÁREA DE COMPRAS DE LA COMPAÑÍA ESPAÑOLA DE SEGUROS DE CRÉDITO A LA EXPORTACIÓN S.A., S.M.E. (CESCE)</x:t>
  </x:si>
  <x:si>
    <x:t>Podcast Claves semanal Riesgo País</x:t>
  </x:si>
  <x:si>
    <x:t>F179-2025</x:t>
  </x:si>
  <x:si>
    <x:t>Madrid</x:t>
  </x:si>
  <x:si>
    <x:t>HORISCHNIK, SL</x:t>
  </x:si>
  <x:si>
    <x:t>26004233</x:t>
  </x:si>
  <x:si>
    <x:t>CONSEJERA DELEGADA DE LA EMPRESA PÚBLICA DE PROMOCIÓN DEL TURISMO Y LA ARTESANÍA DE CASTILLA-LA MANCHA (ETURIA), S.A</x:t>
  </x:si>
  <x:si>
    <x:t>Diseño de una creación audiovisual artística para el stand de Castilla-La Mancha en FITUR 2026</x:t>
  </x:si>
  <x:si>
    <x:t>2025/017790</x:t>
  </x:si>
  <x:si>
    <x:t>FRENESI FINE ARTS, S.L</x:t>
  </x:si>
  <x:si>
    <x:t>26004260</x:t>
  </x:si>
  <x:si>
    <x:t>MADRID DESTINO CULTURA TURISMO Y NEGOCIO, S.A</x:t>
  </x:si>
  <x:si>
    <x:t>Montaje, mantenimiento y exhibición de la exposición denominada Aún Deep Song de Lola Lasurt, dentro de la programación 2025/2026 de Contemporánea Condeduque</x:t>
  </x:si>
  <x:si>
    <x:t>PR25-0331.1</x:t>
  </x:si>
  <x:si>
    <x:t>INTRACATALÒNIA, SA</x:t>
  </x:si>
  <x:si>
    <x:t>26004288</x:t>
  </x:si>
  <x:si>
    <x:t>GENERALITAT DE CATALUNYA. DEPARTAMENTO DE SALUD</x:t>
  </x:si>
  <x:si>
    <x:t>Prestación de Servicios Informativos del ACN para el año 2026</x:t>
  </x:si>
  <x:si>
    <x:t>SA-2026-34</x:t>
  </x:si>
  <x:si>
    <x:t>Catalunya</x:t>
  </x:si>
  <x:si>
    <x:t>LOTE 2 PATRIMONIO VIRTUAL S.L. </x:t>
  </x:si>
  <x:si>
    <x:t>26004362</x:t>
  </x:si>
  <x:si>
    <x:t>PRESIDENCIA DE LA ASOCIACIÓN CENTRO DE DESARROLLO NAVIA-PORCÍA</x:t>
  </x:si>
  <x:si>
    <x:t>Contrato de servicios para la ejecución de la actuación de herramientas de digitalización de la información y recursos turísticos del Parque Histórico del Navia. Lote 1: Señalización turística inteligente. Lote 2: Generación de contenidos de realidad virtual y audiovisuales. Lote 3: Página web y plataforma digital turística.</x:t>
  </x:si>
  <x:si>
    <x:t>C-030-2025</x:t>
  </x:si>
  <x:si>
    <x:t>Asturias</x:t>
  </x:si>
  <x:si>
    <x:t>Adjudicación</x:t>
  </x:si>
  <x:si>
    <x:t>ABSOLUTE EXPERIENCIAS DE COMUNICACION, S.L</x:t>
  </x:si>
  <x:si>
    <x:t>26004404</x:t>
  </x:si>
  <x:si>
    <x:t>CENTRO NACIONAL DE INFORMACIÓN GEOGRÁFICA</x:t>
  </x:si>
  <x:si>
    <x:t>Servicio para la contratación del diseño, construcción, montaje, desmontaje, mantenimiento y asistencia técnica integral del stand en la Feria Internacional de Turismo FITUR 2026 por el O.A. Centro Nacional de Información Geográfica</x:t>
  </x:si>
  <x:si>
    <x:t>2025 00000061</x:t>
  </x:si>
  <x:si>
    <x:t>Ver detalle de la adjudicación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</x:si>
</x:sst>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HYPERLINK("https://www.infonalia.es/adjudicaciones0126/26003743.pdf","www.infonalia.es/adjudicaciones0126/26003743.pdf")</x:f>
        <x:v>www.infonalia.es/adjudicaciones0126/26003743.pdf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n">
        <x:v>20000.00</x:v>
      </x:c>
      <x:c r="K2" s="9" t="n">
        <x:v>20400.00</x:v>
      </x:c>
    </x:row>
    <x:row r="3">
      <x:c r="A3" s="6" t="s">
        <x:v>11</x:v>
      </x:c>
      <x:c r="B3" s="6" t="s">
        <x:v>19</x:v>
      </x:c>
      <x:c r="C3" s="6" t="s">
        <x:v>13</x:v>
      </x:c>
      <x:c r="D3" s="7" t="str">
        <x:f xml:space="preserve">HYPERLINK("https://www.infonalia.es/adjudicaciones0126/26003773.pdf","www.infonalia.es/adjudicaciones0126/26003773.pdf")</x:f>
        <x:v>www.infonalia.es/adjudicaciones0126/26003773.pdf</x:v>
      </x:c>
      <x:c r="E3" s="8" t="s">
        <x:v>20</x:v>
      </x:c>
      <x:c r="F3" s="6" t="s">
        <x:v>21</x:v>
      </x:c>
      <x:c r="G3" s="6" t="s">
        <x:v>22</x:v>
      </x:c>
      <x:c r="H3" s="6" t="s">
        <x:v>23</x:v>
      </x:c>
      <x:c r="I3" s="6" t="s">
        <x:v>24</x:v>
      </x:c>
      <x:c r="J3" s="9" t="n">
        <x:v>14072.04</x:v>
      </x:c>
      <x:c r="K3" s="9" t="n">
        <x:v>15000.00</x:v>
      </x:c>
    </x:row>
    <x:row r="4">
      <x:c r="A4" s="6" t="s">
        <x:v>11</x:v>
      </x:c>
      <x:c r="B4" s="6" t="s">
        <x:v>25</x:v>
      </x:c>
      <x:c r="C4" s="6" t="s">
        <x:v>13</x:v>
      </x:c>
      <x:c r="D4" s="7" t="str">
        <x:f xml:space="preserve">HYPERLINK("https://www.infonalia.es/adjudicaciones0126/26004157.pdf","www.infonalia.es/adjudicaciones0126/26004157.pdf")</x:f>
        <x:v>www.infonalia.es/adjudicaciones0126/26004157.pdf</x:v>
      </x:c>
      <x:c r="E4" s="8" t="s">
        <x:v>26</x:v>
      </x:c>
      <x:c r="F4" s="6" t="s">
        <x:v>27</x:v>
      </x:c>
      <x:c r="G4" s="6" t="s">
        <x:v>28</x:v>
      </x:c>
      <x:c r="H4" s="6" t="s">
        <x:v>29</x:v>
      </x:c>
      <x:c r="I4" s="6" t="s">
        <x:v>30</x:v>
      </x:c>
      <x:c r="J4" s="9" t="n">
        <x:v>7800.00</x:v>
      </x:c>
      <x:c r="K4" s="9" t="n">
        <x:v>7800.00</x:v>
      </x:c>
    </x:row>
    <x:row r="5">
      <x:c r="A5" s="6" t="s">
        <x:v>11</x:v>
      </x:c>
      <x:c r="B5" s="6" t="s">
        <x:v>31</x:v>
      </x:c>
      <x:c r="C5" s="6" t="s">
        <x:v>13</x:v>
      </x:c>
      <x:c r="D5" s="7" t="str">
        <x:f xml:space="preserve">HYPERLINK("https://www.infonalia.es/adjudicaciones0126/26004233.pdf","www.infonalia.es/adjudicaciones0126/26004233.pdf")</x:f>
        <x:v>www.infonalia.es/adjudicaciones0126/26004233.pdf</x:v>
      </x:c>
      <x:c r="E5" s="8" t="s">
        <x:v>32</x:v>
      </x:c>
      <x:c r="F5" s="6" t="s">
        <x:v>33</x:v>
      </x:c>
      <x:c r="G5" s="6" t="s">
        <x:v>34</x:v>
      </x:c>
      <x:c r="H5" s="6" t="s">
        <x:v>35</x:v>
      </x:c>
      <x:c r="I5" s="6" t="s">
        <x:v>30</x:v>
      </x:c>
      <x:c r="J5" s="9" t="n">
        <x:v>25000.00</x:v>
      </x:c>
      <x:c r="K5" s="9" t="n">
        <x:v>25000.00</x:v>
      </x:c>
    </x:row>
    <x:row r="6">
      <x:c r="A6" s="6" t="s">
        <x:v>11</x:v>
      </x:c>
      <x:c r="B6" s="6" t="s">
        <x:v>36</x:v>
      </x:c>
      <x:c r="C6" s="6" t="s">
        <x:v>13</x:v>
      </x:c>
      <x:c r="D6" s="7" t="str">
        <x:f xml:space="preserve">HYPERLINK("https://www.infonalia.es/adjudicaciones0126/26004260.pdf","www.infonalia.es/adjudicaciones0126/26004260.pdf")</x:f>
        <x:v>www.infonalia.es/adjudicaciones0126/26004260.pdf</x:v>
      </x:c>
      <x:c r="E6" s="8" t="s">
        <x:v>37</x:v>
      </x:c>
      <x:c r="F6" s="6" t="s">
        <x:v>38</x:v>
      </x:c>
      <x:c r="G6" s="6" t="s">
        <x:v>39</x:v>
      </x:c>
      <x:c r="H6" s="6" t="s">
        <x:v>40</x:v>
      </x:c>
      <x:c r="I6" s="6" t="s">
        <x:v>30</x:v>
      </x:c>
      <x:c r="J6" s="9" t="n">
        <x:v>23000.00</x:v>
      </x:c>
      <x:c r="K6" s="9" t="n">
        <x:v>23000.00</x:v>
      </x:c>
    </x:row>
    <x:row r="7">
      <x:c r="A7" s="6" t="s">
        <x:v>11</x:v>
      </x:c>
      <x:c r="B7" s="6" t="s">
        <x:v>41</x:v>
      </x:c>
      <x:c r="C7" s="6" t="s">
        <x:v>13</x:v>
      </x:c>
      <x:c r="D7" s="7" t="str">
        <x:f xml:space="preserve">HYPERLINK("https://www.infonalia.es/adjudicaciones0126/26004288.pdf","www.infonalia.es/adjudicaciones0126/26004288.pdf")</x:f>
        <x:v>www.infonalia.es/adjudicaciones0126/26004288.pdf</x:v>
      </x:c>
      <x:c r="E7" s="8" t="s">
        <x:v>42</x:v>
      </x:c>
      <x:c r="F7" s="6" t="s">
        <x:v>43</x:v>
      </x:c>
      <x:c r="G7" s="6" t="s">
        <x:v>44</x:v>
      </x:c>
      <x:c r="H7" s="6" t="s">
        <x:v>45</x:v>
      </x:c>
      <x:c r="I7" s="6" t="s">
        <x:v>46</x:v>
      </x:c>
      <x:c r="J7" s="9" t="n">
        <x:v>26631.57</x:v>
      </x:c>
      <x:c r="K7" s="9" t="n">
        <x:v>26631.57</x:v>
      </x:c>
    </x:row>
    <x:row r="8">
      <x:c r="A8" s="6" t="s">
        <x:v>11</x:v>
      </x:c>
      <x:c r="B8" s="6" t="s">
        <x:v>47</x:v>
      </x:c>
      <x:c r="C8" s="6" t="s">
        <x:v>13</x:v>
      </x:c>
      <x:c r="D8" s="7" t="str">
        <x:f xml:space="preserve">HYPERLINK("https://www.infonalia.es/adjudicaciones0126/26004362.pdf","www.infonalia.es/adjudicaciones0126/26004362.pdf")</x:f>
        <x:v>www.infonalia.es/adjudicaciones0126/26004362.pdf</x:v>
      </x:c>
      <x:c r="E8" s="8" t="s">
        <x:v>48</x:v>
      </x:c>
      <x:c r="F8" s="6" t="s">
        <x:v>49</x:v>
      </x:c>
      <x:c r="G8" s="6" t="s">
        <x:v>50</x:v>
      </x:c>
      <x:c r="H8" s="6" t="s">
        <x:v>51</x:v>
      </x:c>
      <x:c r="I8" s="6" t="s">
        <x:v>52</x:v>
      </x:c>
      <x:c r="J8" s="9" t="n">
        <x:v>54100.00</x:v>
      </x:c>
      <x:c r="K8" s="9" t="n">
        <x:v>60476.86</x:v>
      </x:c>
    </x:row>
    <x:row r="9">
      <x:c r="A9" s="6" t="s">
        <x:v>53</x:v>
      </x:c>
      <x:c r="B9" s="6" t="s">
        <x:v>54</x:v>
      </x:c>
      <x:c r="C9" s="6" t="s">
        <x:v>13</x:v>
      </x:c>
      <x:c r="D9" s="7" t="str">
        <x:f xml:space="preserve">HYPERLINK("https://www.infonalia.es/adjudicaciones0126/26004404.pdf","www.infonalia.es/adjudicaciones0126/26004404.pdf")</x:f>
        <x:v>www.infonalia.es/adjudicaciones0126/26004404.pdf</x:v>
      </x:c>
      <x:c r="E9" s="8" t="s">
        <x:v>55</x:v>
      </x:c>
      <x:c r="F9" s="6" t="s">
        <x:v>56</x:v>
      </x:c>
      <x:c r="G9" s="6" t="s">
        <x:v>57</x:v>
      </x:c>
      <x:c r="H9" s="6" t="s">
        <x:v>58</x:v>
      </x:c>
      <x:c r="I9" s="6" t="s">
        <x:v>30</x:v>
      </x:c>
      <x:c r="J9" s="9" t="n">
        <x:v>437965.00</x:v>
      </x:c>
      <x:c r="K9" s="9" t="s">
        <x:v>59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