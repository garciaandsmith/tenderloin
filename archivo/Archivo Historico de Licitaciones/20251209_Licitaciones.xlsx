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<x:sst xmlns:x="http://schemas.openxmlformats.org/spreadsheetml/2006/main" count="17" uniqueCount="17">
  <x:si>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</x:si>
  <x:si>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</x:si>
  <x:si>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</x:si>
  <x:si>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</x:si>
  <x:si>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</x:si>
  <x:si>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</x:si>
  <x:si>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</x:si>
  <x:si>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</x:si>
  <x:si>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</x:si>
  <x:si>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</x:si>
  <x:si>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</x:si>
  <x:si>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</x:si>
  <x:si>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</x:si>
  <x:si>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</x:si>
  <x:si>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</x:si>
  <x:si>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</x:si>
  <x:si>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</x:si>
  <x:si>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</x:si>
  <x:si>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</x:si>
  <x:si>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13/01/2026</x:t>
  </x:si>
  <x:si>
    <x:t>2025174435</x:t>
  </x:si>
  <x:si>
    <x:t>09/12/2025</x:t>
  </x:si>
  <x:si>
    <x:t>CONSEJERO DELEGADO DE INGENIERÍA DE SISTEMAS PARA LA DEFENSA DE ESPAÑA S.A., S.M.E. Y M.P</x:t>
  </x:si>
  <x:si>
    <x:t>Servicio de Apoyo a la Consultoría y Gestión de Comunicaciones en el ámbito Aeroportuario</x:t>
  </x:si>
  <x:si>
    <x:t>2025-01854</x:t>
  </x:si>
  <x:si>
    <x:t>Importe sin impuestos</x:t>
  </x:si>
  <x:si>
    <x:t/>
  </x:si>
  <x:si>
    <x:t>-----</x:t>
  </x:si>
  <x:si>
    <x:t>07/12/2025</x:t>
  </x:si>
  <x:si>
    <x:t/>
  </x:si>
  <x:si>
    <x:t>Madrid</x:t>
  </x:si>
  <x:si>
    <x:t>22/01/2026</x:t>
  </x:si>
  <x:si>
    <x:t>2025174455</x:t>
  </x:si>
  <x:si>
    <x:t>MINISTERIO DE TRABAJO Y ECONOMÍA SOCIAL. PRESIDENCIA DEL CONSEJO ECONÓMICO Y SOCIAL</x:t>
  </x:si>
  <x:si>
    <x:t>Servicio de gabinete de prensa y relaciones con los medios de comunicación del Consejo Económico y Social (CES)</x:t>
  </x:si>
  <x:si>
    <x:t>56-2025</x:t>
  </x:si>
  <x:si>
    <x:t/>
  </x:si>
  <x:si>
    <x:t>22/12/2025</x:t>
  </x:si>
  <x:si>
    <x:t>2025174525</x:t>
  </x:si>
  <x:si>
    <x:t>JUNTA DE GOBIERNO DEL AYUNTAMIENTO DE OVIEDO (ASTURIAS)</x:t>
  </x:si>
  <x:si>
    <x:t>Suministro y creatividad, diseño, decoración, producción, dinamización, montaje, limpieza, desmontaje, traslado, mantenimiento y almacenaje y servicios complementarios para espacio destinado a stand del Ayto. de Oviedo en la Feria Internacional de Turismo FITUR 2026</x:t>
  </x:si>
  <x:si>
    <x:t>CC2025/281</x:t>
  </x:si>
  <x:si>
    <x:t>05/12/2025</x:t>
  </x:si>
  <x:si>
    <x:t/>
  </x:si>
  <x:si>
    <x:t>2025174539</x:t>
  </x:si>
  <x:si>
    <x:t>INSTITUTO DE CULTURA DE BARCELONA</x:t>
  </x:si>
  <x:si>
    <x:t>Servicio de oficina técnica del programa Pantalla BDC en los centros cívicos de la ciudad de Barcelona</x:t>
  </x:si>
  <x:si>
    <x:t>006_25002318</x:t>
  </x:si>
  <x:si>
    <x:t/>
  </x:si>
  <x:si>
    <x:t>Barcelona</x:t>
  </x:si>
  <x:si>
    <x:t>24/12/2025</x:t>
  </x:si>
  <x:si>
    <x:t>2025174643</x:t>
  </x:si>
  <x:si>
    <x:t>AGÈNCIA PER A LA COMPETITIVITAT DE L'EMPRESA, ACCIÓ</x:t>
  </x:si>
  <x:si>
    <x:t>El objeto del contrato consiste en los servicios de diseño, construcción, montaje, desmontaje y supervisión del stand de la Generalidad de Cataluña en ALIMENTARIA 2026, que se celebrará en la Feria de Barcelona del 23 al 26 de marzo de 2026</x:t>
  </x:si>
  <x:si>
    <x:t>ACCIO-2026-21</x:t>
  </x:si>
  <x:si>
    <x:t/>
  </x:si>
  <x:si>
    <x:t>21/12/2025</x:t>
  </x:si>
  <x:si>
    <x:t>2025174683</x:t>
  </x:si>
  <x:si>
    <x:t>JUNTA DE CONTRATACIÓN DEL MINISTERIO DE INDUSTRIA Y TURISMO</x:t>
  </x:si>
  <x:si>
    <x:t>Servicio de organización, gestión y realización para la celebración de la 126ª reunión del Consejo Ejecutivo de ONU Turismo</x:t>
  </x:si>
  <x:si>
    <x:t>J25.039.04</x:t>
  </x:si>
  <x:si>
    <x:t/>
  </x:si>
  <x:si>
    <x:t>2025174727</x:t>
  </x:si>
  <x:si>
    <x:t>SUBDIRECCIÓN GENERAL DE LA OFICINA PRESUPUESTARIA Y GESTIÓN ECONÓMICA. MINISTERIO DEDERECHOS SOCIALES, CONSUMO Y AGENDA 2030.</x:t>
  </x:si>
  <x:si>
    <x:t>Servicio de subtitulado de actos organizados por la Administración General del Estado</x:t>
  </x:si>
  <x:si>
    <x:t>252906PSS01</x:t>
  </x:si>
  <x:si>
    <x:t/>
  </x:si>
  <x:si>
    <x:t>07/01/2026</x:t>
  </x:si>
  <x:si>
    <x:t>2025174790</x:t>
  </x:si>
  <x:si>
    <x:t>COMUNIDAD DE MADRID. CONSEJERÍA DE CULTURA, TURISMO Y DEPORTE CONSEJERÍA DE CULTURA, TURISMO Y DEPORTE</x:t>
  </x:si>
  <x:si>
    <x:t>Prestación del servicio de montaje, desmontaje y mantenimiento de la exposición ‘Valle Inclán en Madrid”, que se celebrará en la Sala de Exposiciones de la Biblioteca Regional de Madrid</x:t>
  </x:si>
  <x:si>
    <x:t>C-332B/013-25 (A/SER-043669/2025)</x:t>
  </x:si>
  <x:si>
    <x:t/>
  </x:si>
  <x:si>
    <x:t>15/12/2025</x:t>
  </x:si>
  <x:si>
    <x:t>2025174815</x:t>
  </x:si>
  <x:si>
    <x:t>PRESIDENCIA DE LA DIPUTACIÓN PROVINCIAL DE A CORUÑA</x:t>
  </x:si>
  <x:si>
    <x:t>Servicio de diseño, montaje y desmontaje de stand para la participación de la Diputación provincial de A Coruña en "Madrid Fusión 2026"</x:t>
  </x:si>
  <x:si>
    <x:t>PCO001202500857</x:t>
  </x:si>
  <x:si>
    <x:t/>
  </x:si>
  <x:si>
    <x:t>Ver pliegos</x:t>
  </x:si>
  <x:si>
    <x:t>30/01/2026</x:t>
  </x:si>
  <x:si>
    <x:t>2025174829</x:t>
  </x:si>
  <x:si>
    <x:t>CORPORACIÓ CATALANA DE MITJANS AUDIOVISUALS, SA (CCMA, SA)</x:t>
  </x:si>
  <x:si>
    <x:t>Servicio de implantación, mantenimiento y explotación de un nuevo sistema de medida interna de audiencias Cross Media de todos los contenidos de 3Cat. El objeto de esta concurrencia es la contratación por parte de la Corporació Catalana de Mitjans Audiovisuals, S. A. (en adelante CCMA, S. A.) del servicio de implantación, mantenimiento y explotación de un nuevo sistema de medida interna de audiencias Cross Media de todos los contenidos de la CCMA, S. A. Este servicio debe cubrir todas las ventanas de emisión de los contenidos de 3Cat: televisión, radio, plataforma 3CAT, webs, redes sociales, videojuegos, y debe estar abierta a nuevas incorporaciones fruto de los avances tecnológicos</x:t>
  </x:si>
  <x:si>
    <x:t>2512OB01</x:t>
  </x:si>
  <x:si>
    <x:t/>
  </x:si>
  <x:si>
    <x:t>Catalunya</x:t>
  </x:si>
  <x:si>
    <x:t>Barcelona. Perfil del Contratante del Ayuntamiento</x:t>
  </x:si>
  <x:si>
    <x:t>10/12/2025</x:t>
  </x:si>
  <x:si>
    <x:t>2025174925</x:t>
  </x:si>
  <x:si>
    <x:t>INFORMACIO I COMUNICACIO DE BARCELONA, SA, SPM</x:t>
  </x:si>
  <x:si>
    <x:t>Servicios de retransmisión con unidad móvil de TV de Campanadas 2025 para betevé.</x:t>
  </x:si>
  <x:si>
    <x:t>016/250225</x:t>
  </x:si>
  <x:si>
    <x:t/>
  </x:si>
  <x:si>
    <x:t/>
  </x:si>
  <x:si>
    <x:t>12/01/2026</x:t>
  </x:si>
  <x:si>
    <x:t>2025175066</x:t>
  </x:si>
  <x:si>
    <x:t>Servicios de montaje y desmontaje necesarios para la adecuada ejecución de la exposición “Mitologías modernas: Ouka Leele &amp; CO.”, en la Sala de Exposiciones Alcalá 31, situada en la calle Alcalá 31</x:t>
  </x:si>
  <x:si>
    <x:t>C-333A/036-25 (A/SER-045161/2025).</x:t>
  </x:si>
  <x:si>
    <x:t/>
  </x:si>
  <x:si>
    <x:t>DOUE - Diario Oficial de la Unión Europea (S)</x:t>
  </x:si>
  <x:si>
    <x:t>08/01/2026</x:t>
  </x:si>
  <x:si>
    <x:t>2025175107</x:t>
  </x:si>
  <x:si>
    <x:t>PROMOTORA D'EXPORTACIONS CATALANES SA (PRODECA)</x:t>
  </x:si>
  <x:si>
    <x:t>Servicios de implementación y evaluación de las actividades del proyecto europeo “The Creative Revolution: European Wines and Charcuterie (Crewcas)”, en los mercados de Corea del Sur, Japón y China. LOTE 1. Servicios de implementación de las actividades del proyecto europeo “The Creative Revolution: European Wines and Charcuterie (Crewcas)”, en los mercados de Corea del Sur, Japón y China. Lote 2. Servicios de evaluación de las actividades del proyecto europeo “The Creative
Revolution: European Wines and Charcuterie (Crewcas)”, en los mercados de Corea del Sur,
Japón y China</x:t>
  </x:si>
  <x:si>
    <x:t>05/2026 - PRODECA-2026-6</x:t>
  </x:si>
  <x:si>
    <x:t>IVA Excluido.</x:t>
  </x:si>
  <x:si>
    <x:t/>
  </x:si>
  <x:si>
    <x:t>235</x:t>
  </x:si>
  <x:si>
    <x:t/>
  </x:si>
  <x:si>
    <x:t>2025175108</x:t>
  </x:si>
  <x:si>
    <x:t>Acuerdo Marco de los servicios de márqueting y promoción comercial internacional de Prodeca en los mercados de África del norte del Sáhara (lote 1), África del Sur del
Sáhara (lote 2), América Latina (lote 3), Asia Oriental (lote 4), Estados Unidos y Canadá (lote 5), Gran China (lote 6), Índia y
Pakistán (lote 7), Mercados Europeos (lote 8), Oriente Medio (lote 9) y Sudeste Asiático (lote 10)</x:t>
  </x:si>
  <x:si>
    <x:t>AM01/2026</x:t>
  </x:si>
  <x:si>
    <x:t/>
  </x:si>
  <x:si>
    <x:t/>
  </x:si>
  <x:si>
    <x:t>2025175109</x:t>
  </x:si>
  <x:si>
    <x:t>DIRECCIÓN GENERAL ECONÓMICO-FINANCIERA DE LA ENTIDAD PÚBLICA EMPRESARIAL RENFE-OPERADORA</x:t>
  </x:si>
  <x:si>
    <x:t>Plan de contratación 2026</x:t>
  </x:si>
  <x:si>
    <x:t>Anuncio previo</x:t>
  </x:si>
  <x:si>
    <x:t>No consta</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</x:si>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</x:sst>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219824.00</x:v>
      </x:c>
      <x:c r="J2" s="11" t="s">
        <x:v>25</x:v>
      </x:c>
      <x:c r="K2" s="11" t="s">
        <x:v>26</x:v>
      </x:c>
      <x:c r="L2" s="12" t="str">
        <x:f xml:space="preserve">HYPERLINK("https://contrataciondelestado.es/wps/poc?uri=deeplink:detalle_licitacion&amp;idEvl=IbemKiHmg9E7u6%2B%2FR7DUoA%3D%3D","contrataciondelestado.es/wps/poc?uri=deeplink:detalle_licitacion&amp;idEvl=IbemKiHmg9E7u6%2B%2FR7DUoA%3D%3D")</x:f>
        <x:v>contrataciondelestado.es/wps/poc?uri=deeplink:detalle_licitacion&amp;idEvl=IbemKiHmg9E7u6%2B%2FR7DUoA%3D%3D</x:v>
      </x:c>
      <x:c r="M2" s="11" t="s">
        <x:v>27</x:v>
      </x:c>
      <x:c r="N2" s="13" t="s">
        <x:v>28</x:v>
      </x:c>
      <x:c r="O2" s="11" t="s">
        <x:v>29</x:v>
      </x:c>
      <x:c r="P2" s="11" t="s">
        <x:v>30</x:v>
      </x:c>
      <x:c r="Q2" s="14" t="str">
        <x:f xml:space="preserve">HYPERLINK("https://www.infonalia.es/licitaciones1225/2025174435.pdf","www.infonalia.es/licitaciones1225/2025174435.pdf")</x:f>
        <x:v>www.infonalia.es/licitaciones1225/2025174435.pdf</x:v>
      </x:c>
    </x:row>
    <x:row r="3">
      <x:c r="A3" s="6" t="s">
        <x:v>17</x:v>
      </x:c>
      <x:c r="B3" s="6" t="s">
        <x:v>18</x:v>
      </x:c>
      <x:c r="C3" s="7" t="s">
        <x:v>31</x:v>
      </x:c>
      <x:c r="D3" s="8" t="s">
        <x:v>32</x:v>
      </x:c>
      <x:c r="E3" s="9" t="s">
        <x:v>21</x:v>
      </x:c>
      <x:c r="F3" s="6" t="s">
        <x:v>33</x:v>
      </x:c>
      <x:c r="G3" s="6" t="s">
        <x:v>34</x:v>
      </x:c>
      <x:c r="H3" s="6" t="s">
        <x:v>35</x:v>
      </x:c>
      <x:c r="I3" s="10" t="n">
        <x:v>38673.46</x:v>
      </x:c>
      <x:c r="J3" s="11" t="s">
        <x:v>25</x:v>
      </x:c>
      <x:c r="K3" s="11" t="s">
        <x:v>26</x:v>
      </x:c>
      <x:c r="L3" s="12" t="str">
        <x:f xml:space="preserve">HYPERLINK("https://contrataciondelestado.es/wps/poc?uri=deeplink:detalle_licitacion&amp;idEvl=zzo4II3FFUfXOjazN1Dw9Q%3D%3D","contrataciondelestado.es/wps/poc?uri=deeplink:detalle_licitacion&amp;idEvl=zzo4II3FFUfXOjazN1Dw9Q%3D%3D")</x:f>
        <x:v>contrataciondelestado.es/wps/poc?uri=deeplink:detalle_licitacion&amp;idEvl=zzo4II3FFUfXOjazN1Dw9Q%3D%3D</x:v>
      </x:c>
      <x:c r="M3" s="11" t="s">
        <x:v>27</x:v>
      </x:c>
      <x:c r="N3" s="13" t="s">
        <x:v>28</x:v>
      </x:c>
      <x:c r="O3" s="11" t="s">
        <x:v>36</x:v>
      </x:c>
      <x:c r="P3" s="11" t="s">
        <x:v>30</x:v>
      </x:c>
      <x:c r="Q3" s="14" t="str">
        <x:f xml:space="preserve">HYPERLINK("https://www.infonalia.es/licitaciones1225/2025174455.pdf","www.infonalia.es/licitaciones1225/2025174455.pdf")</x:f>
        <x:v>www.infonalia.es/licitaciones1225/2025174455.pdf</x:v>
      </x:c>
    </x:row>
    <x:row r="4">
      <x:c r="A4" s="6" t="s">
        <x:v>17</x:v>
      </x:c>
      <x:c r="B4" s="6" t="s">
        <x:v>18</x:v>
      </x:c>
      <x:c r="C4" s="7" t="s">
        <x:v>37</x:v>
      </x:c>
      <x:c r="D4" s="8" t="s">
        <x:v>38</x:v>
      </x:c>
      <x:c r="E4" s="9" t="s">
        <x:v>21</x:v>
      </x:c>
      <x:c r="F4" s="6" t="s">
        <x:v>39</x:v>
      </x:c>
      <x:c r="G4" s="6" t="s">
        <x:v>40</x:v>
      </x:c>
      <x:c r="H4" s="6" t="s">
        <x:v>41</x:v>
      </x:c>
      <x:c r="I4" s="10" t="n">
        <x:v>99000.00</x:v>
      </x:c>
      <x:c r="J4" s="11" t="s">
        <x:v>25</x:v>
      </x:c>
      <x:c r="K4" s="11" t="s">
        <x:v>26</x:v>
      </x:c>
      <x:c r="L4" s="12" t="str">
        <x:f xml:space="preserve">HYPERLINK("https://contrataciondelestado.es/wps/poc?uri=deeplink:detalle_licitacion&amp;idEvl=%2FQUy71S15QacCF8sV%2BqtYA%3D%3D","contrataciondelestado.es/wps/poc?uri=deeplink:detalle_licitacion&amp;idEvl=%2FQUy71S15QacCF8sV%2BqtYA%3D%3D")</x:f>
        <x:v>contrataciondelestado.es/wps/poc?uri=deeplink:detalle_licitacion&amp;idEvl=%2FQUy71S15QacCF8sV%2BqtYA%3D%3D</x:v>
      </x:c>
      <x:c r="M4" s="11" t="s">
        <x:v>27</x:v>
      </x:c>
      <x:c r="N4" s="13" t="s">
        <x:v>42</x:v>
      </x:c>
      <x:c r="O4" s="11" t="s">
        <x:v>43</x:v>
      </x:c>
      <x:c r="P4" s="11" t="s">
        <x:v>30</x:v>
      </x:c>
      <x:c r="Q4" s="14" t="str">
        <x:f xml:space="preserve">HYPERLINK("https://www.infonalia.es/licitaciones1225/2025174525.pdf","www.infonalia.es/licitaciones1225/2025174525.pdf")</x:f>
        <x:v>www.infonalia.es/licitaciones1225/2025174525.pdf</x:v>
      </x:c>
    </x:row>
    <x:row r="5">
      <x:c r="A5" s="6" t="s">
        <x:v>17</x:v>
      </x:c>
      <x:c r="B5" s="6" t="s">
        <x:v>18</x:v>
      </x:c>
      <x:c r="C5" s="7" t="s">
        <x:v>37</x:v>
      </x:c>
      <x:c r="D5" s="8" t="s">
        <x:v>44</x:v>
      </x:c>
      <x:c r="E5" s="9" t="s">
        <x:v>21</x:v>
      </x:c>
      <x:c r="F5" s="6" t="s">
        <x:v>45</x:v>
      </x:c>
      <x:c r="G5" s="6" t="s">
        <x:v>46</x:v>
      </x:c>
      <x:c r="H5" s="6" t="s">
        <x:v>47</x:v>
      </x:c>
      <x:c r="I5" s="10" t="n">
        <x:v>34904.80</x:v>
      </x:c>
      <x:c r="J5" s="11" t="s">
        <x:v>25</x:v>
      </x:c>
      <x:c r="K5" s="11" t="s">
        <x:v>26</x:v>
      </x:c>
      <x:c r="L5" s="12" t="str">
        <x:f xml:space="preserve">HYPERLINK("https://contractaciopublica.cat/ca/detall-publicacio/3595f893-7977-48fe-af60-20dd08170cc4/300639287","contractaciopublica.cat/ca/detall-publicacio/3595f893-7977-48fe-af60-20dd08170cc4/300639287")</x:f>
        <x:v>contractaciopublica.cat/ca/detall-publicacio/3595f893-7977-48fe-af60-20dd08170cc4/300639287</x:v>
      </x:c>
      <x:c r="M5" s="11" t="s">
        <x:v>27</x:v>
      </x:c>
      <x:c r="N5" s="13" t="s">
        <x:v>42</x:v>
      </x:c>
      <x:c r="O5" s="11" t="s">
        <x:v>48</x:v>
      </x:c>
      <x:c r="P5" s="11" t="s">
        <x:v>49</x:v>
      </x:c>
      <x:c r="Q5" s="14" t="str">
        <x:f xml:space="preserve">HYPERLINK("https://www.infonalia.es/licitaciones1225/2025174539.pdf","www.infonalia.es/licitaciones1225/2025174539.pdf")</x:f>
        <x:v>www.infonalia.es/licitaciones1225/2025174539.pdf</x:v>
      </x:c>
    </x:row>
    <x:row r="6">
      <x:c r="A6" s="6" t="s">
        <x:v>17</x:v>
      </x:c>
      <x:c r="B6" s="6" t="s">
        <x:v>18</x:v>
      </x:c>
      <x:c r="C6" s="7" t="s">
        <x:v>50</x:v>
      </x:c>
      <x:c r="D6" s="8" t="s">
        <x:v>51</x:v>
      </x:c>
      <x:c r="E6" s="9" t="s">
        <x:v>21</x:v>
      </x:c>
      <x:c r="F6" s="6" t="s">
        <x:v>52</x:v>
      </x:c>
      <x:c r="G6" s="6" t="s">
        <x:v>53</x:v>
      </x:c>
      <x:c r="H6" s="6" t="s">
        <x:v>54</x:v>
      </x:c>
      <x:c r="I6" s="10" t="n">
        <x:v>120000.00</x:v>
      </x:c>
      <x:c r="J6" s="11" t="s">
        <x:v>25</x:v>
      </x:c>
      <x:c r="K6" s="11" t="s">
        <x:v>26</x:v>
      </x:c>
      <x:c r="L6" s="12" t="str">
        <x:f xml:space="preserve">HYPERLINK("https://contractaciopublica.cat/ca/detall-publicacio/462c8ee3-3391-4e1c-9cf5-2b8c095c959b/300639130","contractaciopublica.cat/ca/detall-publicacio/462c8ee3-3391-4e1c-9cf5-2b8c095c959b/300639130")</x:f>
        <x:v>contractaciopublica.cat/ca/detall-publicacio/462c8ee3-3391-4e1c-9cf5-2b8c095c959b/300639130</x:v>
      </x:c>
      <x:c r="M6" s="11" t="s">
        <x:v>27</x:v>
      </x:c>
      <x:c r="N6" s="13" t="s">
        <x:v>42</x:v>
      </x:c>
      <x:c r="O6" s="11" t="s">
        <x:v>55</x:v>
      </x:c>
      <x:c r="P6" s="11" t="s">
        <x:v>49</x:v>
      </x:c>
      <x:c r="Q6" s="14" t="str">
        <x:f xml:space="preserve">HYPERLINK("https://www.infonalia.es/licitaciones1225/2025174643.pdf","www.infonalia.es/licitaciones1225/2025174643.pdf")</x:f>
        <x:v>www.infonalia.es/licitaciones1225/2025174643.pdf</x:v>
      </x:c>
    </x:row>
    <x:row r="7">
      <x:c r="A7" s="6" t="s">
        <x:v>17</x:v>
      </x:c>
      <x:c r="B7" s="6" t="s">
        <x:v>18</x:v>
      </x:c>
      <x:c r="C7" s="7" t="s">
        <x:v>56</x:v>
      </x:c>
      <x:c r="D7" s="8" t="s">
        <x:v>57</x:v>
      </x:c>
      <x:c r="E7" s="9" t="s">
        <x:v>21</x:v>
      </x:c>
      <x:c r="F7" s="6" t="s">
        <x:v>58</x:v>
      </x:c>
      <x:c r="G7" s="6" t="s">
        <x:v>59</x:v>
      </x:c>
      <x:c r="H7" s="6" t="s">
        <x:v>60</x:v>
      </x:c>
      <x:c r="I7" s="10" t="n">
        <x:v>516442.00</x:v>
      </x:c>
      <x:c r="J7" s="11" t="s">
        <x:v>25</x:v>
      </x:c>
      <x:c r="K7" s="11" t="s">
        <x:v>26</x:v>
      </x:c>
      <x:c r="L7" s="12" t="str">
        <x:f xml:space="preserve">HYPERLINK("https://contrataciondelestado.es/wps/poc?uri=deeplink:detalle_licitacion&amp;idEvl=QEKvsbUFAB2zz8fXU2i3eQ%3D%3D","contrataciondelestado.es/wps/poc?uri=deeplink:detalle_licitacion&amp;idEvl=QEKvsbUFAB2zz8fXU2i3eQ%3D%3D")</x:f>
        <x:v>contrataciondelestado.es/wps/poc?uri=deeplink:detalle_licitacion&amp;idEvl=QEKvsbUFAB2zz8fXU2i3eQ%3D%3D</x:v>
      </x:c>
      <x:c r="M7" s="11" t="s">
        <x:v>27</x:v>
      </x:c>
      <x:c r="N7" s="13" t="s">
        <x:v>42</x:v>
      </x:c>
      <x:c r="O7" s="11" t="s">
        <x:v>61</x:v>
      </x:c>
      <x:c r="P7" s="11" t="s">
        <x:v>30</x:v>
      </x:c>
      <x:c r="Q7" s="14" t="str">
        <x:f xml:space="preserve">HYPERLINK("https://www.infonalia.es/licitaciones1225/2025174683.pdf","www.infonalia.es/licitaciones1225/2025174683.pdf")</x:f>
        <x:v>www.infonalia.es/licitaciones1225/2025174683.pdf</x:v>
      </x:c>
    </x:row>
    <x:row r="8">
      <x:c r="A8" s="6" t="s">
        <x:v>17</x:v>
      </x:c>
      <x:c r="B8" s="6" t="s">
        <x:v>18</x:v>
      </x:c>
      <x:c r="C8" s="7" t="s">
        <x:v>37</x:v>
      </x:c>
      <x:c r="D8" s="8" t="s">
        <x:v>62</x:v>
      </x:c>
      <x:c r="E8" s="9" t="s">
        <x:v>21</x:v>
      </x:c>
      <x:c r="F8" s="6" t="s">
        <x:v>63</x:v>
      </x:c>
      <x:c r="G8" s="6" t="s">
        <x:v>64</x:v>
      </x:c>
      <x:c r="H8" s="6" t="s">
        <x:v>65</x:v>
      </x:c>
      <x:c r="I8" s="10" t="n">
        <x:v>28728.36</x:v>
      </x:c>
      <x:c r="J8" s="11" t="s">
        <x:v>25</x:v>
      </x:c>
      <x:c r="K8" s="11" t="s">
        <x:v>26</x:v>
      </x:c>
      <x:c r="L8" s="12" t="str">
        <x:f xml:space="preserve">HYPERLINK("https://contrataciondelestado.es/wps/poc?uri=deeplink:detalle_licitacion&amp;idEvl=tHCzRsS4GlqFlFRHfEzEaw%3D%3D","contrataciondelestado.es/wps/poc?uri=deeplink:detalle_licitacion&amp;idEvl=tHCzRsS4GlqFlFRHfEzEaw%3D%3D")</x:f>
        <x:v>contrataciondelestado.es/wps/poc?uri=deeplink:detalle_licitacion&amp;idEvl=tHCzRsS4GlqFlFRHfEzEaw%3D%3D</x:v>
      </x:c>
      <x:c r="M8" s="11" t="s">
        <x:v>27</x:v>
      </x:c>
      <x:c r="N8" s="13" t="s">
        <x:v>42</x:v>
      </x:c>
      <x:c r="O8" s="11" t="s">
        <x:v>66</x:v>
      </x:c>
      <x:c r="P8" s="11" t="s">
        <x:v>30</x:v>
      </x:c>
      <x:c r="Q8" s="14" t="str">
        <x:f xml:space="preserve">HYPERLINK("https://www.infonalia.es/licitaciones1225/2025174727.pdf","www.infonalia.es/licitaciones1225/2025174727.pdf")</x:f>
        <x:v>www.infonalia.es/licitaciones1225/2025174727.pdf</x:v>
      </x:c>
    </x:row>
    <x:row r="9">
      <x:c r="A9" s="6" t="s">
        <x:v>17</x:v>
      </x:c>
      <x:c r="B9" s="6" t="s">
        <x:v>18</x:v>
      </x:c>
      <x:c r="C9" s="7" t="s">
        <x:v>67</x:v>
      </x:c>
      <x:c r="D9" s="8" t="s">
        <x:v>68</x:v>
      </x:c>
      <x:c r="E9" s="9" t="s">
        <x:v>21</x:v>
      </x:c>
      <x:c r="F9" s="6" t="s">
        <x:v>69</x:v>
      </x:c>
      <x:c r="G9" s="6" t="s">
        <x:v>70</x:v>
      </x:c>
      <x:c r="H9" s="6" t="s">
        <x:v>71</x:v>
      </x:c>
      <x:c r="I9" s="10" t="n">
        <x:v>83800.00</x:v>
      </x:c>
      <x:c r="J9" s="11" t="s">
        <x:v>25</x:v>
      </x:c>
      <x:c r="K9" s="11" t="s">
        <x:v>26</x:v>
      </x:c>
      <x:c r="L9" s="12" t="str">
        <x:f xml:space="preserve">HYPERLINK("https://contratos-publicos.comunidad.madrid/contrato-publico/servicio-montaje-mantenimiento-desmontaje-exposicion-valle-inclan-madrid","contratos-publicos.comunidad.madrid/contrato-publico/servicio-montaje-mantenimiento-desmontaje-exposicion-valle-inclan-madrid")</x:f>
        <x:v>contratos-publicos.comunidad.madrid/contrato-publico/servicio-montaje-mantenimiento-desmontaje-exposicion-valle-inclan-madrid</x:v>
      </x:c>
      <x:c r="M9" s="11" t="s">
        <x:v>27</x:v>
      </x:c>
      <x:c r="N9" s="13" t="s">
        <x:v>42</x:v>
      </x:c>
      <x:c r="O9" s="11" t="s">
        <x:v>72</x:v>
      </x:c>
      <x:c r="P9" s="11" t="s">
        <x:v>30</x:v>
      </x:c>
      <x:c r="Q9" s="14" t="str">
        <x:f xml:space="preserve">HYPERLINK("https://www.infonalia.es/licitaciones1225/2025174790.pdf","www.infonalia.es/licitaciones1225/2025174790.pdf")</x:f>
        <x:v>www.infonalia.es/licitaciones1225/2025174790.pdf</x:v>
      </x:c>
    </x:row>
    <x:row r="10">
      <x:c r="A10" s="6" t="s">
        <x:v>17</x:v>
      </x:c>
      <x:c r="B10" s="6" t="s">
        <x:v>18</x:v>
      </x:c>
      <x:c r="C10" s="7" t="s">
        <x:v>73</x:v>
      </x:c>
      <x:c r="D10" s="8" t="s">
        <x:v>74</x:v>
      </x:c>
      <x:c r="E10" s="9" t="s">
        <x:v>21</x:v>
      </x:c>
      <x:c r="F10" s="6" t="s">
        <x:v>75</x:v>
      </x:c>
      <x:c r="G10" s="6" t="s">
        <x:v>76</x:v>
      </x:c>
      <x:c r="H10" s="6" t="s">
        <x:v>77</x:v>
      </x:c>
      <x:c r="I10" s="10" t="n">
        <x:v>20000.00</x:v>
      </x:c>
      <x:c r="J10" s="11" t="s">
        <x:v>25</x:v>
      </x:c>
      <x:c r="K10" s="11" t="s">
        <x:v>26</x:v>
      </x:c>
      <x:c r="L10" s="12" t="str">
        <x:f xml:space="preserve">HYPERLINK("https://contrataciondelestado.es/wps/poc?uri=deeplink:detalle_licitacion&amp;idEvl=95ZVE8IQ2Lbi0Kd8%2Brcp6w%3D%3D","contrataciondelestado.es/wps/poc?uri=deeplink:detalle_licitacion&amp;idEvl=95ZVE8IQ2Lbi0Kd8%2Brcp6w%3D%3D")</x:f>
        <x:v>contrataciondelestado.es/wps/poc?uri=deeplink:detalle_licitacion&amp;idEvl=95ZVE8IQ2Lbi0Kd8%2Brcp6w%3D%3D</x:v>
      </x:c>
      <x:c r="M10" s="11" t="s">
        <x:v>27</x:v>
      </x:c>
      <x:c r="N10" s="13" t="s">
        <x:v>42</x:v>
      </x:c>
      <x:c r="O10" s="11" t="s">
        <x:v>78</x:v>
      </x:c>
      <x:c r="P10" s="11" t="s">
        <x:v>79</x:v>
      </x:c>
      <x:c r="Q10" s="14" t="str">
        <x:f xml:space="preserve">HYPERLINK("https://www.infonalia.es/licitaciones1225/2025174815.pdf","www.infonalia.es/licitaciones1225/2025174815.pdf")</x:f>
        <x:v>www.infonalia.es/licitaciones1225/2025174815.pdf</x:v>
      </x:c>
    </x:row>
    <x:row r="11">
      <x:c r="A11" s="6" t="s">
        <x:v>17</x:v>
      </x:c>
      <x:c r="B11" s="6" t="s">
        <x:v>18</x:v>
      </x:c>
      <x:c r="C11" s="7" t="s">
        <x:v>80</x:v>
      </x:c>
      <x:c r="D11" s="8" t="s">
        <x:v>81</x:v>
      </x:c>
      <x:c r="E11" s="9" t="s">
        <x:v>21</x:v>
      </x:c>
      <x:c r="F11" s="6" t="s">
        <x:v>82</x:v>
      </x:c>
      <x:c r="G11" s="6" t="s">
        <x:v>83</x:v>
      </x:c>
      <x:c r="H11" s="6" t="s">
        <x:v>84</x:v>
      </x:c>
      <x:c r="I11" s="10" t="n">
        <x:v>440000.00</x:v>
      </x:c>
      <x:c r="J11" s="11" t="s">
        <x:v>25</x:v>
      </x:c>
      <x:c r="K11" s="11" t="s">
        <x:v>26</x:v>
      </x:c>
      <x:c r="L11" s="12" t="str">
        <x:f xml:space="preserve">HYPERLINK("https://contractaciopublica.cat/ca/detall-publicacio/7b7b7c23-d8f0-46dd-9b98-1115ea6e2395/300636776","contractaciopublica.cat/ca/detall-publicacio/7b7b7c23-d8f0-46dd-9b98-1115ea6e2395/300636776")</x:f>
        <x:v>contractaciopublica.cat/ca/detall-publicacio/7b7b7c23-d8f0-46dd-9b98-1115ea6e2395/300636776</x:v>
      </x:c>
      <x:c r="M11" s="11" t="s">
        <x:v>27</x:v>
      </x:c>
      <x:c r="N11" s="13" t="s">
        <x:v>42</x:v>
      </x:c>
      <x:c r="O11" s="11" t="s">
        <x:v>85</x:v>
      </x:c>
      <x:c r="P11" s="11" t="s">
        <x:v>86</x:v>
      </x:c>
      <x:c r="Q11" s="14" t="str">
        <x:f xml:space="preserve">HYPERLINK("https://www.infonalia.es/licitaciones1225/2025174829.pdf","www.infonalia.es/licitaciones1225/2025174829.pdf")</x:f>
        <x:v>www.infonalia.es/licitaciones1225/2025174829.pdf</x:v>
      </x:c>
    </x:row>
    <x:row r="12">
      <x:c r="A12" s="6" t="s">
        <x:v>17</x:v>
      </x:c>
      <x:c r="B12" s="6" t="s">
        <x:v>87</x:v>
      </x:c>
      <x:c r="C12" s="7" t="s">
        <x:v>88</x:v>
      </x:c>
      <x:c r="D12" s="8" t="s">
        <x:v>89</x:v>
      </x:c>
      <x:c r="E12" s="9" t="s">
        <x:v>21</x:v>
      </x:c>
      <x:c r="F12" s="6" t="s">
        <x:v>90</x:v>
      </x:c>
      <x:c r="G12" s="6" t="s">
        <x:v>91</x:v>
      </x:c>
      <x:c r="H12" s="6" t="s">
        <x:v>92</x:v>
      </x:c>
      <x:c r="I12" s="10" t="n">
        <x:v>14200.00</x:v>
      </x:c>
      <x:c r="J12" s="11" t="s">
        <x:v>25</x:v>
      </x:c>
      <x:c r="K12" s="11" t="s">
        <x:v>93</x:v>
      </x:c>
      <x:c r="L12" s="12" t="str">
        <x:f xml:space="preserve">HYPERLINK("https://licitacions.bcn.cat/licitacion/licitaciones/detalle?id=13918170","licitacions.bcn.cat/licitacion/licitaciones/detalle?id=13918170")</x:f>
        <x:v>licitacions.bcn.cat/licitacion/licitaciones/detalle?id=13918170</x:v>
      </x:c>
      <x:c r="M12" s="11" t="s">
        <x:v>27</x:v>
      </x:c>
      <x:c r="N12" s="13" t="s">
        <x:v>42</x:v>
      </x:c>
      <x:c r="O12" s="11" t="s">
        <x:v>94</x:v>
      </x:c>
      <x:c r="P12" s="11" t="s">
        <x:v>49</x:v>
      </x:c>
      <x:c r="Q12" s="14" t="str">
        <x:f xml:space="preserve">HYPERLINK("https://www.infonalia.es/licitaciones1225/2025174925.pdf","www.infonalia.es/licitaciones1225/2025174925.pdf")</x:f>
        <x:v>www.infonalia.es/licitaciones1225/2025174925.pdf</x:v>
      </x:c>
    </x:row>
    <x:row r="13">
      <x:c r="A13" s="6" t="s">
        <x:v>17</x:v>
      </x:c>
      <x:c r="B13" s="6" t="s">
        <x:v>18</x:v>
      </x:c>
      <x:c r="C13" s="7" t="s">
        <x:v>95</x:v>
      </x:c>
      <x:c r="D13" s="8" t="s">
        <x:v>96</x:v>
      </x:c>
      <x:c r="E13" s="9" t="s">
        <x:v>21</x:v>
      </x:c>
      <x:c r="F13" s="6" t="s">
        <x:v>69</x:v>
      </x:c>
      <x:c r="G13" s="6" t="s">
        <x:v>97</x:v>
      </x:c>
      <x:c r="H13" s="6" t="s">
        <x:v>98</x:v>
      </x:c>
      <x:c r="I13" s="10" t="n">
        <x:v>153642.50</x:v>
      </x:c>
      <x:c r="J13" s="11" t="s">
        <x:v>25</x:v>
      </x:c>
      <x:c r="K13" s="11" t="s">
        <x:v>26</x:v>
      </x:c>
      <x:c r="L13" s="12" t="str">
        <x:f xml:space="preserve">HYPERLINK("https://contratos-publicos.comunidad.madrid/contrato-publico/montaje-desmontaje-exposicion-mitologias-modernas-ouka-leele-co","contratos-publicos.comunidad.madrid/contrato-publico/montaje-desmontaje-exposicion-mitologias-modernas-ouka-leele-co")</x:f>
        <x:v>contratos-publicos.comunidad.madrid/contrato-publico/montaje-desmontaje-exposicion-mitologias-modernas-ouka-leele-co</x:v>
      </x:c>
      <x:c r="M13" s="11" t="s">
        <x:v>27</x:v>
      </x:c>
      <x:c r="N13" s="13" t="s">
        <x:v>21</x:v>
      </x:c>
      <x:c r="O13" s="11" t="s">
        <x:v>99</x:v>
      </x:c>
      <x:c r="P13" s="11" t="s">
        <x:v>30</x:v>
      </x:c>
      <x:c r="Q13" s="14" t="str">
        <x:f xml:space="preserve">HYPERLINK("https://www.infonalia.es/licitaciones1225/2025175066.pdf","www.infonalia.es/licitaciones1225/2025175066.pdf")</x:f>
        <x:v>www.infonalia.es/licitaciones1225/2025175066.pdf</x:v>
      </x:c>
    </x:row>
    <x:row r="14">
      <x:c r="A14" s="6" t="s">
        <x:v>17</x:v>
      </x:c>
      <x:c r="B14" s="6" t="s">
        <x:v>100</x:v>
      </x:c>
      <x:c r="C14" s="7" t="s">
        <x:v>101</x:v>
      </x:c>
      <x:c r="D14" s="8" t="s">
        <x:v>102</x:v>
      </x:c>
      <x:c r="E14" s="9" t="s">
        <x:v>21</x:v>
      </x:c>
      <x:c r="F14" s="6" t="s">
        <x:v>103</x:v>
      </x:c>
      <x:c r="G14" s="6" t="s">
        <x:v>104</x:v>
      </x:c>
      <x:c r="H14" s="6" t="s">
        <x:v>105</x:v>
      </x:c>
      <x:c r="I14" s="10" t="n">
        <x:v>2741052.90</x:v>
      </x:c>
      <x:c r="J14" s="11" t="s">
        <x:v>106</x:v>
      </x:c>
      <x:c r="K14" s="11" t="s">
        <x:v>107</x:v>
      </x:c>
      <x:c r="L14" s="12" t="str">
        <x:f xml:space="preserve">HYPERLINK("https://contractaciopublica.cat/ca/perfils-contractant/detall/4678198?categoria=0","contractaciopublica.cat/ca/perfils-contractant/detall/4678198?categoria=0")</x:f>
        <x:v>contractaciopublica.cat/ca/perfils-contractant/detall/4678198?categoria=0</x:v>
      </x:c>
      <x:c r="M14" s="11" t="s">
        <x:v>108</x:v>
      </x:c>
      <x:c r="N14" s="13" t="s">
        <x:v>42</x:v>
      </x:c>
      <x:c r="O14" s="11" t="s">
        <x:v>109</x:v>
      </x:c>
      <x:c r="P14" s="11" t="s">
        <x:v>79</x:v>
      </x:c>
      <x:c r="Q14" s="14" t="str">
        <x:f xml:space="preserve">HYPERLINK("https://www.infonalia.es/licitaciones1225/2025175107.pdf","www.infonalia.es/licitaciones1225/2025175107.pdf")</x:f>
        <x:v>www.infonalia.es/licitaciones1225/2025175107.pdf</x:v>
      </x:c>
    </x:row>
    <x:row r="15">
      <x:c r="A15" s="6" t="s">
        <x:v>17</x:v>
      </x:c>
      <x:c r="B15" s="6" t="s">
        <x:v>100</x:v>
      </x:c>
      <x:c r="C15" s="7" t="s">
        <x:v>101</x:v>
      </x:c>
      <x:c r="D15" s="8" t="s">
        <x:v>110</x:v>
      </x:c>
      <x:c r="E15" s="9" t="s">
        <x:v>21</x:v>
      </x:c>
      <x:c r="F15" s="6" t="s">
        <x:v>103</x:v>
      </x:c>
      <x:c r="G15" s="6" t="s">
        <x:v>111</x:v>
      </x:c>
      <x:c r="H15" s="6" t="s">
        <x:v>112</x:v>
      </x:c>
      <x:c r="I15" s="10" t="n">
        <x:v>11808000.00</x:v>
      </x:c>
      <x:c r="J15" s="11" t="s">
        <x:v>106</x:v>
      </x:c>
      <x:c r="K15" s="11" t="s">
        <x:v>113</x:v>
      </x:c>
      <x:c r="L15" s="12" t="str">
        <x:f xml:space="preserve">HYPERLINK("https://contractaciopublica.cat/ca/perfils-contractant/detall/4678198?categoria=0&amp;tipus=104&amp;page=0","contractaciopublica.cat/ca/perfils-contractant/detall/4678198?categoria=0&amp;tipus=104&amp;page=0")</x:f>
        <x:v>contractaciopublica.cat/ca/perfils-contractant/detall/4678198?categoria=0&amp;tipus=104&amp;page=0</x:v>
      </x:c>
      <x:c r="M15" s="11" t="s">
        <x:v>108</x:v>
      </x:c>
      <x:c r="N15" s="13" t="s">
        <x:v>42</x:v>
      </x:c>
      <x:c r="O15" s="11" t="s">
        <x:v>114</x:v>
      </x:c>
      <x:c r="P15" s="11" t="s">
        <x:v>79</x:v>
      </x:c>
      <x:c r="Q15" s="14" t="str">
        <x:f xml:space="preserve">HYPERLINK("https://www.infonalia.es/licitaciones1225/2025175108.pdf","www.infonalia.es/licitaciones1225/2025175108.pdf")</x:f>
        <x:v>www.infonalia.es/licitaciones1225/2025175108.pdf</x:v>
      </x:c>
    </x:row>
    <x:row r="16">
      <x:c r="A16" s="6" t="s">
        <x:v>17</x:v>
      </x:c>
      <x:c r="B16" s="6" t="s">
        <x:v>100</x:v>
      </x:c>
      <x:c r="C16" s="7" t="s">
        <x:v>26</x:v>
      </x:c>
      <x:c r="D16" s="8" t="s">
        <x:v>115</x:v>
      </x:c>
      <x:c r="E16" s="9" t="s">
        <x:v>21</x:v>
      </x:c>
      <x:c r="F16" s="6" t="s">
        <x:v>116</x:v>
      </x:c>
      <x:c r="G16" s="6" t="s">
        <x:v>117</x:v>
      </x:c>
      <x:c r="H16" s="6" t="s">
        <x:v>118</x:v>
      </x:c>
      <x:c r="I16" s="10"/>
      <x:c r="J16" s="11" t="s">
        <x:v>119</x:v>
      </x:c>
      <x:c r="K16" s="11" t="s">
        <x:v>119</x:v>
      </x:c>
      <x:c r="L16" s="12" t="str">
        <x:f xml:space="preserve">HYPERLINK("https://contrataciondelestado.es
/FileSystem/servlet/GetDocumentByIdServlet?cifrado=QUC1GjXXSiLkydRHJBmbpw%3D%
3D&amp;DocumentIdParam=FdlxT27zXe8Vy2LIjHyfJ/8ZAGih%2BCRuSA6l5a7iFVV8c5CjQwA1lIf
/Y89uO9/AZRQ2HdYYUXRQcfZe/FF1iktsuXCI9MN4a0eNHisX36KHAj0WEJrB5sP7amrh2jBD","contrataciondelestado.es
/FileSystem/servlet/GetDocumentByIdServlet?cifrado=QUC1GjXXSiLkydRHJBmbpw%3D%
3D&amp;DocumentIdParam=FdlxT27zXe8Vy2LIjHyfJ/8ZAGih%2BCRuSA6l5a7iFVV8c5CjQwA1lIf
/Y89uO9/AZRQ2HdYYUXRQcfZe/FF1iktsuXCI9MN4a0eNHisX36KHAj0WEJrB5sP7amrh2jBD")</x:f>
        <x:v>contrataciondelestado.es
/FileSystem/servlet/GetDocumentByIdServlet?cifrado=QUC1GjXXSiLkydRHJBmbpw%3D%
3D&amp;DocumentIdParam=FdlxT27zXe8Vy2LIjHyfJ/8ZAGih%2BCRuSA6l5a7iFVV8c5CjQwA1lIf
/Y89uO9/AZRQ2HdYYUXRQcfZe/FF1iktsuXCI9MN4a0eNHisX36KHAj0WEJrB5sP7amrh2jBD</x:v>
      </x:c>
      <x:c r="M16" s="11" t="s">
        <x:v>108</x:v>
      </x:c>
      <x:c r="N16" s="13" t="s">
        <x:v>42</x:v>
      </x:c>
      <x:c r="O16" s="11" t="s">
        <x:v>120</x:v>
      </x:c>
      <x:c r="P16" s="11" t="s">
        <x:v>79</x:v>
      </x:c>
      <x:c r="Q16" s="14" t="str">
        <x:f xml:space="preserve">HYPERLINK("https://www.infonalia.es/licitaciones1225/2025175109.pdf","www.infonalia.es/licitaciones1225/2025175109.pdf")</x:f>
        <x:v>www.infonalia.es/licitaciones1225/2025175109.pdf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