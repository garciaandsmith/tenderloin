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<x:sst xmlns:x="http://schemas.openxmlformats.org/spreadsheetml/2006/main" count="11" uniqueCount="11">
  <x:si>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</x:si>
  <x:si>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</x:si>
  <x:si>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</x:si>
  <x:si>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</x:si>
  <x:si>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</x:si>
  <x:si>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</x:si>
  <x:si>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</x:si>
  <x:si>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</x:si>
  <x:si>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</x:si>
  <x:si>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</x:si>
  <x:si>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</x:si>
  <x:si>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</x:si>
  <x:si>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1 VICUÑA HERRAMIENTAS TÉCNICAS, S.L.U. ; LOTE 2 ELECTRONIC GRAN VIA S.L. </x:t>
  </x:si>
  <x:si>
    <x:t>06/02/2026 0:00:00</x:t>
  </x:si>
  <x:si>
    <x:t>26018273</x:t>
  </x:si>
  <x:si>
    <x:t>SECRETARÍA GENERAL DE LA FUNDACIÓN INTERNACIONAL Y PARA IBEROAMÉRICA DE ADMINISTRACIÓN POLÍTICAS PÚBLICAS</x:t>
  </x:si>
  <x:si>
    <x:t>Suministro en régimen de adquisición y entrega de equipos de seguimiento y vigilancia y accesorios, equipos de fotografía y accesorios, definidos en el PPT, con especial atención a la mejor calidad – precio y a la garantía por plazo de dos años. Lote 1: Lentes para cámaras fotográficas, Cuerpos de cámaras fotográficas, Aparatos de grabación o reproducción de vídeo y accesorios. Lote 2: Cargadores de baterías y Baterías. Lote 3: Drones y balizas. Lote 4: Sistemas de navegación y posicionamiento globales (GPS o equivalentes) y Sistema de vigilancia en circuito cerrado. Lote 5: Herramientas electromecánicas de uso manual. Lote 6: Equipo de red</x:t>
  </x:si>
  <x:si>
    <x:t>SPD-2025-045</x:t>
  </x:si>
  <x:si>
    <x:t>Madrid</x:t>
  </x:si>
  <x:si>
    <x:t>Ver detalle de la adjudicación</x:t>
  </x:si>
  <x:si>
    <x:t>INTERVENTO 2 S.L</x:t>
  </x:si>
  <x:si>
    <x:t>26018298</x:t>
  </x:si>
  <x:si>
    <x:t>PLENO DEL AYUNTAMIENTO DE SAN MARTÍN DE OSCOS (ASTURIAS)</x:t>
  </x:si>
  <x:si>
    <x:t>Contrato mixto de servicio y suministro para la ejecución del proyecto de museografía digital del Palacio de Mon en San Martín de Oscos</x:t>
  </x:si>
  <x:si>
    <x:t>187/2025</x:t>
  </x:si>
  <x:si>
    <x:t>Asturias</x:t>
  </x:si>
  <x:si>
    <x:t>AGRUP LAB SL</x:t>
  </x:si>
  <x:si>
    <x:t>26018459</x:t>
  </x:si>
  <x:si>
    <x:t>DIRECCIÓN DEL MUSEO NACIONAL DEL PRADO</x:t>
  </x:si>
  <x:si>
    <x:t>Servicio de elaboración de visitas virtuales de exposiciones temporales para el Museo Nacional del Prado</x:t>
  </x:si>
  <x:si>
    <x:t>25AA0364</x:t>
  </x:si>
  <x:si>
    <x:t>KAZAJOZ CYCLING TEAM</x:t>
  </x:si>
  <x:si>
    <x:t>26018481</x:t>
  </x:si>
  <x:si>
    <x:t>DIRECCIÓN GERENCIA DE LA FUNDACIÓN JÓVENES Y DEPORTE</x:t>
  </x:si>
  <x:si>
    <x:t>Patrocinio publicitario de la imagen de la FJyD y de Marca Extremadura a través del Kazajoz Cycling Team en su participación en el Campeonato de España XCO durante el año 2026</x:t>
  </x:si>
  <x:si>
    <x:t>P10-26</x:t>
  </x:si>
  <x:si>
    <x:t>Extremadura</x:t>
  </x:si>
  <x:si>
    <x:t>FEDERACIÓN EXTREMEÑA DE CICLISMO</x:t>
  </x:si>
  <x:si>
    <x:t>26018485</x:t>
  </x:si>
  <x:si>
    <x:t>Patrocinio publicitario de la imagen de la FJyD y de Marca Extremadura en la prueba “Vuelta Ciclista a Extremadura féminas” del año 2026</x:t>
  </x:si>
  <x:si>
    <x:t>P9/26</x:t>
  </x:si>
  <x:si>
    <x:t>NURUN CRAZY LABS, S.L.U</x:t>
  </x:si>
  <x:si>
    <x:t>26018640</x:t>
  </x:si>
  <x:si>
    <x:t>MINISTERIO DE CULTURA. DIRECCIÓN GENERAL DE LA FUNDACIÓN DEL TEATRO REAL</x:t>
  </x:si>
  <x:si>
    <x:t>Servicio para la realización de la campaña de temporada y abonos para la Fundación del Teatro Real FSP en la temporada 2026/2027</x:t>
  </x:si>
  <x:si>
    <x:t>CL_054/2025</x:t>
  </x:si>
  <x:si>
    <x:t>ONDATA INTERNATIONAL,S.L</x:t>
  </x:si>
  <x:si>
    <x:t>26018658</x:t>
  </x:si>
  <x:si>
    <x:t>MINISTERIO DEL INTERIOR .DIVISIÓN ECONÓMICA Y TÉCNICA (CUERPO NACIONAL DE POLICÍA)</x:t>
  </x:si>
  <x:si>
    <x:t>Renovación de la suscripción de licencias de software de monitorización de fuentes abiertas con destino a la D.G.P. (TADAWEB)</x:t>
  </x:si>
  <x:si>
    <x:t>Z26DT004/D2F</x:t>
  </x:si>
  <x:si>
    <x:t>LA FÁBRICA GESTIÓN MÁS CULTURA, S.L</x:t>
  </x:si>
  <x:si>
    <x:t>26018668</x:t>
  </x:si>
  <x:si>
    <x:t>DIRECCIÓN DE LA FUNDACIÓN ICO</x:t>
  </x:si>
  <x:si>
    <x:t>Realizar la edición del catálogo de la exposición "Jorge Yeregui: territorio, arquitectura y cultura", que tendrá lugar en el Museo ICO entre el 3 de junio y el 6 de septiembre de 2026</x:t>
  </x:si>
  <x:si>
    <x:t>NSP33/2025</x:t>
  </x:si>
  <x:si>
    <x:t>REED EXHIBITIONS LTD</x:t>
  </x:si>
  <x:si>
    <x:t>26018695</x:t>
  </x:si>
  <x:si>
    <x:t>EMPRESA PÚBLICA PARA LA GESTIÓN DEL TURISMO Y EL DEPORTE DE ANDALUCÍA, S.A</x:t>
  </x:si>
  <x:si>
    <x:t>Participación en la feria WTM 2025</x:t>
  </x:si>
  <x:si>
    <x:t>C2N07-06ER-0825-0137</x:t>
  </x:si>
  <x:si>
    <x:t>Reino Unido </x:t>
  </x:si>
  <x:si>
    <x:t>LUNA JIMÉNEZ, MARIA PAULA</x:t>
  </x:si>
  <x:si>
    <x:t>26018702</x:t>
  </x:si>
  <x:si>
    <x:t>GENERALITAT DE CATALUNYA. DEPARTAMENTO DE SALUD.</x:t>
  </x:si>
  <x:si>
    <x:t>SA-2025-1091 Ponencia Maria Paula Luna</x:t>
  </x:si>
  <x:si>
    <x:t>SA-2025-1091</x:t>
  </x:si>
  <x:si>
    <x:t>Catalunya</x:t>
  </x:si>
  <x:si>
    <x:t>VOLUMETRIA DEL PRINCIPADO</x:t>
  </x:si>
  <x:si>
    <x:t>26018793</x:t>
  </x:si>
  <x:si>
    <x:t>DIRECCION GENERAL DE LA SOCIEDAD DE PROMOCIÓN EXTERIOR DEL PRINCIPADO DE ASTURIAS, S.A. (ASTUREX)</x:t>
  </x:si>
  <x:si>
    <x:t>El objeto del contrato es la prestación de los servicios de diseño, montaje, decoración, soporte técnico, asistencia, mantenimiento y desmontaje necesarios para el stand agrupado de empresas asturianas en el stand institucional de Asturias en Salón Gourmets de Madrid 2026</x:t>
  </x:si>
  <x:si>
    <x:t>C/288/2025</x:t>
  </x:si>
  <x:si>
    <x:t>DESCARTES SOLUTIONS, SL</x:t>
  </x:si>
  <x:si>
    <x:t>26018880</x:t>
  </x:si>
  <x:si>
    <x:t>UNIVERSITAT DE BARCELONA</x:t>
  </x:si>
  <x:si>
    <x:t>2025/122 Servicio de agencia de marketing digital de diversos programas y servicios</x:t>
  </x:si>
  <x:si>
    <x:t>2025/122</x:t>
  </x:si>
  <x:si>
    <x:t>Barcelona</x:t>
  </x:si>
  <x:si>
    <x:t>TOMAS LLORET, OSCAR</x:t>
  </x:si>
  <x:si>
    <x:t>26018966</x:t>
  </x:si>
  <x:si>
    <x:t>AYUNTAMIENTO DE BARCELONA</x:t>
  </x:si>
  <x:si>
    <x:t>El objeto del contrato es el servicio de retoque, tratamiento y control de calidad de las imágenes que deben reproducirse en los libros y documentos que imprime el Ayuntamiento de Barcelona mediante la Dirección de Servicios Editoriales, en cumplimiento de sus competencias.</x:t>
  </x:si>
  <x:si>
    <x:t>001_25001804</x:t>
  </x:si>
  <x:si>
    <x:t>EMPRESA B17207945</x:t>
  </x:si>
  <x:si>
    <x:t>26019038</x:t>
  </x:si>
  <x:si>
    <x:t>ENTITAT AUTÒNOMA DEL DIARI OFICIAL I DE PUBLICACIONS DE LA GENERALITAT DE CATALUNYA</x:t>
  </x:si>
  <x:si>
    <x:t>Servicio de producción editorial reimpresión P25061 Trinidad. La prisión de mujeres ignoradas (1963-1983) - Referentes, basado en el acuerdo marco SE 04/21, LOTE 1</x:t>
  </x:si>
  <x:si>
    <x:t>EADOP-2025-89</x:t>
  </x:si>
  <x:si>
    <x:t>26019043</x:t>
  </x:si>
  <x:si>
    <x:t>Servicio de producción editorial P24213 Guía para introducir la perspectiva LGBTI+ en el ámbito del ocio educativo y deportivo, basado en el acuerdo marco SE 04/21, LOTE 1</x:t>
  </x:si>
  <x:si>
    <x:t>EADOP-2025-98</x:t>
  </x:si>
  <x:si>
    <x:t>EMPRESA B59062091</x:t>
  </x:si>
  <x:si>
    <x:t>26019044</x:t>
  </x:si>
  <x:si>
    <x:t>Servicio de producción editorial P25063 Plan de archivos y gestión documental, basado en el acuerdo marco SE 04/21, LOTE 1</x:t>
  </x:si>
  <x:si>
    <x:t>EADOP-2025-87</x:t>
  </x:si>
  <x:si>
    <x:t>NOVOPRINT S.A</x:t>
  </x:si>
  <x:si>
    <x:t>26019063</x:t>
  </x:si>
  <x:si>
    <x:t>Imprimir 150 ejemplares libro "Picasso. Territorio y artes y tradiciones catalanas", basado en el acuerdo marco SE 04/21, LOTE 1</x:t>
  </x:si>
  <x:si>
    <x:t>EADOP-2025-110</x:t>
  </x:si>
  <x:si>
    <x:t>EMPRESA A58124736</x:t>
  </x:si>
  <x:si>
    <x:t>26019072</x:t>
  </x:si>
  <x:si>
    <x:t>Servicio de producción editorial P25076 Maestros del arte catalán del siglo XX. Colección Bassat, basado en el acuerdo marco SE 04/21, LOTE 1</x:t>
  </x:si>
  <x:si>
    <x:t>EADOP-2025-96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</x:si>
</x:sst>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HYPERLINK("https://www.infonalia.es/adjudicaciones0226/26018273.pdf","www.infonalia.es/adjudicaciones0226/26018273.pdf")</x:f>
        <x:v>www.infonalia.es/adjudicaciones0226/26018273.pdf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20144.00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HYPERLINK("https://www.infonalia.es/adjudicaciones0226/26018298.pdf","www.infonalia.es/adjudicaciones0226/26018298.pdf")</x:f>
        <x:v>www.infonalia.es/adjudicaciones0226/26018298.pdf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96438.11</x:v>
      </x:c>
      <x:c r="K3" s="9" t="n">
        <x:v>100900.00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HYPERLINK("https://www.infonalia.es/adjudicaciones0226/26018459.pdf","www.infonalia.es/adjudicaciones0226/26018459.pdf")</x:f>
        <x:v>www.infonalia.es/adjudicaciones0226/26018459.pdf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18</x:v>
      </x:c>
      <x:c r="J4" s="9" t="n">
        <x:v>44200.00</x:v>
      </x:c>
      <x:c r="K4" s="9" t="n">
        <x:v>68000.00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HYPERLINK("https://www.infonalia.es/adjudicaciones0226/26018481.pdf","www.infonalia.es/adjudicaciones0226/26018481.pdf")</x:f>
        <x:v>www.infonalia.es/adjudicaciones0226/26018481.pdf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n">
        <x:v>14049.59</x:v>
      </x:c>
      <x:c r="K5" s="9" t="n">
        <x:v>14049.59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HYPERLINK("https://www.infonalia.es/adjudicaciones0226/26018485.pdf","www.infonalia.es/adjudicaciones0226/26018485.pdf")</x:f>
        <x:v>www.infonalia.es/adjudicaciones0226/26018485.pdf</x:v>
      </x:c>
      <x:c r="E6" s="8" t="s">
        <x:v>38</x:v>
      </x:c>
      <x:c r="F6" s="6" t="s">
        <x:v>33</x:v>
      </x:c>
      <x:c r="G6" s="6" t="s">
        <x:v>39</x:v>
      </x:c>
      <x:c r="H6" s="6" t="s">
        <x:v>40</x:v>
      </x:c>
      <x:c r="I6" s="6" t="s">
        <x:v>36</x:v>
      </x:c>
      <x:c r="J6" s="9" t="n">
        <x:v>107438.02</x:v>
      </x:c>
      <x:c r="K6" s="9" t="n">
        <x:v>107438.02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HYPERLINK("https://www.infonalia.es/adjudicaciones0226/26018640.pdf","www.infonalia.es/adjudicaciones0226/26018640.pdf")</x:f>
        <x:v>www.infonalia.es/adjudicaciones0226/26018640.pdf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18</x:v>
      </x:c>
      <x:c r="J7" s="9" t="n">
        <x:v>25000.00</x:v>
      </x:c>
      <x:c r="K7" s="9" t="n">
        <x:v>29500.00</x:v>
      </x:c>
    </x:row>
    <x:row r="8">
      <x:c r="A8" s="6" t="s">
        <x:v>11</x:v>
      </x:c>
      <x:c r="B8" s="6" t="s">
        <x:v>46</x:v>
      </x:c>
      <x:c r="C8" s="6" t="s">
        <x:v>13</x:v>
      </x:c>
      <x:c r="D8" s="7" t="str">
        <x:f xml:space="preserve">HYPERLINK("https://www.infonalia.es/adjudicaciones0226/26018658.pdf","www.infonalia.es/adjudicaciones0226/26018658.pdf")</x:f>
        <x:v>www.infonalia.es/adjudicaciones0226/26018658.pdf</x:v>
      </x:c>
      <x:c r="E8" s="8" t="s">
        <x:v>47</x:v>
      </x:c>
      <x:c r="F8" s="6" t="s">
        <x:v>48</x:v>
      </x:c>
      <x:c r="G8" s="6" t="s">
        <x:v>49</x:v>
      </x:c>
      <x:c r="H8" s="6" t="s">
        <x:v>50</x:v>
      </x:c>
      <x:c r="I8" s="6" t="s">
        <x:v>18</x:v>
      </x:c>
      <x:c r="J8" s="9" t="n">
        <x:v>474800.00</x:v>
      </x:c>
      <x:c r="K8" s="9" t="n">
        <x:v>950330.58</x:v>
      </x:c>
    </x:row>
    <x:row r="9">
      <x:c r="A9" s="6" t="s">
        <x:v>11</x:v>
      </x:c>
      <x:c r="B9" s="6" t="s">
        <x:v>51</x:v>
      </x:c>
      <x:c r="C9" s="6" t="s">
        <x:v>13</x:v>
      </x:c>
      <x:c r="D9" s="7" t="str">
        <x:f xml:space="preserve">HYPERLINK("https://www.infonalia.es/adjudicaciones0226/26018668.pdf","www.infonalia.es/adjudicaciones0226/26018668.pdf")</x:f>
        <x:v>www.infonalia.es/adjudicaciones0226/26018668.pdf</x:v>
      </x:c>
      <x:c r="E9" s="8" t="s">
        <x:v>52</x:v>
      </x:c>
      <x:c r="F9" s="6" t="s">
        <x:v>53</x:v>
      </x:c>
      <x:c r="G9" s="6" t="s">
        <x:v>54</x:v>
      </x:c>
      <x:c r="H9" s="6" t="s">
        <x:v>55</x:v>
      </x:c>
      <x:c r="I9" s="6" t="s">
        <x:v>18</x:v>
      </x:c>
      <x:c r="J9" s="9" t="n">
        <x:v>48076.92</x:v>
      </x:c>
      <x:c r="K9" s="9" t="n">
        <x:v>48076.92</x:v>
      </x:c>
    </x:row>
    <x:row r="10">
      <x:c r="A10" s="6" t="s">
        <x:v>11</x:v>
      </x:c>
      <x:c r="B10" s="6" t="s">
        <x:v>56</x:v>
      </x:c>
      <x:c r="C10" s="6" t="s">
        <x:v>13</x:v>
      </x:c>
      <x:c r="D10" s="7" t="str">
        <x:f xml:space="preserve">HYPERLINK("https://www.infonalia.es/adjudicaciones0226/26018695.pdf","www.infonalia.es/adjudicaciones0226/26018695.pdf")</x:f>
        <x:v>www.infonalia.es/adjudicaciones0226/26018695.pdf</x:v>
      </x:c>
      <x:c r="E10" s="8" t="s">
        <x:v>57</x:v>
      </x:c>
      <x:c r="F10" s="6" t="s">
        <x:v>58</x:v>
      </x:c>
      <x:c r="G10" s="6" t="s">
        <x:v>59</x:v>
      </x:c>
      <x:c r="H10" s="6" t="s">
        <x:v>60</x:v>
      </x:c>
      <x:c r="I10" s="6" t="s">
        <x:v>61</x:v>
      </x:c>
      <x:c r="J10" s="9" t="n">
        <x:v>444940.71</x:v>
      </x:c>
      <x:c r="K10" s="9" t="n">
        <x:v>444940.71</x:v>
      </x:c>
    </x:row>
    <x:row r="11">
      <x:c r="A11" s="6" t="s">
        <x:v>11</x:v>
      </x:c>
      <x:c r="B11" s="6" t="s">
        <x:v>62</x:v>
      </x:c>
      <x:c r="C11" s="6" t="s">
        <x:v>13</x:v>
      </x:c>
      <x:c r="D11" s="7" t="str">
        <x:f xml:space="preserve">HYPERLINK("https://www.infonalia.es/adjudicaciones0226/26018702.pdf","www.infonalia.es/adjudicaciones0226/26018702.pdf")</x:f>
        <x:v>www.infonalia.es/adjudicaciones0226/26018702.pdf</x:v>
      </x:c>
      <x:c r="E11" s="8" t="s">
        <x:v>63</x:v>
      </x:c>
      <x:c r="F11" s="6" t="s">
        <x:v>64</x:v>
      </x:c>
      <x:c r="G11" s="6" t="s">
        <x:v>65</x:v>
      </x:c>
      <x:c r="H11" s="6" t="s">
        <x:v>66</x:v>
      </x:c>
      <x:c r="I11" s="6" t="s">
        <x:v>67</x:v>
      </x:c>
      <x:c r="J11" s="9" t="n">
        <x:v>800.00</x:v>
      </x:c>
      <x:c r="K11" s="9" t="n">
        <x:v>800.00</x:v>
      </x:c>
    </x:row>
    <x:row r="12">
      <x:c r="A12" s="6" t="s">
        <x:v>11</x:v>
      </x:c>
      <x:c r="B12" s="6" t="s">
        <x:v>68</x:v>
      </x:c>
      <x:c r="C12" s="6" t="s">
        <x:v>13</x:v>
      </x:c>
      <x:c r="D12" s="7" t="str">
        <x:f xml:space="preserve">HYPERLINK("https://www.infonalia.es/adjudicaciones0226/26018793.pdf","www.infonalia.es/adjudicaciones0226/26018793.pdf")</x:f>
        <x:v>www.infonalia.es/adjudicaciones0226/26018793.pdf</x:v>
      </x:c>
      <x:c r="E12" s="8" t="s">
        <x:v>69</x:v>
      </x:c>
      <x:c r="F12" s="6" t="s">
        <x:v>70</x:v>
      </x:c>
      <x:c r="G12" s="6" t="s">
        <x:v>71</x:v>
      </x:c>
      <x:c r="H12" s="6" t="s">
        <x:v>72</x:v>
      </x:c>
      <x:c r="I12" s="6" t="s">
        <x:v>18</x:v>
      </x:c>
      <x:c r="J12" s="9" t="n">
        <x:v>119700.00</x:v>
      </x:c>
      <x:c r="K12" s="9" t="n">
        <x:v>130000.00</x:v>
      </x:c>
    </x:row>
    <x:row r="13">
      <x:c r="A13" s="6" t="s">
        <x:v>11</x:v>
      </x:c>
      <x:c r="B13" s="6" t="s">
        <x:v>73</x:v>
      </x:c>
      <x:c r="C13" s="6" t="s">
        <x:v>13</x:v>
      </x:c>
      <x:c r="D13" s="7" t="str">
        <x:f xml:space="preserve">HYPERLINK("https://www.infonalia.es/adjudicaciones0226/26018880.pdf","www.infonalia.es/adjudicaciones0226/26018880.pdf")</x:f>
        <x:v>www.infonalia.es/adjudicaciones0226/26018880.pdf</x:v>
      </x:c>
      <x:c r="E13" s="8" t="s">
        <x:v>74</x:v>
      </x:c>
      <x:c r="F13" s="6" t="s">
        <x:v>75</x:v>
      </x:c>
      <x:c r="G13" s="6" t="s">
        <x:v>76</x:v>
      </x:c>
      <x:c r="H13" s="6" t="s">
        <x:v>77</x:v>
      </x:c>
      <x:c r="I13" s="6" t="s">
        <x:v>78</x:v>
      </x:c>
      <x:c r="J13" s="9" t="n">
        <x:v>71570.00</x:v>
      </x:c>
      <x:c r="K13" s="9" t="n">
        <x:v>73200.00</x:v>
      </x:c>
    </x:row>
    <x:row r="14">
      <x:c r="A14" s="6" t="s">
        <x:v>11</x:v>
      </x:c>
      <x:c r="B14" s="6" t="s">
        <x:v>79</x:v>
      </x:c>
      <x:c r="C14" s="6" t="s">
        <x:v>13</x:v>
      </x:c>
      <x:c r="D14" s="7" t="str">
        <x:f xml:space="preserve">HYPERLINK("https://www.infonalia.es/adjudicaciones0226/26018966.pdf","www.infonalia.es/adjudicaciones0226/26018966.pdf")</x:f>
        <x:v>www.infonalia.es/adjudicaciones0226/26018966.pdf</x:v>
      </x:c>
      <x:c r="E14" s="8" t="s">
        <x:v>80</x:v>
      </x:c>
      <x:c r="F14" s="6" t="s">
        <x:v>81</x:v>
      </x:c>
      <x:c r="G14" s="6" t="s">
        <x:v>82</x:v>
      </x:c>
      <x:c r="H14" s="6" t="s">
        <x:v>83</x:v>
      </x:c>
      <x:c r="I14" s="6" t="s">
        <x:v>78</x:v>
      </x:c>
      <x:c r="J14" s="9" t="n">
        <x:v>54150.00</x:v>
      </x:c>
      <x:c r="K14" s="9" t="n">
        <x:v>54150.00</x:v>
      </x:c>
    </x:row>
    <x:row r="15">
      <x:c r="A15" s="6" t="s">
        <x:v>11</x:v>
      </x:c>
      <x:c r="B15" s="6" t="s">
        <x:v>84</x:v>
      </x:c>
      <x:c r="C15" s="6" t="s">
        <x:v>13</x:v>
      </x:c>
      <x:c r="D15" s="7" t="str">
        <x:f xml:space="preserve">HYPERLINK("https://www.infonalia.es/adjudicaciones0226/26019038.pdf","www.infonalia.es/adjudicaciones0226/26019038.pdf")</x:f>
        <x:v>www.infonalia.es/adjudicaciones0226/26019038.pdf</x:v>
      </x:c>
      <x:c r="E15" s="8" t="s">
        <x:v>85</x:v>
      </x:c>
      <x:c r="F15" s="6" t="s">
        <x:v>86</x:v>
      </x:c>
      <x:c r="G15" s="6" t="s">
        <x:v>87</x:v>
      </x:c>
      <x:c r="H15" s="6" t="s">
        <x:v>88</x:v>
      </x:c>
      <x:c r="I15" s="6" t="s">
        <x:v>67</x:v>
      </x:c>
      <x:c r="J15" s="9" t="n">
        <x:v>4986.00</x:v>
      </x:c>
      <x:c r="K15" s="9" t="n">
        <x:v>8178.00</x:v>
      </x:c>
    </x:row>
    <x:row r="16">
      <x:c r="A16" s="6" t="s">
        <x:v>11</x:v>
      </x:c>
      <x:c r="B16" s="6" t="s">
        <x:v>84</x:v>
      </x:c>
      <x:c r="C16" s="6" t="s">
        <x:v>13</x:v>
      </x:c>
      <x:c r="D16" s="7" t="str">
        <x:f xml:space="preserve">HYPERLINK("https://www.infonalia.es/adjudicaciones0226/26019043.pdf","www.infonalia.es/adjudicaciones0226/26019043.pdf")</x:f>
        <x:v>www.infonalia.es/adjudicaciones0226/26019043.pdf</x:v>
      </x:c>
      <x:c r="E16" s="8" t="s">
        <x:v>89</x:v>
      </x:c>
      <x:c r="F16" s="6" t="s">
        <x:v>86</x:v>
      </x:c>
      <x:c r="G16" s="6" t="s">
        <x:v>90</x:v>
      </x:c>
      <x:c r="H16" s="6" t="s">
        <x:v>91</x:v>
      </x:c>
      <x:c r="I16" s="6" t="s">
        <x:v>67</x:v>
      </x:c>
      <x:c r="J16" s="9" t="n">
        <x:v>1690.00</x:v>
      </x:c>
      <x:c r="K16" s="9" t="n">
        <x:v>2602.00</x:v>
      </x:c>
    </x:row>
    <x:row r="17">
      <x:c r="A17" s="6" t="s">
        <x:v>11</x:v>
      </x:c>
      <x:c r="B17" s="6" t="s">
        <x:v>92</x:v>
      </x:c>
      <x:c r="C17" s="6" t="s">
        <x:v>13</x:v>
      </x:c>
      <x:c r="D17" s="7" t="str">
        <x:f xml:space="preserve">HYPERLINK("https://www.infonalia.es/adjudicaciones0226/26019044.pdf","www.infonalia.es/adjudicaciones0226/26019044.pdf")</x:f>
        <x:v>www.infonalia.es/adjudicaciones0226/26019044.pdf</x:v>
      </x:c>
      <x:c r="E17" s="8" t="s">
        <x:v>93</x:v>
      </x:c>
      <x:c r="F17" s="6" t="s">
        <x:v>86</x:v>
      </x:c>
      <x:c r="G17" s="6" t="s">
        <x:v>94</x:v>
      </x:c>
      <x:c r="H17" s="6" t="s">
        <x:v>95</x:v>
      </x:c>
      <x:c r="I17" s="6" t="s">
        <x:v>67</x:v>
      </x:c>
      <x:c r="J17" s="9" t="n">
        <x:v>3545.02</x:v>
      </x:c>
      <x:c r="K17" s="9" t="n">
        <x:v>4515.00</x:v>
      </x:c>
    </x:row>
    <x:row r="18">
      <x:c r="A18" s="6" t="s">
        <x:v>11</x:v>
      </x:c>
      <x:c r="B18" s="6" t="s">
        <x:v>96</x:v>
      </x:c>
      <x:c r="C18" s="6" t="s">
        <x:v>13</x:v>
      </x:c>
      <x:c r="D18" s="7" t="str">
        <x:f xml:space="preserve">HYPERLINK("https://www.infonalia.es/adjudicaciones0226/26019063.pdf","www.infonalia.es/adjudicaciones0226/26019063.pdf")</x:f>
        <x:v>www.infonalia.es/adjudicaciones0226/26019063.pdf</x:v>
      </x:c>
      <x:c r="E18" s="8" t="s">
        <x:v>97</x:v>
      </x:c>
      <x:c r="F18" s="6" t="s">
        <x:v>86</x:v>
      </x:c>
      <x:c r="G18" s="6" t="s">
        <x:v>98</x:v>
      </x:c>
      <x:c r="H18" s="6" t="s">
        <x:v>99</x:v>
      </x:c>
      <x:c r="I18" s="6" t="s">
        <x:v>67</x:v>
      </x:c>
      <x:c r="J18" s="9" t="n">
        <x:v>4275.00</x:v>
      </x:c>
      <x:c r="K18" s="9" t="n">
        <x:v>5875.00</x:v>
      </x:c>
    </x:row>
    <x:row r="19">
      <x:c r="A19" s="6" t="s">
        <x:v>11</x:v>
      </x:c>
      <x:c r="B19" s="6" t="s">
        <x:v>100</x:v>
      </x:c>
      <x:c r="C19" s="6" t="s">
        <x:v>13</x:v>
      </x:c>
      <x:c r="D19" s="7" t="str">
        <x:f xml:space="preserve">HYPERLINK("https://www.infonalia.es/adjudicaciones0226/26019072.pdf","www.infonalia.es/adjudicaciones0226/26019072.pdf")</x:f>
        <x:v>www.infonalia.es/adjudicaciones0226/26019072.pdf</x:v>
      </x:c>
      <x:c r="E19" s="8" t="s">
        <x:v>101</x:v>
      </x:c>
      <x:c r="F19" s="6" t="s">
        <x:v>86</x:v>
      </x:c>
      <x:c r="G19" s="6" t="s">
        <x:v>102</x:v>
      </x:c>
      <x:c r="H19" s="6" t="s">
        <x:v>103</x:v>
      </x:c>
      <x:c r="I19" s="6" t="s">
        <x:v>67</x:v>
      </x:c>
      <x:c r="J19" s="9" t="n">
        <x:v>5700.00</x:v>
      </x:c>
      <x:c r="K19" s="9" t="n">
        <x:v>9046.00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