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<x:sst xmlns:x="http://schemas.openxmlformats.org/spreadsheetml/2006/main" count="17" uniqueCount="17">
  <x:si>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</x:si>
  <x:si>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</x:si>
  <x:si>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</x:si>
  <x:si>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</x:si>
  <x:si>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</x:si>
  <x:si>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</x:si>
  <x:si>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</x:si>
  <x:si>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</x:si>
  <x:si>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</x:si>
  <x:si>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</x:si>
  <x:si>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</x:si>
  <x:si>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</x:si>
  <x:si>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</x:si>
  <x:si>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</x:si>
  <x:si>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</x:si>
  <x:si>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</x:si>
  <x:si>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</x:si>
  <x:si>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</x:si>
  <x:si>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</x:si>
  <x:si>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30/01/2026</x:t>
  </x:si>
  <x:si>
    <x:t>2025180191</x:t>
  </x:si>
  <x:si>
    <x:t>22/12/2025</x:t>
  </x:si>
  <x:si>
    <x:t>MINISTERIO DEL INTERIOR. DIRECCIÓN GENERAL DE TRÁFICO</x:t>
  </x:si>
  <x:si>
    <x:t>Servicio de grafismo y retoque de imágenes y de elaboración de contenido audiovisual (fotografías y vídeos) para la revista Tráfico y Seguridad Vial y las Redes Sociales de la Dirección General de Tráfico (2 Lotes). Lote 1: Infografías, ilustraciones y retoque de imágenes. Lote 2: Reportajes fotográficos y videos.</x:t>
  </x:si>
  <x:si>
    <x:t>1DGT2AP00040</x:t>
  </x:si>
  <x:si>
    <x:t>Importe sin impuestos</x:t>
  </x:si>
  <x:si>
    <x:t/>
  </x:si>
  <x:si>
    <x:t>-----</x:t>
  </x:si>
  <x:si>
    <x:t>21/12/2025</x:t>
  </x:si>
  <x:si>
    <x:t/>
  </x:si>
  <x:si>
    <x:t>Ver pliegos</x:t>
  </x:si>
  <x:si>
    <x:t>18/01/2026</x:t>
  </x:si>
  <x:si>
    <x:t>2025180203</x:t>
  </x:si>
  <x:si>
    <x:t>MINISTERIO DE ASUNTOS EXTERIORES, UNIÓN EUROPEA Y COOPERACIÓN. SECRETARÍA GENERAL DE LA FUNDACIÓN INTERNACIONAL Y PARA IBEROAMÉRICA DE ADMINISTRACIÓN POLÍTICAS PÚBLICAS</x:t>
  </x:si>
  <x:si>
    <x:t>Establecimiento de un Acuerdo Marco mixto para el suministro de material diverso de merchandising, incluyendo el servicio accesorio de serigrafiado, y el servicio de diseño, maquetación, impresión de publicaciones y equivalentes.  L1: Suministro de material diverso de merchandising, incluyendo el servicio accesorio de serigrafiado y transporte. L2: Servicio de diseño, maquetación, impresión, transporte y equivalentes.</x:t>
  </x:si>
  <x:si>
    <x:t>AM-SEGE-2025-016</x:t>
  </x:si>
  <x:si>
    <x:t/>
  </x:si>
  <x:si>
    <x:t>Madrid</x:t>
  </x:si>
  <x:si>
    <x:t>23/01/2026</x:t>
  </x:si>
  <x:si>
    <x:t>2025180272</x:t>
  </x:si>
  <x:si>
    <x:t>MADRID DESTINO CULTURA TURISMO Y NEGOCIO, S.A</x:t>
  </x:si>
  <x:si>
    <x:t>Supervisión de sala para la Cineteca de Matadero Madrid, Centro de Creación Contemporánea</x:t>
  </x:si>
  <x:si>
    <x:t>SP25-00537</x:t>
  </x:si>
  <x:si>
    <x:t/>
  </x:si>
  <x:si>
    <x:t>09/01/2026</x:t>
  </x:si>
  <x:si>
    <x:t>2025180295</x:t>
  </x:si>
  <x:si>
    <x:t>INTRACATALÒNIA, SA</x:t>
  </x:si>
  <x:si>
    <x:t>Servicio de producción audiovisual premium para Catalan News. Producción de vídeos por redes y podcast</x:t>
  </x:si>
  <x:si>
    <x:t>ACN-2026-2</x:t>
  </x:si>
  <x:si>
    <x:t>20/12/2025</x:t>
  </x:si>
  <x:si>
    <x:t/>
  </x:si>
  <x:si>
    <x:t>Catalunya</x:t>
  </x:si>
  <x:si>
    <x:t>08/01/2026</x:t>
  </x:si>
  <x:si>
    <x:t>2025180348</x:t>
  </x:si>
  <x:si>
    <x:t>AYUNTAMIENTO DE DOSRIUS (BARCELONA)</x:t>
  </x:si>
  <x:si>
    <x:t>Contrato de servicios para la campaña informativa de la tasa justa vigente para el año 2026 y la actualización de precios según el comportamiento de 2026 de la tasa de 2027</x:t>
  </x:si>
  <x:si>
    <x:t>EXP. 2920/2025</x:t>
  </x:si>
  <x:si>
    <x:t>19/12/2025</x:t>
  </x:si>
  <x:si>
    <x:t/>
  </x:si>
  <x:si>
    <x:t>Barcelona</x:t>
  </x:si>
  <x:si>
    <x:t>05/01/2026</x:t>
  </x:si>
  <x:si>
    <x:t>2025180364</x:t>
  </x:si>
  <x:si>
    <x:t>JUNTA DE GOBIERNO DEL AYUNTAMIENTO DE GETAFE (MADRID)</x:t>
  </x:si>
  <x:si>
    <x:t>Servicio de cobertura fotográfica municipal y actos culturales específicos de Getafe</x:t>
  </x:si>
  <x:si>
    <x:t>2025000083</x:t>
  </x:si>
  <x:si>
    <x:t/>
  </x:si>
  <x:si>
    <x:t>2025180388</x:t>
  </x:si>
  <x:si>
    <x:t>CONCEJAL DE ÁREA DE TURISMO, PROMOCIÓN CULTURAL, FIESTAS, MERCADO, DESARROLLO TECNOLÓGICO Y ORGANISMO AUTÓNOMO LOCAL DEL AYUNTAMIENTO DE PUERTO DE LA CRUZ (SANTA CRUZ DE TENERIFE)</x:t>
  </x:si>
  <x:si>
    <x:t>Servicio, por lotes, de promoción turística del municipio en una feria nacional y dos ferias internacionales. Lote 1: Feria Nacional (a determinar). Lote 2: Feria World Travel Market Londres 2026. Lote 3: Feria Internationale Tourismus Borse Berlín 2026.</x:t>
  </x:si>
  <x:si>
    <x:t>11104/2025</x:t>
  </x:si>
  <x:si>
    <x:t/>
  </x:si>
  <x:si>
    <x:t>2025180406</x:t>
  </x:si>
  <x:si>
    <x:t>ALCALDÍA DEL AYUNTAMIENTO DE VILLAVICIOSA DE ODÓN (MADRID)</x:t>
  </x:si>
  <x:si>
    <x:t>Contrato mixto de servicio y suministro de retransmisión plenos, dividido en dos lotes; Lote 1 servicio de realización de plenos y arrendamiento de un sistema de audio y videoactas. Lote 2 suministro de equipamiento para la retransmisión de plenos.</x:t>
  </x:si>
  <x:si>
    <x:t>66/25</x:t>
  </x:si>
  <x:si>
    <x:t/>
  </x:si>
  <x:si>
    <x:t>19/01/2026</x:t>
  </x:si>
  <x:si>
    <x:t>2025180461</x:t>
  </x:si>
  <x:si>
    <x:t>AYUNTAMIENTO DE MADRID. ÁREA DE GOBIERNO DE CULTURA, TURISMO Y DEPORTE</x:t>
  </x:si>
  <x:si>
    <x:t>Prestación del servicio de actividades de conservación y difusión del patrimonio cultural inmaterial de las artes gráficas en la Imprenta Municipal. Artes del Libro</x:t>
  </x:si>
  <x:si>
    <x:t>300/2025/02588</x:t>
  </x:si>
  <x:si>
    <x:t/>
  </x:si>
  <x:si>
    <x:t>13/01/2026</x:t>
  </x:si>
  <x:si>
    <x:t>2025180527</x:t>
  </x:si>
  <x:si>
    <x:t>Servicio para la documentación gráfica y audiovisual de las actividades del centro de cultura contemporánea Conde Duque</x:t>
  </x:si>
  <x:si>
    <x:t>SP25-00628</x:t>
  </x:si>
  <x:si>
    <x:t/>
  </x:si>
  <x:si>
    <x:t>26/01/2026</x:t>
  </x:si>
  <x:si>
    <x:t>2025180577</x:t>
  </x:si>
  <x:si>
    <x:t>CONSORCI DE COMERÇ, ARTESANIA I MODA DE CATALUNYA</x:t>
  </x:si>
  <x:si>
    <x:t>Servicios para la producción y gestión de las ediciones de la 080 Barcelona Fashion que se celebrarán en la ciudad de Barcelona en los meses de abril y octubre de 2026 [1 Producción, dirección y casting 080 - 2 Gestión de prensa, RR. PP., Protocolo y Patrocinios - 3 Gestión de prensa internacional, becarios, investigación (cont.) -  4 Plan de digitalización, web y canal de televisión 080 - 5 Imagen gráfica de la edición 080 - 6 Plataforma de acreditación digital y control de acceso - 7 Instalación y alquiler de una estructura efímera]</x:t>
  </x:si>
  <x:si>
    <x:t>CCAM-2026-3</x:t>
  </x:si>
  <x:si>
    <x:t/>
  </x:si>
  <x:si>
    <x:t>12/01/2026</x:t>
  </x:si>
  <x:si>
    <x:t>2025180605</x:t>
  </x:si>
  <x:si>
    <x:t>Servicios de refuerzo de coordinación de infraestructuras y logística del montaje, desarrollo y desmontaje (Lote 1) y refuerzo de coordinación de producción y organización (Lote 2) con motivo de la actividad cultural III Festival Internacional de Luz de Madrid</x:t>
  </x:si>
  <x:si>
    <x:t>PR25-0231.2 / PR25-0231.3</x:t>
  </x:si>
  <x:si>
    <x:t/>
  </x:si>
  <x:si>
    <x:t>2025180606</x:t>
  </x:si>
  <x:si>
    <x:t>COMUNIDAD DE MADRID. CONSEJERÍA DE CULTURA, TURISMO Y DEPORTE CONSEJERÍA DE CULTURA, TURISMO Y DEPORTE</x:t>
  </x:si>
  <x:si>
    <x:t>Servicios de las actividades de difusión y gestión de las visitas del Parque Arqueológico del Calvero de la Higuera, “Valle de los Neandertales”, durante el ejercicio 2026</x:t>
  </x:si>
  <x:si>
    <x:t>C-333A/032-25 (A/SER-040671/2025)</x:t>
  </x:si>
  <x:si>
    <x:t/>
  </x:si>
  <x:si>
    <x:t>2025180660</x:t>
  </x:si>
  <x:si>
    <x:t>DIRECCIÓN DE BARCELONA SUPERCOMPUTING CENTER - CENTRO NACIONAL DE SUPERCOMPUTACIÓN (BSC-CNS)</x:t>
  </x:si>
  <x:si>
    <x:t>Servicio de promoción, organización y ejecución de las actividades educativas para la promoción de vocaciones STEM entre niñas en los centros de la Red Española de Supercomputación (RES)</x:t>
  </x:si>
  <x:si>
    <x:t>CONSER02025044OP</x:t>
  </x:si>
  <x:si>
    <x:t/>
  </x:si>
  <x:si>
    <x:t>BOPBAR - Boletín Oficial de la Provincia de Barcelona</x:t>
  </x:si>
  <x:si>
    <x:t>14/01/2026</x:t>
  </x:si>
  <x:si>
    <x:t>2025180668</x:t>
  </x:si>
  <x:si>
    <x:t>AYUNTAMIENTO DE MONTMELÓ (BARCELONA)</x:t>
  </x:si>
  <x:si>
    <x:t>Otorgamiento de la 
correspondiente licencia de ocupación temporal del dominio público, para la  realización de nuevos 
eventos culturales y musicales y la realización de dos acampadas por los  grandes premios de F1 y
 MOTOGP</x:t>
  </x:si>
  <x:si>
    <x:t>X2025004827</x:t>
  </x:si>
  <x:si>
    <x:t>Anuales</x:t>
  </x:si>
  <x:si>
    <x:t/>
  </x:si>
  <x:si>
    <x:t/>
  </x:si>
  <x:si>
    <x:t>26/12/2025</x:t>
  </x:si>
  <x:si>
    <x:t>2025180738</x:t>
  </x:si>
  <x:si>
    <x:t>JUNTA DE GOBIERNO DEL AYUNTAMIENTO DE MÓSTOLES (MADRID)</x:t>
  </x:si>
  <x:si>
    <x:t>Organización del desfile del "Entierro de la sardina" el día 19 de febrero dentro de la programación de las Fiestas de Carnaval 2026</x:t>
  </x:si>
  <x:si>
    <x:t>C/073/FEST/2026-001</x:t>
  </x:si>
  <x:si>
    <x:t/>
  </x:si>
  <x:si>
    <x:t>07/01/2026</x:t>
  </x:si>
  <x:si>
    <x:t>2025180782</x:t>
  </x:si>
  <x:si>
    <x:t>DIRECCIÓN DE COMPRAS DE LA CORPORACIÓN DE RADIO Y TELEVISIÓN ESPAÑOLA S.A.</x:t>
  </x:si>
  <x:si>
    <x:t>Servicio de análisis de contenidos y audiencias de los servicios informativos de TVE</x:t>
  </x:si>
  <x:si>
    <x:t>S-05815-2025</x:t>
  </x:si>
  <x:si>
    <x:t/>
  </x:si>
  <x:si>
    <x:t>2025180797</x:t>
  </x:si>
  <x:si>
    <x:t>MINISTERIO PARA LA TRANSICIÓN ECOLÓGICA Y EL RETO DEMOGRÁFICO. DIRECCIÓN GENERAL DEL INSTITUTO PARA LA DIVERSIFICACIÓN Y AHORRO DE LA ENERGÍA (IDAE)</x:t>
  </x:si>
  <x:si>
    <x:t>Servicio de apoyo técnico para los eventos de IDAE</x:t>
  </x:si>
  <x:si>
    <x:t>CONTR/2025/027</x:t>
  </x:si>
  <x:si>
    <x:t/>
  </x:si>
  <x:si>
    <x:t>2025180826</x:t>
  </x:si>
  <x:si>
    <x:t>PRESIDENCIA EJECUTIVA DE LA AGENCIA E.F.E. S.A.U., S.M.E.</x:t>
  </x:si>
  <x:si>
    <x:t>Servicio de medición de audiencia digital y redes sociales</x:t>
  </x:si>
  <x:si>
    <x:t>S-25110158</x:t>
  </x:si>
  <x:si>
    <x:t/>
  </x:si>
  <x:si>
    <x:t>2025180830</x:t>
  </x:si>
  <x:si>
    <x:t>JUNTA DE CONTRATACIÓN DEL MINISTERIO DE EDUCACIÓN, FORMACIÓN PROFESIONAL Y DEPORTES</x:t>
  </x:si>
  <x:si>
    <x:t>Servicios necesarios para la promoción del atractivo y la calidad de la formación profesional a través de la competición de Formación Profesional WorldSkills Shanghai 2026</x:t>
  </x:si>
  <x:si>
    <x:t>J250028A</x:t>
  </x:si>
  <x:si>
    <x:t/>
  </x:si>
  <x:si>
    <x:t>China</x:t>
  </x:si>
  <x:si>
    <x:t>IFEMA - Institución Ferial de Madrid</x:t>
  </x:si>
  <x:si>
    <x:t>2025180856</x:t>
  </x:si>
  <x:si>
    <x:t>IFEMA - INSTITUCIÓN FERIAL DE MADRID</x:t>
  </x:si>
  <x:si>
    <x:t>Montaje, mantenimiento y desmontaje de vestuarios, puestos de tocador y bancos durante la celebración de los desfiles de MBFWM 2026 y 2027, organizadas por Ifema Madrid en galería de cristal y en otras ubicaciones de la CAM.</x:t>
  </x:si>
  <x:si>
    <x:t>25/225</x:t>
  </x:si>
  <x:si>
    <x:t/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</x:si>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</x:sst>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64870.00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HYPERLINK("https://contrataciondelestado.es/wps/poc?uri=deeplink:detalle_licitacion&amp;idEvl=BjB%2BWpplOK8IYE3ZiZ%2BxmQ%3D%3D","contrataciondelestado.es/wps/poc?uri=deeplink:detalle_licitacion&amp;idEvl=BjB%2BWpplOK8IYE3ZiZ%2BxmQ%3D%3D")</x:f>
        <x:v>contrataciondelestado.es/wps/poc?uri=deeplink:detalle_licitacion&amp;idEvl=BjB%2BWpplOK8IYE3ZiZ%2BxmQ%3D%3D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HYPERLINK("https://www.infonalia.es/licitaciones1225/2025180191.pdf","www.infonalia.es/licitaciones1225/2025180191.pdf")</x:f>
        <x:v>www.infonalia.es/licitaciones1225/2025180191.pdf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1800000.00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HYPERLINK("https://contrataciondelestado.es/wps/poc?uri=deeplink:detalle_licitacion&amp;idEvl=wcX0QAlvq9vzAq95uGTrDQ%3D%3D","contrataciondelestado.es/wps/poc?uri=deeplink:detalle_licitacion&amp;idEvl=wcX0QAlvq9vzAq95uGTrDQ%3D%3D")</x:f>
        <x:v>contrataciondelestado.es/wps/poc?uri=deeplink:detalle_licitacion&amp;idEvl=wcX0QAlvq9vzAq95uGTrDQ%3D%3D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HYPERLINK("https://www.infonalia.es/licitaciones1225/2025180203.pdf","www.infonalia.es/licitaciones1225/2025180203.pdf")</x:f>
        <x:v>www.infonalia.es/licitaciones1225/2025180203.pdf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55682.84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HYPERLINK("https://contrataciondelestado.es/wps/poc?uri=deeplink:detalle_licitacion&amp;idEvl=qkLD9FB5ALHi0Kd8%2Brcp6w%3D%3D","contrataciondelestado.es/wps/poc?uri=deeplink:detalle_licitacion&amp;idEvl=qkLD9FB5ALHi0Kd8%2Brcp6w%3D%3D")</x:f>
        <x:v>contrataciondelestado.es/wps/poc?uri=deeplink:detalle_licitacion&amp;idEvl=qkLD9FB5ALHi0Kd8%2Brcp6w%3D%3D</x:v>
      </x:c>
      <x:c r="M4" s="11" t="s">
        <x:v>27</x:v>
      </x:c>
      <x:c r="N4" s="13" t="s">
        <x:v>28</x:v>
      </x:c>
      <x:c r="O4" s="11" t="s">
        <x:v>43</x:v>
      </x:c>
      <x:c r="P4" s="11" t="s">
        <x:v>37</x:v>
      </x:c>
      <x:c r="Q4" s="14" t="str">
        <x:f xml:space="preserve">HYPERLINK("https://www.infonalia.es/licitaciones1225/2025180272.pdf","www.infonalia.es/licitaciones1225/2025180272.pdf")</x:f>
        <x:v>www.infonalia.es/licitaciones1225/2025180272.pdf</x:v>
      </x:c>
    </x:row>
    <x:row r="5">
      <x:c r="A5" s="6" t="s">
        <x:v>17</x:v>
      </x:c>
      <x:c r="B5" s="6" t="s">
        <x:v>18</x:v>
      </x:c>
      <x:c r="C5" s="7" t="s">
        <x:v>44</x:v>
      </x:c>
      <x:c r="D5" s="8" t="s">
        <x:v>45</x:v>
      </x:c>
      <x:c r="E5" s="9" t="s">
        <x:v>21</x:v>
      </x:c>
      <x:c r="F5" s="6" t="s">
        <x:v>46</x:v>
      </x:c>
      <x:c r="G5" s="6" t="s">
        <x:v>47</x:v>
      </x:c>
      <x:c r="H5" s="6" t="s">
        <x:v>48</x:v>
      </x:c>
      <x:c r="I5" s="10" t="n">
        <x:v>127771.07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HYPERLINK("https://contractaciopublica.cat/ca/detall-publicacio/0624942d-ea0c-4507-8035-276f27409d2d/300651824","contractaciopublica.cat/ca/detall-publicacio/0624942d-ea0c-4507-8035-276f27409d2d/300651824")</x:f>
        <x:v>contractaciopublica.cat/ca/detall-publicacio/0624942d-ea0c-4507-8035-276f27409d2d/300651824</x:v>
      </x:c>
      <x:c r="M5" s="11" t="s">
        <x:v>27</x:v>
      </x:c>
      <x:c r="N5" s="13" t="s">
        <x:v>49</x:v>
      </x:c>
      <x:c r="O5" s="11" t="s">
        <x:v>50</x:v>
      </x:c>
      <x:c r="P5" s="11" t="s">
        <x:v>51</x:v>
      </x:c>
      <x:c r="Q5" s="14" t="str">
        <x:f xml:space="preserve">HYPERLINK("https://www.infonalia.es/licitaciones1225/2025180295.pdf","www.infonalia.es/licitaciones1225/2025180295.pdf")</x:f>
        <x:v>www.infonalia.es/licitaciones1225/2025180295.pdf</x:v>
      </x:c>
    </x:row>
    <x:row r="6">
      <x:c r="A6" s="6" t="s">
        <x:v>17</x:v>
      </x:c>
      <x:c r="B6" s="6" t="s">
        <x:v>18</x:v>
      </x:c>
      <x:c r="C6" s="7" t="s">
        <x:v>52</x:v>
      </x:c>
      <x:c r="D6" s="8" t="s">
        <x:v>53</x:v>
      </x:c>
      <x:c r="E6" s="9" t="s">
        <x:v>21</x:v>
      </x:c>
      <x:c r="F6" s="6" t="s">
        <x:v>54</x:v>
      </x:c>
      <x:c r="G6" s="6" t="s">
        <x:v>55</x:v>
      </x:c>
      <x:c r="H6" s="6" t="s">
        <x:v>56</x:v>
      </x:c>
      <x:c r="I6" s="10" t="n">
        <x:v>19750.00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HYPERLINK("https://contractaciopublica.cat/ca/detall-publicacio/86bd8146-7ba1-495b-8ab0-d15b6742235b/300651643","contractaciopublica.cat/ca/detall-publicacio/86bd8146-7ba1-495b-8ab0-d15b6742235b/300651643")</x:f>
        <x:v>contractaciopublica.cat/ca/detall-publicacio/86bd8146-7ba1-495b-8ab0-d15b6742235b/300651643</x:v>
      </x:c>
      <x:c r="M6" s="11" t="s">
        <x:v>27</x:v>
      </x:c>
      <x:c r="N6" s="13" t="s">
        <x:v>57</x:v>
      </x:c>
      <x:c r="O6" s="11" t="s">
        <x:v>58</x:v>
      </x:c>
      <x:c r="P6" s="11" t="s">
        <x:v>59</x:v>
      </x:c>
      <x:c r="Q6" s="14" t="str">
        <x:f xml:space="preserve">HYPERLINK("https://www.infonalia.es/licitaciones1225/2025180348.pdf","www.infonalia.es/licitaciones1225/2025180348.pdf")</x:f>
        <x:v>www.infonalia.es/licitaciones1225/2025180348.pdf</x:v>
      </x:c>
    </x:row>
    <x:row r="7">
      <x:c r="A7" s="6" t="s">
        <x:v>17</x:v>
      </x:c>
      <x:c r="B7" s="6" t="s">
        <x:v>18</x:v>
      </x:c>
      <x:c r="C7" s="7" t="s">
        <x:v>60</x:v>
      </x:c>
      <x:c r="D7" s="8" t="s">
        <x:v>61</x:v>
      </x:c>
      <x:c r="E7" s="9" t="s">
        <x:v>21</x:v>
      </x:c>
      <x:c r="F7" s="6" t="s">
        <x:v>62</x:v>
      </x:c>
      <x:c r="G7" s="6" t="s">
        <x:v>63</x:v>
      </x:c>
      <x:c r="H7" s="6" t="s">
        <x:v>64</x:v>
      </x:c>
      <x:c r="I7" s="10" t="n">
        <x:v>62000.00</x:v>
      </x:c>
      <x:c r="J7" s="11" t="s">
        <x:v>25</x:v>
      </x:c>
      <x:c r="K7" s="11" t="s">
        <x:v>26</x:v>
      </x:c>
      <x:c r="L7" s="12" t="str">
        <x:f xml:space="preserve">HYPERLINK("https://contrataciondelestado.es/wps/poc?uri=deeplink:detalle_licitacion&amp;idEvl=mXkuedG%2Bu%2BM3vLk2DU2Ddg%3D%3D","contrataciondelestado.es/wps/poc?uri=deeplink:detalle_licitacion&amp;idEvl=mXkuedG%2Bu%2BM3vLk2DU2Ddg%3D%3D")</x:f>
        <x:v>contrataciondelestado.es/wps/poc?uri=deeplink:detalle_licitacion&amp;idEvl=mXkuedG%2Bu%2BM3vLk2DU2Ddg%3D%3D</x:v>
      </x:c>
      <x:c r="M7" s="11" t="s">
        <x:v>27</x:v>
      </x:c>
      <x:c r="N7" s="13" t="s">
        <x:v>57</x:v>
      </x:c>
      <x:c r="O7" s="11" t="s">
        <x:v>65</x:v>
      </x:c>
      <x:c r="P7" s="11" t="s">
        <x:v>37</x:v>
      </x:c>
      <x:c r="Q7" s="14" t="str">
        <x:f xml:space="preserve">HYPERLINK("https://www.infonalia.es/licitaciones1225/2025180364.pdf","www.infonalia.es/licitaciones1225/2025180364.pdf")</x:f>
        <x:v>www.infonalia.es/licitaciones1225/2025180364.pdf</x:v>
      </x:c>
    </x:row>
    <x:row r="8">
      <x:c r="A8" s="6" t="s">
        <x:v>17</x:v>
      </x:c>
      <x:c r="B8" s="6" t="s">
        <x:v>18</x:v>
      </x:c>
      <x:c r="C8" s="7" t="s">
        <x:v>60</x:v>
      </x:c>
      <x:c r="D8" s="8" t="s">
        <x:v>66</x:v>
      </x:c>
      <x:c r="E8" s="9" t="s">
        <x:v>21</x:v>
      </x:c>
      <x:c r="F8" s="6" t="s">
        <x:v>67</x:v>
      </x:c>
      <x:c r="G8" s="6" t="s">
        <x:v>68</x:v>
      </x:c>
      <x:c r="H8" s="6" t="s">
        <x:v>69</x:v>
      </x:c>
      <x:c r="I8" s="10" t="n">
        <x:v>41000.00</x:v>
      </x:c>
      <x:c r="J8" s="11" t="s">
        <x:v>25</x:v>
      </x:c>
      <x:c r="K8" s="11" t="s">
        <x:v>26</x:v>
      </x:c>
      <x:c r="L8" s="12" t="str">
        <x:f xml:space="preserve">HYPERLINK("https://contrataciondelestado.es/wps/poc?uri=deeplink:detalle_licitacion&amp;idEvl=5nWlhixOuJ0S7pcxhTeWOg%3D%3D","contrataciondelestado.es/wps/poc?uri=deeplink:detalle_licitacion&amp;idEvl=5nWlhixOuJ0S7pcxhTeWOg%3D%3D")</x:f>
        <x:v>contrataciondelestado.es/wps/poc?uri=deeplink:detalle_licitacion&amp;idEvl=5nWlhixOuJ0S7pcxhTeWOg%3D%3D</x:v>
      </x:c>
      <x:c r="M8" s="11" t="s">
        <x:v>27</x:v>
      </x:c>
      <x:c r="N8" s="13" t="s">
        <x:v>57</x:v>
      </x:c>
      <x:c r="O8" s="11" t="s">
        <x:v>70</x:v>
      </x:c>
      <x:c r="P8" s="11" t="s">
        <x:v>30</x:v>
      </x:c>
      <x:c r="Q8" s="14" t="str">
        <x:f xml:space="preserve">HYPERLINK("https://www.infonalia.es/licitaciones1225/2025180388.pdf","www.infonalia.es/licitaciones1225/2025180388.pdf")</x:f>
        <x:v>www.infonalia.es/licitaciones1225/2025180388.pdf</x:v>
      </x:c>
    </x:row>
    <x:row r="9">
      <x:c r="A9" s="6" t="s">
        <x:v>17</x:v>
      </x:c>
      <x:c r="B9" s="6" t="s">
        <x:v>18</x:v>
      </x:c>
      <x:c r="C9" s="7" t="s">
        <x:v>60</x:v>
      </x:c>
      <x:c r="D9" s="8" t="s">
        <x:v>71</x:v>
      </x:c>
      <x:c r="E9" s="9" t="s">
        <x:v>21</x:v>
      </x:c>
      <x:c r="F9" s="6" t="s">
        <x:v>72</x:v>
      </x:c>
      <x:c r="G9" s="6" t="s">
        <x:v>73</x:v>
      </x:c>
      <x:c r="H9" s="6" t="s">
        <x:v>74</x:v>
      </x:c>
      <x:c r="I9" s="10" t="n">
        <x:v>47965.00</x:v>
      </x:c>
      <x:c r="J9" s="11" t="s">
        <x:v>25</x:v>
      </x:c>
      <x:c r="K9" s="11" t="s">
        <x:v>26</x:v>
      </x:c>
      <x:c r="L9" s="12" t="str">
        <x:f xml:space="preserve">HYPERLINK("https://contrataciondelestado.es/wps/poc?uri=deeplink:detalle_licitacion&amp;idEvl=GGxA9XvU4tNPpzdqOdhuWg%3D%3D","contrataciondelestado.es/wps/poc?uri=deeplink:detalle_licitacion&amp;idEvl=GGxA9XvU4tNPpzdqOdhuWg%3D%3D")</x:f>
        <x:v>contrataciondelestado.es/wps/poc?uri=deeplink:detalle_licitacion&amp;idEvl=GGxA9XvU4tNPpzdqOdhuWg%3D%3D</x:v>
      </x:c>
      <x:c r="M9" s="11" t="s">
        <x:v>27</x:v>
      </x:c>
      <x:c r="N9" s="13" t="s">
        <x:v>57</x:v>
      </x:c>
      <x:c r="O9" s="11" t="s">
        <x:v>75</x:v>
      </x:c>
      <x:c r="P9" s="11" t="s">
        <x:v>37</x:v>
      </x:c>
      <x:c r="Q9" s="14" t="str">
        <x:f xml:space="preserve">HYPERLINK("https://www.infonalia.es/licitaciones1225/2025180406.pdf","www.infonalia.es/licitaciones1225/2025180406.pdf")</x:f>
        <x:v>www.infonalia.es/licitaciones1225/2025180406.pdf</x:v>
      </x:c>
    </x:row>
    <x:row r="10">
      <x:c r="A10" s="6" t="s">
        <x:v>17</x:v>
      </x:c>
      <x:c r="B10" s="6" t="s">
        <x:v>18</x:v>
      </x:c>
      <x:c r="C10" s="7" t="s">
        <x:v>76</x:v>
      </x:c>
      <x:c r="D10" s="8" t="s">
        <x:v>77</x:v>
      </x:c>
      <x:c r="E10" s="9" t="s">
        <x:v>21</x:v>
      </x:c>
      <x:c r="F10" s="6" t="s">
        <x:v>78</x:v>
      </x:c>
      <x:c r="G10" s="6" t="s">
        <x:v>79</x:v>
      </x:c>
      <x:c r="H10" s="6" t="s">
        <x:v>80</x:v>
      </x:c>
      <x:c r="I10" s="10" t="n">
        <x:v>58069.16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HYPERLINK("https://contrataciondelestado.es/wps/poc?uri=deeplink:detalle_licitacion&amp;idEvl=PzNu4cJllrU%2FbjW6njtWLw%3D%3D","contrataciondelestado.es/wps/poc?uri=deeplink:detalle_licitacion&amp;idEvl=PzNu4cJllrU%2FbjW6njtWLw%3D%3D")</x:f>
        <x:v>contrataciondelestado.es/wps/poc?uri=deeplink:detalle_licitacion&amp;idEvl=PzNu4cJllrU%2FbjW6njtWLw%3D%3D</x:v>
      </x:c>
      <x:c r="M10" s="11" t="s">
        <x:v>27</x:v>
      </x:c>
      <x:c r="N10" s="13" t="s">
        <x:v>57</x:v>
      </x:c>
      <x:c r="O10" s="11" t="s">
        <x:v>81</x:v>
      </x:c>
      <x:c r="P10" s="11" t="s">
        <x:v>37</x:v>
      </x:c>
      <x:c r="Q10" s="14" t="str">
        <x:f xml:space="preserve">HYPERLINK("https://www.infonalia.es/licitaciones1225/2025180461.pdf","www.infonalia.es/licitaciones1225/2025180461.pdf")</x:f>
        <x:v>www.infonalia.es/licitaciones1225/2025180461.pdf</x:v>
      </x:c>
    </x:row>
    <x:row r="11">
      <x:c r="A11" s="6" t="s">
        <x:v>17</x:v>
      </x:c>
      <x:c r="B11" s="6" t="s">
        <x:v>18</x:v>
      </x:c>
      <x:c r="C11" s="7" t="s">
        <x:v>82</x:v>
      </x:c>
      <x:c r="D11" s="8" t="s">
        <x:v>83</x:v>
      </x:c>
      <x:c r="E11" s="9" t="s">
        <x:v>21</x:v>
      </x:c>
      <x:c r="F11" s="6" t="s">
        <x:v>40</x:v>
      </x:c>
      <x:c r="G11" s="6" t="s">
        <x:v>84</x:v>
      </x:c>
      <x:c r="H11" s="6" t="s">
        <x:v>85</x:v>
      </x:c>
      <x:c r="I11" s="10" t="n">
        <x:v>12992.80</x:v>
      </x:c>
      <x:c r="J11" s="11" t="s">
        <x:v>25</x:v>
      </x:c>
      <x:c r="K11" s="11" t="s">
        <x:v>26</x:v>
      </x:c>
      <x:c r="L11" s="12" t="str">
        <x:f xml:space="preserve">HYPERLINK("https://contrataciondelestado.es/wps/poc?uri=deeplink:detalle_licitacion&amp;idEvl=y%2BDSU2vMYtFSYrkJkLlFdw%3D%3D","contrataciondelestado.es/wps/poc?uri=deeplink:detalle_licitacion&amp;idEvl=y%2BDSU2vMYtFSYrkJkLlFdw%3D%3D")</x:f>
        <x:v>contrataciondelestado.es/wps/poc?uri=deeplink:detalle_licitacion&amp;idEvl=y%2BDSU2vMYtFSYrkJkLlFdw%3D%3D</x:v>
      </x:c>
      <x:c r="M11" s="11" t="s">
        <x:v>27</x:v>
      </x:c>
      <x:c r="N11" s="13" t="s">
        <x:v>57</x:v>
      </x:c>
      <x:c r="O11" s="11" t="s">
        <x:v>86</x:v>
      </x:c>
      <x:c r="P11" s="11" t="s">
        <x:v>37</x:v>
      </x:c>
      <x:c r="Q11" s="14" t="str">
        <x:f xml:space="preserve">HYPERLINK("https://www.infonalia.es/licitaciones1225/2025180527.pdf","www.infonalia.es/licitaciones1225/2025180527.pdf")</x:f>
        <x:v>www.infonalia.es/licitaciones1225/2025180527.pdf</x:v>
      </x:c>
    </x:row>
    <x:row r="12">
      <x:c r="A12" s="6" t="s">
        <x:v>17</x:v>
      </x:c>
      <x:c r="B12" s="6" t="s">
        <x:v>18</x:v>
      </x:c>
      <x:c r="C12" s="7" t="s">
        <x:v>87</x:v>
      </x:c>
      <x:c r="D12" s="8" t="s">
        <x:v>88</x:v>
      </x:c>
      <x:c r="E12" s="9" t="s">
        <x:v>21</x:v>
      </x:c>
      <x:c r="F12" s="6" t="s">
        <x:v>89</x:v>
      </x:c>
      <x:c r="G12" s="6" t="s">
        <x:v>90</x:v>
      </x:c>
      <x:c r="H12" s="6" t="s">
        <x:v>91</x:v>
      </x:c>
      <x:c r="I12" s="10" t="n">
        <x:v>3533800.00</x:v>
      </x:c>
      <x:c r="J12" s="11" t="s">
        <x:v>25</x:v>
      </x:c>
      <x:c r="K12" s="11" t="s">
        <x:v>26</x:v>
      </x:c>
      <x:c r="L12" s="12" t="str">
        <x:f xml:space="preserve">HYPERLINK("https://contractaciopublica.cat/ca/detall-publicacio/cb4f506a-e531-4049-b69c-956328a93242/300650679","contractaciopublica.cat/ca/detall-publicacio/cb4f506a-e531-4049-b69c-956328a93242/300650679")</x:f>
        <x:v>contractaciopublica.cat/ca/detall-publicacio/cb4f506a-e531-4049-b69c-956328a93242/300650679</x:v>
      </x:c>
      <x:c r="M12" s="11" t="s">
        <x:v>27</x:v>
      </x:c>
      <x:c r="N12" s="13" t="s">
        <x:v>57</x:v>
      </x:c>
      <x:c r="O12" s="11" t="s">
        <x:v>92</x:v>
      </x:c>
      <x:c r="P12" s="11" t="s">
        <x:v>59</x:v>
      </x:c>
      <x:c r="Q12" s="14" t="str">
        <x:f xml:space="preserve">HYPERLINK("https://www.infonalia.es/licitaciones1225/2025180577.pdf","www.infonalia.es/licitaciones1225/2025180577.pdf")</x:f>
        <x:v>www.infonalia.es/licitaciones1225/2025180577.pdf</x:v>
      </x:c>
    </x:row>
    <x:row r="13">
      <x:c r="A13" s="6" t="s">
        <x:v>17</x:v>
      </x:c>
      <x:c r="B13" s="6" t="s">
        <x:v>18</x:v>
      </x:c>
      <x:c r="C13" s="7" t="s">
        <x:v>93</x:v>
      </x:c>
      <x:c r="D13" s="8" t="s">
        <x:v>94</x:v>
      </x:c>
      <x:c r="E13" s="9" t="s">
        <x:v>21</x:v>
      </x:c>
      <x:c r="F13" s="6" t="s">
        <x:v>40</x:v>
      </x:c>
      <x:c r="G13" s="6" t="s">
        <x:v>95</x:v>
      </x:c>
      <x:c r="H13" s="6" t="s">
        <x:v>96</x:v>
      </x:c>
      <x:c r="I13" s="10" t="n">
        <x:v>112575.51</x:v>
      </x:c>
      <x:c r="J13" s="11" t="s">
        <x:v>25</x:v>
      </x:c>
      <x:c r="K13" s="11" t="s">
        <x:v>26</x:v>
      </x:c>
      <x:c r="L13" s="12" t="str">
        <x:f xml:space="preserve">HYPERLINK("https://contrataciondelestado.es/wps/poc?uri=deeplink:detalle_licitacion&amp;idEvl=KBRIfOpGNb%2B8ebB%2FXTwy0A%3D%3D","contrataciondelestado.es/wps/poc?uri=deeplink:detalle_licitacion&amp;idEvl=KBRIfOpGNb%2B8ebB%2FXTwy0A%3D%3D")</x:f>
        <x:v>contrataciondelestado.es/wps/poc?uri=deeplink:detalle_licitacion&amp;idEvl=KBRIfOpGNb%2B8ebB%2FXTwy0A%3D%3D</x:v>
      </x:c>
      <x:c r="M13" s="11" t="s">
        <x:v>27</x:v>
      </x:c>
      <x:c r="N13" s="13" t="s">
        <x:v>57</x:v>
      </x:c>
      <x:c r="O13" s="11" t="s">
        <x:v>97</x:v>
      </x:c>
      <x:c r="P13" s="11" t="s">
        <x:v>37</x:v>
      </x:c>
      <x:c r="Q13" s="14" t="str">
        <x:f xml:space="preserve">HYPERLINK("https://www.infonalia.es/licitaciones1225/2025180605.pdf","www.infonalia.es/licitaciones1225/2025180605.pdf")</x:f>
        <x:v>www.infonalia.es/licitaciones1225/2025180605.pdf</x:v>
      </x:c>
    </x:row>
    <x:row r="14">
      <x:c r="A14" s="6" t="s">
        <x:v>17</x:v>
      </x:c>
      <x:c r="B14" s="6" t="s">
        <x:v>18</x:v>
      </x:c>
      <x:c r="C14" s="7" t="s">
        <x:v>93</x:v>
      </x:c>
      <x:c r="D14" s="8" t="s">
        <x:v>98</x:v>
      </x:c>
      <x:c r="E14" s="9" t="s">
        <x:v>21</x:v>
      </x:c>
      <x:c r="F14" s="6" t="s">
        <x:v>99</x:v>
      </x:c>
      <x:c r="G14" s="6" t="s">
        <x:v>100</x:v>
      </x:c>
      <x:c r="H14" s="6" t="s">
        <x:v>101</x:v>
      </x:c>
      <x:c r="I14" s="10" t="n">
        <x:v>48706.87</x:v>
      </x:c>
      <x:c r="J14" s="11" t="s">
        <x:v>25</x:v>
      </x:c>
      <x:c r="K14" s="11" t="s">
        <x:v>26</x:v>
      </x:c>
      <x:c r="L14" s="12" t="str">
        <x:f xml:space="preserve">HYPERLINK("https://contratos-publicos.comunidad.madrid/contrato-publico/actividades-difusion-gestion-visitas-parque-arqueologico-calvero-higuera-valle","contratos-publicos.comunidad.madrid/contrato-publico/actividades-difusion-gestion-visitas-parque-arqueologico-calvero-higuera-valle")</x:f>
        <x:v>contratos-publicos.comunidad.madrid/contrato-publico/actividades-difusion-gestion-visitas-parque-arqueologico-calvero-higuera-valle</x:v>
      </x:c>
      <x:c r="M14" s="11" t="s">
        <x:v>27</x:v>
      </x:c>
      <x:c r="N14" s="13" t="s">
        <x:v>57</x:v>
      </x:c>
      <x:c r="O14" s="11" t="s">
        <x:v>102</x:v>
      </x:c>
      <x:c r="P14" s="11" t="s">
        <x:v>37</x:v>
      </x:c>
      <x:c r="Q14" s="14" t="str">
        <x:f xml:space="preserve">HYPERLINK("https://www.infonalia.es/licitaciones1225/2025180606.pdf","www.infonalia.es/licitaciones1225/2025180606.pdf")</x:f>
        <x:v>www.infonalia.es/licitaciones1225/2025180606.pdf</x:v>
      </x:c>
    </x:row>
    <x:row r="15">
      <x:c r="A15" s="6" t="s">
        <x:v>17</x:v>
      </x:c>
      <x:c r="B15" s="6" t="s">
        <x:v>18</x:v>
      </x:c>
      <x:c r="C15" s="7" t="s">
        <x:v>60</x:v>
      </x:c>
      <x:c r="D15" s="8" t="s">
        <x:v>103</x:v>
      </x:c>
      <x:c r="E15" s="9" t="s">
        <x:v>21</x:v>
      </x:c>
      <x:c r="F15" s="6" t="s">
        <x:v>104</x:v>
      </x:c>
      <x:c r="G15" s="6" t="s">
        <x:v>105</x:v>
      </x:c>
      <x:c r="H15" s="6" t="s">
        <x:v>106</x:v>
      </x:c>
      <x:c r="I15" s="10" t="n">
        <x:v>45454.55</x:v>
      </x:c>
      <x:c r="J15" s="11" t="s">
        <x:v>25</x:v>
      </x:c>
      <x:c r="K15" s="11" t="s">
        <x:v>26</x:v>
      </x:c>
      <x:c r="L15" s="12" t="str">
        <x:f xml:space="preserve">HYPERLINK("https://contrataciondelestado.es/wps/poc?uri=deeplink:detalle_licitacion&amp;idEvl=QCqk79tkyRqcCF8sV%2BqtYA%3D%3D","contrataciondelestado.es/wps/poc?uri=deeplink:detalle_licitacion&amp;idEvl=QCqk79tkyRqcCF8sV%2BqtYA%3D%3D")</x:f>
        <x:v>contrataciondelestado.es/wps/poc?uri=deeplink:detalle_licitacion&amp;idEvl=QCqk79tkyRqcCF8sV%2BqtYA%3D%3D</x:v>
      </x:c>
      <x:c r="M15" s="11" t="s">
        <x:v>27</x:v>
      </x:c>
      <x:c r="N15" s="13" t="s">
        <x:v>57</x:v>
      </x:c>
      <x:c r="O15" s="11" t="s">
        <x:v>107</x:v>
      </x:c>
      <x:c r="P15" s="11" t="s">
        <x:v>59</x:v>
      </x:c>
      <x:c r="Q15" s="14" t="str">
        <x:f xml:space="preserve">HYPERLINK("https://www.infonalia.es/licitaciones1225/2025180660.pdf","www.infonalia.es/licitaciones1225/2025180660.pdf")</x:f>
        <x:v>www.infonalia.es/licitaciones1225/2025180660.pdf</x:v>
      </x:c>
    </x:row>
    <x:row r="16">
      <x:c r="A16" s="6" t="s">
        <x:v>17</x:v>
      </x:c>
      <x:c r="B16" s="6" t="s">
        <x:v>108</x:v>
      </x:c>
      <x:c r="C16" s="7" t="s">
        <x:v>109</x:v>
      </x:c>
      <x:c r="D16" s="8" t="s">
        <x:v>110</x:v>
      </x:c>
      <x:c r="E16" s="9" t="s">
        <x:v>21</x:v>
      </x:c>
      <x:c r="F16" s="6" t="s">
        <x:v>111</x:v>
      </x:c>
      <x:c r="G16" s="6" t="s">
        <x:v>112</x:v>
      </x:c>
      <x:c r="H16" s="6" t="s">
        <x:v>113</x:v>
      </x:c>
      <x:c r="I16" s="10" t="n">
        <x:v>400000.00</x:v>
      </x:c>
      <x:c r="J16" s="11" t="s">
        <x:v>114</x:v>
      </x:c>
      <x:c r="K16" s="11" t="s">
        <x:v>115</x:v>
      </x:c>
      <x:c r="L16" s="12" t="str">
        <x:f xml:space="preserve">HYPERLINK("https://contractaciopublica.cat/ca/perfils-contractant/detall/8040068?categoria=0","contractaciopublica.cat/ca/perfils-contractant/detall/8040068?categoria=0")</x:f>
        <x:v>contractaciopublica.cat/ca/perfils-contractant/detall/8040068?categoria=0</x:v>
      </x:c>
      <x:c r="M16" s="11" t="s">
        <x:v>27</x:v>
      </x:c>
      <x:c r="N16" s="13" t="s">
        <x:v>21</x:v>
      </x:c>
      <x:c r="O16" s="11" t="s">
        <x:v>116</x:v>
      </x:c>
      <x:c r="P16" s="11" t="s">
        <x:v>59</x:v>
      </x:c>
      <x:c r="Q16" s="14" t="str">
        <x:f xml:space="preserve">HYPERLINK("https://www.infonalia.es/licitaciones1225/2025180668.pdf","www.infonalia.es/licitaciones1225/2025180668.pdf")</x:f>
        <x:v>www.infonalia.es/licitaciones1225/2025180668.pdf</x:v>
      </x:c>
    </x:row>
    <x:row r="17">
      <x:c r="A17" s="6" t="s">
        <x:v>17</x:v>
      </x:c>
      <x:c r="B17" s="6" t="s">
        <x:v>18</x:v>
      </x:c>
      <x:c r="C17" s="7" t="s">
        <x:v>117</x:v>
      </x:c>
      <x:c r="D17" s="8" t="s">
        <x:v>118</x:v>
      </x:c>
      <x:c r="E17" s="9" t="s">
        <x:v>21</x:v>
      </x:c>
      <x:c r="F17" s="6" t="s">
        <x:v>119</x:v>
      </x:c>
      <x:c r="G17" s="6" t="s">
        <x:v>120</x:v>
      </x:c>
      <x:c r="H17" s="6" t="s">
        <x:v>121</x:v>
      </x:c>
      <x:c r="I17" s="10" t="n">
        <x:v>6000.00</x:v>
      </x:c>
      <x:c r="J17" s="11" t="s">
        <x:v>25</x:v>
      </x:c>
      <x:c r="K17" s="11" t="s">
        <x:v>26</x:v>
      </x:c>
      <x:c r="L17" s="12" t="str">
        <x:f xml:space="preserve">HYPERLINK("https://contrataciondelestado.es/wps/poc?uri=deeplink:detalle_licitacion&amp;idEvl=TIxbQjH1SEzCfVQHDepjGQ%3D%3D","contrataciondelestado.es/wps/poc?uri=deeplink:detalle_licitacion&amp;idEvl=TIxbQjH1SEzCfVQHDepjGQ%3D%3D")</x:f>
        <x:v>contrataciondelestado.es/wps/poc?uri=deeplink:detalle_licitacion&amp;idEvl=TIxbQjH1SEzCfVQHDepjGQ%3D%3D</x:v>
      </x:c>
      <x:c r="M17" s="11" t="s">
        <x:v>27</x:v>
      </x:c>
      <x:c r="N17" s="13" t="s">
        <x:v>57</x:v>
      </x:c>
      <x:c r="O17" s="11" t="s">
        <x:v>122</x:v>
      </x:c>
      <x:c r="P17" s="11" t="s">
        <x:v>37</x:v>
      </x:c>
      <x:c r="Q17" s="14" t="str">
        <x:f xml:space="preserve">HYPERLINK("https://www.infonalia.es/licitaciones1225/2025180738.pdf","www.infonalia.es/licitaciones1225/2025180738.pdf")</x:f>
        <x:v>www.infonalia.es/licitaciones1225/2025180738.pdf</x:v>
      </x:c>
    </x:row>
    <x:row r="18">
      <x:c r="A18" s="6" t="s">
        <x:v>17</x:v>
      </x:c>
      <x:c r="B18" s="6" t="s">
        <x:v>18</x:v>
      </x:c>
      <x:c r="C18" s="7" t="s">
        <x:v>123</x:v>
      </x:c>
      <x:c r="D18" s="8" t="s">
        <x:v>124</x:v>
      </x:c>
      <x:c r="E18" s="9" t="s">
        <x:v>21</x:v>
      </x:c>
      <x:c r="F18" s="6" t="s">
        <x:v>125</x:v>
      </x:c>
      <x:c r="G18" s="6" t="s">
        <x:v>126</x:v>
      </x:c>
      <x:c r="H18" s="6" t="s">
        <x:v>127</x:v>
      </x:c>
      <x:c r="I18" s="10" t="n">
        <x:v>26000.00</x:v>
      </x:c>
      <x:c r="J18" s="11" t="s">
        <x:v>25</x:v>
      </x:c>
      <x:c r="K18" s="11" t="s">
        <x:v>26</x:v>
      </x:c>
      <x:c r="L18" s="12" t="str">
        <x:f xml:space="preserve">HYPERLINK("https://contrataciondelestado.es/wps/poc?uri=deeplink:detalle_licitacion&amp;idEvl=2HWsm4NNY8g2wEhQbcAqug%3D%3D","contrataciondelestado.es/wps/poc?uri=deeplink:detalle_licitacion&amp;idEvl=2HWsm4NNY8g2wEhQbcAqug%3D%3D")</x:f>
        <x:v>contrataciondelestado.es/wps/poc?uri=deeplink:detalle_licitacion&amp;idEvl=2HWsm4NNY8g2wEhQbcAqug%3D%3D</x:v>
      </x:c>
      <x:c r="M18" s="11" t="s">
        <x:v>27</x:v>
      </x:c>
      <x:c r="N18" s="13" t="s">
        <x:v>21</x:v>
      </x:c>
      <x:c r="O18" s="11" t="s">
        <x:v>128</x:v>
      </x:c>
      <x:c r="P18" s="11" t="s">
        <x:v>37</x:v>
      </x:c>
      <x:c r="Q18" s="14" t="str">
        <x:f xml:space="preserve">HYPERLINK("https://www.infonalia.es/licitaciones1225/2025180782.pdf","www.infonalia.es/licitaciones1225/2025180782.pdf")</x:f>
        <x:v>www.infonalia.es/licitaciones1225/2025180782.pdf</x:v>
      </x:c>
    </x:row>
    <x:row r="19">
      <x:c r="A19" s="6" t="s">
        <x:v>17</x:v>
      </x:c>
      <x:c r="B19" s="6" t="s">
        <x:v>18</x:v>
      </x:c>
      <x:c r="C19" s="7" t="s">
        <x:v>109</x:v>
      </x:c>
      <x:c r="D19" s="8" t="s">
        <x:v>129</x:v>
      </x:c>
      <x:c r="E19" s="9" t="s">
        <x:v>21</x:v>
      </x:c>
      <x:c r="F19" s="6" t="s">
        <x:v>130</x:v>
      </x:c>
      <x:c r="G19" s="6" t="s">
        <x:v>131</x:v>
      </x:c>
      <x:c r="H19" s="6" t="s">
        <x:v>132</x:v>
      </x:c>
      <x:c r="I19" s="10" t="n">
        <x:v>110000.00</x:v>
      </x:c>
      <x:c r="J19" s="11" t="s">
        <x:v>25</x:v>
      </x:c>
      <x:c r="K19" s="11" t="s">
        <x:v>26</x:v>
      </x:c>
      <x:c r="L19" s="12" t="str">
        <x:f xml:space="preserve">HYPERLINK("https://contrataciondelestado.es/wps/poc?uri=deeplink:detalle_licitacion&amp;idEvl=lQy74cIGU4hLAIVZdUs8KA%3D%3D","contrataciondelestado.es/wps/poc?uri=deeplink:detalle_licitacion&amp;idEvl=lQy74cIGU4hLAIVZdUs8KA%3D%3D")</x:f>
        <x:v>contrataciondelestado.es/wps/poc?uri=deeplink:detalle_licitacion&amp;idEvl=lQy74cIGU4hLAIVZdUs8KA%3D%3D</x:v>
      </x:c>
      <x:c r="M19" s="11" t="s">
        <x:v>27</x:v>
      </x:c>
      <x:c r="N19" s="13" t="s">
        <x:v>21</x:v>
      </x:c>
      <x:c r="O19" s="11" t="s">
        <x:v>133</x:v>
      </x:c>
      <x:c r="P19" s="11" t="s">
        <x:v>37</x:v>
      </x:c>
      <x:c r="Q19" s="14" t="str">
        <x:f xml:space="preserve">HYPERLINK("https://www.infonalia.es/licitaciones1225/2025180797.pdf","www.infonalia.es/licitaciones1225/2025180797.pdf")</x:f>
        <x:v>www.infonalia.es/licitaciones1225/2025180797.pdf</x:v>
      </x:c>
    </x:row>
    <x:row r="20">
      <x:c r="A20" s="6" t="s">
        <x:v>17</x:v>
      </x:c>
      <x:c r="B20" s="6" t="s">
        <x:v>18</x:v>
      </x:c>
      <x:c r="C20" s="7" t="s">
        <x:v>44</x:v>
      </x:c>
      <x:c r="D20" s="8" t="s">
        <x:v>134</x:v>
      </x:c>
      <x:c r="E20" s="9" t="s">
        <x:v>21</x:v>
      </x:c>
      <x:c r="F20" s="6" t="s">
        <x:v>135</x:v>
      </x:c>
      <x:c r="G20" s="6" t="s">
        <x:v>136</x:v>
      </x:c>
      <x:c r="H20" s="6" t="s">
        <x:v>137</x:v>
      </x:c>
      <x:c r="I20" s="10" t="n">
        <x:v>20000.00</x:v>
      </x:c>
      <x:c r="J20" s="11" t="s">
        <x:v>25</x:v>
      </x:c>
      <x:c r="K20" s="11" t="s">
        <x:v>26</x:v>
      </x:c>
      <x:c r="L20" s="12" t="str">
        <x:f xml:space="preserve">HYPERLINK("https://contrataciondelestado.es/wps/poc?uri=deeplink:detalle_licitacion&amp;idEvl=B39z7mCqNE3i0Kd8%2Brcp6w%3D%3D","contrataciondelestado.es/wps/poc?uri=deeplink:detalle_licitacion&amp;idEvl=B39z7mCqNE3i0Kd8%2Brcp6w%3D%3D")</x:f>
        <x:v>contrataciondelestado.es/wps/poc?uri=deeplink:detalle_licitacion&amp;idEvl=B39z7mCqNE3i0Kd8%2Brcp6w%3D%3D</x:v>
      </x:c>
      <x:c r="M20" s="11" t="s">
        <x:v>27</x:v>
      </x:c>
      <x:c r="N20" s="13" t="s">
        <x:v>21</x:v>
      </x:c>
      <x:c r="O20" s="11" t="s">
        <x:v>138</x:v>
      </x:c>
      <x:c r="P20" s="11" t="s">
        <x:v>37</x:v>
      </x:c>
      <x:c r="Q20" s="14" t="str">
        <x:f xml:space="preserve">HYPERLINK("https://www.infonalia.es/licitaciones1225/2025180826.pdf","www.infonalia.es/licitaciones1225/2025180826.pdf")</x:f>
        <x:v>www.infonalia.es/licitaciones1225/2025180826.pdf</x:v>
      </x:c>
    </x:row>
    <x:row r="21">
      <x:c r="A21" s="6" t="s">
        <x:v>17</x:v>
      </x:c>
      <x:c r="B21" s="6" t="s">
        <x:v>18</x:v>
      </x:c>
      <x:c r="C21" s="7" t="s">
        <x:v>123</x:v>
      </x:c>
      <x:c r="D21" s="8" t="s">
        <x:v>139</x:v>
      </x:c>
      <x:c r="E21" s="9" t="s">
        <x:v>21</x:v>
      </x:c>
      <x:c r="F21" s="6" t="s">
        <x:v>140</x:v>
      </x:c>
      <x:c r="G21" s="6" t="s">
        <x:v>141</x:v>
      </x:c>
      <x:c r="H21" s="6" t="s">
        <x:v>142</x:v>
      </x:c>
      <x:c r="I21" s="10" t="n">
        <x:v>516103.72</x:v>
      </x:c>
      <x:c r="J21" s="11" t="s">
        <x:v>25</x:v>
      </x:c>
      <x:c r="K21" s="11" t="s">
        <x:v>26</x:v>
      </x:c>
      <x:c r="L21" s="12" t="str">
        <x:f xml:space="preserve">HYPERLINK("https://contrataciondelestado.es/wps/poc?uri=deeplink:detalle_licitacion&amp;idEvl=jNa6Ws9BFof%2Fa9DgO%2BoYKQ%3D%3D","contrataciondelestado.es/wps/poc?uri=deeplink:detalle_licitacion&amp;idEvl=jNa6Ws9BFof%2Fa9DgO%2BoYKQ%3D%3D")</x:f>
        <x:v>contrataciondelestado.es/wps/poc?uri=deeplink:detalle_licitacion&amp;idEvl=jNa6Ws9BFof%2Fa9DgO%2BoYKQ%3D%3D</x:v>
      </x:c>
      <x:c r="M21" s="11" t="s">
        <x:v>27</x:v>
      </x:c>
      <x:c r="N21" s="13" t="s">
        <x:v>21</x:v>
      </x:c>
      <x:c r="O21" s="11" t="s">
        <x:v>143</x:v>
      </x:c>
      <x:c r="P21" s="11" t="s">
        <x:v>144</x:v>
      </x:c>
      <x:c r="Q21" s="14" t="str">
        <x:f xml:space="preserve">HYPERLINK("https://www.infonalia.es/licitaciones1225/2025180830.pdf","www.infonalia.es/licitaciones1225/2025180830.pdf")</x:f>
        <x:v>www.infonalia.es/licitaciones1225/2025180830.pdf</x:v>
      </x:c>
    </x:row>
    <x:row r="22">
      <x:c r="A22" s="6" t="s">
        <x:v>17</x:v>
      </x:c>
      <x:c r="B22" s="6" t="s">
        <x:v>145</x:v>
      </x:c>
      <x:c r="C22" s="7" t="s">
        <x:v>109</x:v>
      </x:c>
      <x:c r="D22" s="8" t="s">
        <x:v>146</x:v>
      </x:c>
      <x:c r="E22" s="9" t="s">
        <x:v>21</x:v>
      </x:c>
      <x:c r="F22" s="6" t="s">
        <x:v>147</x:v>
      </x:c>
      <x:c r="G22" s="6" t="s">
        <x:v>148</x:v>
      </x:c>
      <x:c r="H22" s="6" t="s">
        <x:v>149</x:v>
      </x:c>
      <x:c r="I22" s="10" t="n">
        <x:v>148048.00</x:v>
      </x:c>
      <x:c r="J22" s="11" t="s">
        <x:v>25</x:v>
      </x:c>
      <x:c r="K22" s="11" t="s">
        <x:v>150</x:v>
      </x:c>
      <x:c r="L22" s="12" t="str">
        <x:f xml:space="preserve">HYPERLINK("https://licitaciones2.ifema.es/licitacion/licitaciones/detalle?id=3127067","licitaciones2.ifema.es/licitacion/licitaciones/detalle?id=3127067")</x:f>
        <x:v>licitaciones2.ifema.es/licitacion/licitaciones/detalle?id=3127067</x:v>
      </x:c>
      <x:c r="M22" s="11" t="s">
        <x:v>27</x:v>
      </x:c>
      <x:c r="N22" s="13" t="s">
        <x:v>57</x:v>
      </x:c>
      <x:c r="O22" s="11" t="s">
        <x:v>151</x:v>
      </x:c>
      <x:c r="P22" s="11" t="s">
        <x:v>37</x:v>
      </x:c>
      <x:c r="Q22" s="14" t="str">
        <x:f xml:space="preserve">HYPERLINK("https://www.infonalia.es/licitaciones1225/2025180856.pdf","www.infonalia.es/licitaciones1225/2025180856.pdf")</x:f>
        <x:v>www.infonalia.es/licitaciones1225/2025180856.pdf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