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loext="http://schemas.libreoffice.org/" xmlns:r="http://schemas.openxmlformats.org/officeDocument/2006/relationships" xmlns:x="http://schemas.openxmlformats.org/spreadsheetml/2006/main">
  <x:fileVersion appName="xl" lastEdited="4" lowestEdited="4" rupBuild="4506"/>
  <x:workbookPr/>
  <x:bookViews>
    <x:workbookView xWindow="0" yWindow="0" windowWidth="16380" windowHeight="8190" tabRatio="500"/>
  </x:bookViews>
  <x:sheets>
    <x:sheet name="Licitaciones" sheetId="1" r:id="rId1"/>
  </x:sheets>
  <x:definedNames>
    <x:definedName name="_xlnm._FilterDatabase" localSheetId="0" hidden="1">Licitaciones!$A$1:$Q$1</x:definedName>
  </x:definedNames>
  <x:calcPr calcId="125725" iterateDelta="1E-4"/>
  <x:extLst>
    <x:ext xmlns:loext="http://schemas.libreoffice.org/" uri="{7626C862-2A13-11E5-B345-FEFF819CDC9F}">
      <loext:extCalcPr stringRefSyntax="CalcA1ExcelA1"/>
    </x:ext>
  </x:extLst>
</x:workbook>
</file>

<file path=xl/sharedStrings.xml><?xml version="1.0" encoding="utf-8"?>
<x:sst xmlns:x="http://schemas.openxmlformats.org/spreadsheetml/2006/main" count="17" uniqueCount="17">
  <x:si>
    <x:t>TipoDato</x:t>
  </x:si>
  <x:si>
    <x:t>CodigoBoletin</x:t>
  </x:si>
  <x:si>
    <x:t>PlazoPresentacionFecha</x:t>
  </x:si>
  <x:si>
    <x:t>Referencia</x:t>
  </x:si>
  <x:si>
    <x:t>FechaIntroduccion</x:t>
  </x:si>
  <x:si>
    <x:t>OrganismoConvocante</x:t>
  </x:si>
  <x:si>
    <x:t>Objeto</x:t>
  </x:si>
  <x:si>
    <x:t>Nº Expediente</x:t>
  </x:si>
  <x:si>
    <x:t>Presupuesto</x:t>
  </x:si>
  <x:si>
    <x:t>PresupuestoVarios</x:t>
  </x:si>
  <x:si>
    <x:t>PlazoPresentacionVarios</x:t>
  </x:si>
  <x:si>
    <x:t>InformacionWeb</x:t>
  </x:si>
  <x:si>
    <x:t>PublicacionNumero</x:t>
  </x:si>
  <x:si>
    <x:t>PublicacionFecha</x:t>
  </x:si>
  <x:si>
    <x:t>Observaciones</x:t>
  </x:si>
  <x:si>
    <x:t>LugarEjecucion</x:t>
  </x:si>
  <x:si>
    <x:t>Anuncio</x:t>
  </x:si>
  <x:si>
    <x:t>Concurso</x:t>
  </x:si>
  <x:si>
    <x:t>Plataforma de Contratación del Estado</x:t>
  </x:si>
  <x:si>
    <x:t>09/12/2025</x:t>
  </x:si>
  <x:si>
    <x:t>2025167748</x:t>
  </x:si>
  <x:si>
    <x:t>25/11/2025</x:t>
  </x:si>
  <x:si>
    <x:t>AYUNTAMIENTO DE BALAGUER (LLEIDA). INSTITUTO MUNICIPAL PROGRESO Y CULTURA</x:t>
  </x:si>
  <x:si>
    <x:t>Contrato de suministro, en régimen de alquiler, montaje y desmontaje, mantenimiento, servicio técnico y transporte de infraestructura necesaria para el pabellón de Inpacsa para las actividades previstas durante los días 28 de diciembre de 2025 al 5 de enero de 2026 por Cosmolúdic, el salón de la infancia de Navidad de Balaguer. LOTE 1 Suministro, en régimen de alquiler, transporte, montaje y desmontaje del resto de infraestructura necesaria para el desarrollo de las actividades y talleres. LOTE 2 Suministro, en régimen de alquiler, transporte, montaje y desmontaje de estructuras Truss aluminio, dados aluminio y bases metálicas. LOTE 3 Suministro, en régimen de alquiler, transporte, montaje y desmontaje de la iluminación, conexiones eléctricas, climatización y servicio técnico necesario en el pabellón Inpacsa. LOTE 4 Colocación moqueta ferial y moqueta imitación césped artificial de las pistas deportivas.</x:t>
  </x:si>
  <x:si>
    <x:t>1237/2025</x:t>
  </x:si>
  <x:si>
    <x:t>Importe sin impuestos</x:t>
  </x:si>
  <x:si>
    <x:t/>
  </x:si>
  <x:si>
    <x:t>-----</x:t>
  </x:si>
  <x:si>
    <x:t>24/11/2025</x:t>
  </x:si>
  <x:si>
    <x:t/>
  </x:si>
  <x:si>
    <x:t>Lleida</x:t>
  </x:si>
  <x:si>
    <x:t>2025167752</x:t>
  </x:si>
  <x:si>
    <x:t>AGENCIA CATALANA DE TURISMO</x:t>
  </x:si>
  <x:si>
    <x:t>Servicio de producción y elaboración de materiales digitales audiovisuales y fotográficos de turismo enogastronómico para el desarrollo de campañas de marketing para redes sociales, en el marco del Plan de Recuperación, Transformación y Resiliencia, financiado por la Unión Europea con los fondos Next Generation EU. El objeto del contrato deriva del proyecto estatal Plan Territorial de Sostenibilidad Turística y, en concreto, de la Actuación de Cohesión entre Destinos (ACD) “Cataluña, Tierra de sabores”, aprobado dentro del Plan de Recuperación, Transformación y Resiliencia, financiado por la Unión Europea en el marco de los fondos Next Generation EU, para la consecución digitalización del tejido industrial y de la pyme, recuperación del turismo e impulso en una España nación emprendedora" y, concretamente en el Componente 14 "Plan de modernización y competitividad del sector turístico", Inversión 1 "Transformación del modelo hacia la sostenibilidad". Se enmarca en el Plan Nacional de Turismo Enogastronómico y pretende definir un modelo de turismo enogastronómico regenerativo, slow e innovador, que permita promover Cataluña como destino turístico con identidad estructurando una oferta de valor que sea atractiva, competitiva y se base en el modelo 4D (desestacionalización, diversificación, descongestión y gasto) y. La actuación de la ACD Terra de Sabors que enmarca el objeto del contrato es la 16. Materiales digitales. Esta licitación se divide en los siguientes lotes: - Lote 1: Producción de microcápsulas de vídeo de turismo enogastronómico. - Lote 2: Producción de fotografías de turismo enogastronómico.</x:t>
  </x:si>
  <x:si>
    <x:t>ACT-2026-5</x:t>
  </x:si>
  <x:si>
    <x:t/>
  </x:si>
  <x:si>
    <x:t>Catalunya</x:t>
  </x:si>
  <x:si>
    <x:t>29/12/2025</x:t>
  </x:si>
  <x:si>
    <x:t>2025167783</x:t>
  </x:si>
  <x:si>
    <x:t>AYUNTAMIENTO DE GRANOLLERS (BARCELONA)</x:t>
  </x:si>
  <x:si>
    <x:t>Servicio de gestión, organización, coordinación y ejecución del XVIII congreso internacional ciudades educadoras.</x:t>
  </x:si>
  <x:si>
    <x:t>2025/112 (105/2025/CONT)</x:t>
  </x:si>
  <x:si>
    <x:t/>
  </x:si>
  <x:si>
    <x:t>Barcelona</x:t>
  </x:si>
  <x:si>
    <x:t>19/12/2025</x:t>
  </x:si>
  <x:si>
    <x:t>2025167789</x:t>
  </x:si>
  <x:si>
    <x:t>GENERALITAT DE CATALUNYA. DEPARTAMENTO DE INTERIOR Y SEGURIDAD PÚBLICA</x:t>
  </x:si>
  <x:si>
    <x:t>Servicios de confección, corrección e impresión de pruebas, tratamiento de los resultados de las pruebas y de aportación de profesionales de la psicología para realizar las entrevistas de las convocatorias de acceso a la categoría de mozo/a del cuerpo de mozos de escuadra que se realizarán durante el año 2026 distribuido en 3 lotes. Lote 1 Tercera prueba de la convocatoria número de registro 46/25. Adecuación psicoprofesional: Test de competencias. Lote 2 Primera prueba de la convocatoria con número de registro 46/26: subprueba conocimientos y subprueba aptitudinal. Lote 3 Aportación de profesionales de la psicología para la realización de las entrevistas de la convocatoria de acceso a la categoría mozo/a del cuerpo de Mossos d'Esquadra de la convocatoria número de registro 46/25.</x:t>
  </x:si>
  <x:si>
    <x:t>IT-2026-48</x:t>
  </x:si>
  <x:si>
    <x:t/>
  </x:si>
  <x:si>
    <x:t>2025167800</x:t>
  </x:si>
  <x:si>
    <x:t>DIRECCIÓN DE LA FUNDACIÓN ICO</x:t>
  </x:si>
  <x:si>
    <x:t>El presente pliego tiene por objeto la contratación del servicio de montaje y desmontaje de la exposición Transitar el siglo XX. Dibujo y escultura en las Colecciones ICO, formada por 45 dibujos y 34 esculturas de mediano y gran formato.</x:t>
  </x:si>
  <x:si>
    <x:t>34/2025</x:t>
  </x:si>
  <x:si>
    <x:t/>
  </x:si>
  <x:si>
    <x:t>Madrid</x:t>
  </x:si>
  <x:si>
    <x:t>24/12/2025</x:t>
  </x:si>
  <x:si>
    <x:t>2025167883</x:t>
  </x:si>
  <x:si>
    <x:t>INSTITUT BARCELONA ESPORTS</x:t>
  </x:si>
  <x:si>
    <x:t>Diseño, organización, producción y dirección de la Gala de presentación oficial de los equipos del Grand Départ Barcelona 2026.</x:t>
  </x:si>
  <x:si>
    <x:t>032_25000210</x:t>
  </x:si>
  <x:si>
    <x:t/>
  </x:si>
  <x:si>
    <x:t>05/12/2025</x:t>
  </x:si>
  <x:si>
    <x:t>2025167953</x:t>
  </x:si>
  <x:si>
    <x:t>DIRECCIÓN DE COMPRAS DE LA CORPORACIÓN DE RADIO Y TELEVISIÓN ESPAÑOLA S.A</x:t>
  </x:si>
  <x:si>
    <x:t>Sistema de transmisión de streaming de vídeo para RNE.</x:t>
  </x:si>
  <x:si>
    <x:t>S-05428-2025</x:t>
  </x:si>
  <x:si>
    <x:t/>
  </x:si>
  <x:si>
    <x:t>Catalunya - Plataforma de Contratación</x:t>
  </x:si>
  <x:si>
    <x:t>27/11/2025</x:t>
  </x:si>
  <x:si>
    <x:t>2025168123</x:t>
  </x:si>
  <x:si>
    <x:t>AYUNTAMIENTO DE VILAFRANCA DEL PENEDÈS (BARCELONA). COMERCIO</x:t>
  </x:si>
  <x:si>
    <x:t>Estudios de opinión y valoración de la Campaña de Navidad 2025-2026 al público objetivo y establecimientos comerciales del centro</x:t>
  </x:si>
  <x:si>
    <x:t>1254/2025/1411</x:t>
  </x:si>
  <x:si>
    <x:t>IVA excluido</x:t>
  </x:si>
  <x:si>
    <x:t/>
  </x:si>
  <x:si>
    <x:t/>
  </x:si>
  <x:si>
    <x:t>28/11/2025</x:t>
  </x:si>
  <x:si>
    <x:t>2025168128</x:t>
  </x:si>
  <x:si>
    <x:t>AYUNTAMIENTO DE VILADECANS (BARCELONA)</x:t>
  </x:si>
  <x:si>
    <x:t>Contratación del servicio de diseño y producción de materiales de comunicación para la difusión del plan de acción integrado de Viladecans, elaborado en el marco del proyecto europeoNextGen YouthWork (Programa URBACT).</x:t>
  </x:si>
  <x:si>
    <x:t>170/2025/CMSERV2</x:t>
  </x:si>
  <x:si>
    <x:t/>
  </x:si>
  <x:si>
    <x:t/>
  </x:si>
  <x:si>
    <x:t>Barcelona. Perfil del Contratante del Ayuntamiento</x:t>
  </x:si>
  <x:si>
    <x:t>29/11/2025</x:t>
  </x:si>
  <x:si>
    <x:t>2025168147</x:t>
  </x:si>
  <x:si>
    <x:t>INSTITUTO DE CULTURA DE BARCELONA</x:t>
  </x:si>
  <x:si>
    <x:t>Servicio de soporte en el montaje y desmontaje en la programación de actividades del Museo Frederic Marès.</x:t>
  </x:si>
  <x:si>
    <x:t>006_P2501627</x:t>
  </x:si>
  <x:si>
    <x:t/>
  </x:si>
  <x:si>
    <x:t/>
  </x:si>
  <x:si>
    <x:t>Community.Vortal</x:t>
  </x:si>
  <x:si>
    <x:t>26/12/2025</x:t>
  </x:si>
  <x:si>
    <x:t>2025168164</x:t>
  </x:si>
  <x:si>
    <x:t>AYUNTAMIENTO DE GIJÓN (ASTURIAS)</x:t>
  </x:si>
  <x:si>
    <x:t>PRTR - Contratación mediante procedimiento abierto, por lotes, del contrato mixto de producciones audiovisuales e interactivas y equipamiento necesario para el Parque Arqueológico Natural de la Campa Torres, con varios criterios de adjudicación, en el marco del proyecto de rehabilitación y puesta en valor de los restos arqueológicos de las defensas y zona noroeste del Castro Campa Torres de Gijón (Asturias) con fines turísticos y culturales, que cuenta con financiación europea Nextgeneration UE, a través del Plan de Recuperación, Transformación y Resiliencia</x:t>
  </x:si>
  <x:si>
    <x:t>105171K/2025</x:t>
  </x:si>
  <x:si>
    <x:t/>
  </x:si>
  <x:si>
    <x:t/>
  </x:si>
  <x:si>
    <x:t>Asturias</x:t>
  </x:si>
  <x:si>
    <x:t>2025168184</x:t>
  </x:si>
  <x:si>
    <x:t>MINISTERIO DEL INTERIOR. SUBDIRECCIÓN GENERAL DE GESTIÓN ECONÓMICA Y PATRIMONIAL</x:t>
  </x:si>
  <x:si>
    <x:t>Servicio de producción audiovisual con destino a la Oficina de Comunicación del Ministerio del Interior</x:t>
  </x:si>
  <x:si>
    <x:t>00000025P065</x:t>
  </x:si>
  <x:si>
    <x:t>No consta</x:t>
  </x:si>
  <x:si>
    <x:t/>
  </x:si>
  <x:si>
    <x:t>11/12/2025</x:t>
  </x:si>
  <x:si>
    <x:t>2025168312</x:t>
  </x:si>
  <x:si>
    <x:t>AGÈNCIA PER A LA COMPETITIVITAT DE L'EMPRESA, ACCIÓ</x:t>
  </x:si>
  <x:si>
    <x:t>El objeto del contrato consiste en los servicios de diseño, construcción, montaje, desmontaje y supervisión del stand de la Generalitat de Catalunya en el 4YFN 2026, que se celebrará en la Feria de Barcelona del 2 al 5 de marzo de 2026.</x:t>
  </x:si>
  <x:si>
    <x:t>ACCIO-2026-18</x:t>
  </x:si>
  <x:si>
    <x:t/>
  </x:si>
  <x:si>
    <x:t>DOUE - Diario Oficial de la Unión Europea (S)</x:t>
  </x:si>
  <x:si>
    <x:t>2025168450</x:t>
  </x:si>
  <x:si>
    <x:t>Servicios de oficina técnica de la Dirección de Programas Culturales. Lote 1 Santa Eulalia – Llum BCN. Lote 2 Mon Llibre. Lote 3 Festivals Literaris. Lote 4 Festes de la Mercè. Lote 5 Biennal del Pensament. Lote 6 Cavalgata. Lote 7 Barcelona Festival de Navidad oficina de contractación artística. Lote 8 Navidad Plaça Catalunya oficina de producciónm i logística</x:t>
  </x:si>
  <x:si>
    <x:t>Anuncio de información previa</x:t>
  </x:si>
  <x:si>
    <x:t>225</x:t>
  </x:si>
  <x:si>
    <x:t>21/11/2025</x:t>
  </x:si>
  <x:si>
    <x:t/>
  </x:si>
  <x:si>
    <x:t>2025168458</x:t>
  </x:si>
  <x:si>
    <x:t>Contrato de servicio de oficina de producción técnica, artística y logísitica para la gestión de las actividades del diseño hub barcelona, con medidas de contratación pública sostenible</x:t>
  </x:si>
  <x:si>
    <x:t/>
  </x:si>
  <x:si>
    <x:t>226</x:t>
  </x:si>
  <x:si>
    <x:t/>
  </x:si>
</x:sst>
</file>

<file path=xl/styles.xml><?xml version="1.0" encoding="utf-8"?>
<styleSheet xmlns="http://schemas.openxmlformats.org/spreadsheetml/2006/main">
  <numFmts count="1">
    <numFmt numFmtId="164" formatCode="#,##0.00&quot; €&quot;;[Red]\-#,##0.00&quot; €&quot;"/>
  </numFmts>
  <fonts count="5">
    <font>
      <sz val="11"/>
      <name val="Calibri"/>
      <charset val="1"/>
    </font>
    <font>
      <sz val="10"/>
      <name val="Calibri"/>
      <family val="2"/>
      <charset val="1"/>
    </font>
    <font>
      <b/>
      <sz val="10"/>
      <color theme="0"/>
      <name val="Calibri"/>
      <family val="2"/>
      <charset val="1"/>
    </font>
    <font>
      <u/>
      <sz val="11"/>
      <color theme="10"/>
      <name val="Calibri"/>
      <charset val="1"/>
    </font>
    <font>
      <u/>
      <sz val="10"/>
      <color theme="10"/>
      <name val="Calibri"/>
      <family val="2"/>
      <charset val="1"/>
    </font>
  </fonts>
  <fills count="3">
    <fill>
      <patternFill patternType="none"/>
    </fill>
    <fill>
      <patternFill patternType="gray125"/>
    </fill>
    <fill>
      <patternFill patternType="solid">
        <fgColor theme="3"/>
        <bgColor rgb="FF003366"/>
      </patternFill>
    </fill>
  </fills>
  <borders count="3">
    <border>
      <left/>
      <right/>
      <top/>
      <bottom/>
      <diagonal/>
    </border>
    <border>
      <left/>
      <right/>
      <top/>
      <bottom style="thin">
        <color auto="1"/>
      </bottom>
      <diagonal/>
    </border>
    <border>
      <left/>
      <right/>
      <top style="thin">
        <color auto="1"/>
      </top>
      <bottom style="thin">
        <color auto="1"/>
      </bottom>
      <diagonal/>
    </border>
  </borders>
  <cellStyleXfs count="2">
    <xf numFmtId="0" fontId="0" fillId="0" borderId="0"/>
    <xf numFmtId="0" fontId="3" fillId="0" borderId="0" applyBorder="0" applyProtection="0"/>
  </cellStyleXfs>
  <cellXfs count="15">
    <xf numFmtId="0" fontId="0" fillId="0" borderId="0" xfId="0"/>
    <xf numFmtId="0" fontId="1" fillId="0" borderId="0" xfId="0" applyFont="1" applyAlignment="1" applyProtection="1">
      <alignment vertical="center" wrapText="1"/>
    </xf>
    <xf numFmtId="0" fontId="1" fillId="0" borderId="0" xfId="0" applyFont="1" applyAlignment="1" applyProtection="1">
      <alignment horizontal="center" vertical="center" wrapText="1"/>
    </xf>
    <xf numFmtId="0" fontId="1" fillId="0" borderId="0" xfId="0" applyFont="1" applyAlignment="1" applyProtection="1">
      <alignment vertical="center"/>
    </xf>
    <xf numFmtId="0" fontId="2" fillId="2" borderId="1" xfId="0" applyFont="1" applyFill="1" applyBorder="1" applyAlignment="1" applyProtection="1">
      <alignment horizontal="center" vertical="center" wrapText="1"/>
    </xf>
    <xf numFmtId="0" fontId="1" fillId="0" borderId="0" xfId="0" applyFont="1" applyAlignment="1" applyProtection="1">
      <alignment horizontal="center" vertical="center"/>
    </xf>
    <xf numFmtId="0" fontId="1" fillId="0" borderId="1" xfId="0" applyFont="1" applyBorder="1" applyAlignment="1" applyProtection="1">
      <alignment vertical="center" wrapText="1"/>
    </xf>
    <xf numFmtId="14" fontId="1" fillId="0" borderId="1" xfId="0" applyNumberFormat="1" applyFont="1" applyBorder="1" applyAlignment="1" applyProtection="1">
      <alignment horizontal="center" vertical="center" wrapText="1"/>
    </xf>
    <xf numFmtId="0" fontId="1" fillId="0" borderId="1" xfId="0" applyFont="1" applyBorder="1" applyAlignment="1" applyProtection="1">
      <alignment horizontal="center" vertical="center" wrapText="1"/>
    </xf>
    <xf numFmtId="14" fontId="1" fillId="0" borderId="1" xfId="0" applyNumberFormat="1" applyFont="1" applyBorder="1" applyAlignment="1" applyProtection="1">
      <alignment vertical="center" wrapText="1"/>
    </xf>
    <xf numFmtId="164" fontId="1" fillId="0" borderId="2" xfId="0" applyNumberFormat="1" applyFont="1" applyBorder="1" applyAlignment="1" applyProtection="1">
      <alignment vertical="center" wrapText="1"/>
    </xf>
    <xf numFmtId="0" fontId="1" fillId="0" borderId="2" xfId="0" applyFont="1" applyBorder="1" applyAlignment="1" applyProtection="1">
      <alignment vertical="center" wrapText="1"/>
    </xf>
    <xf numFmtId="0" fontId="4" fillId="0" borderId="2" xfId="1" applyFont="1" applyBorder="1" applyAlignment="1" applyProtection="1">
      <alignment vertical="center" wrapText="1"/>
    </xf>
    <xf numFmtId="14" fontId="1" fillId="0" borderId="2" xfId="0" applyNumberFormat="1" applyFont="1" applyBorder="1" applyAlignment="1" applyProtection="1">
      <alignment vertical="center" wrapText="1"/>
    </xf>
    <xf numFmtId="0" fontId="4" fillId="0" borderId="1" xfId="1" applyFont="1" applyBorder="1" applyAlignment="1" applyProtection="1">
      <alignment vertical="center" wrapText="1"/>
    </xf>
  </cellXfs>
  <cellStyles count="2">
    <cellStyle name="Hipervínculo" xfId="1" builtinId="8"/>
    <cellStyle name="Normal" xfId="0" builtinId="0"/>
  </cellStyles>
  <dxfs count="0"/>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97D"/>
      <rgbColor rgb="FF333333"/>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dimension ref="A1:Q2"/>
  <x:sheetViews>
    <x:sheetView showGridLines="0" tabSelected="1" zoomScaleNormal="100" workbookViewId="0">
      <x:selection sqref="A1:XFD1"/>
    </x:sheetView>
  </x:sheetViews>
  <x:sheetFormatPr baseColWidth="10" defaultColWidth="11.5703125" defaultRowHeight="12.75"/>
  <x:cols>
    <x:col min="1" max="1" width="8.5703125" style="1" customWidth="1"/>
    <x:col min="2" max="2" width="18.85546875" style="1" customWidth="1"/>
    <x:col min="3" max="3" width="19.140625" style="2" customWidth="1"/>
    <x:col min="4" max="4" width="11.140625" style="2" customWidth="1"/>
    <x:col min="5" max="5" width="14.85546875" style="1" hidden="1" customWidth="1"/>
    <x:col min="6" max="6" width="24.7109375" style="1" customWidth="1"/>
    <x:col min="7" max="7" width="57.42578125" style="1" customWidth="1"/>
    <x:col min="8" max="8" width="17.140625" style="1" customWidth="1"/>
    <x:col min="9" max="9" width="14.28515625" style="1" customWidth="1"/>
    <x:col min="10" max="10" width="16.85546875" style="1" hidden="1" customWidth="1"/>
    <x:col min="11" max="11" width="19.42578125" style="1" hidden="1" customWidth="1"/>
    <x:col min="12" max="12" width="33.85546875" style="1" customWidth="1"/>
    <x:col min="13" max="13" width="15.85546875" style="1" hidden="1" customWidth="1"/>
    <x:col min="14" max="14" width="13.85546875" style="1" hidden="1" customWidth="1"/>
    <x:col min="15" max="15" width="11.7109375" style="1" hidden="1" customWidth="1"/>
    <x:col min="16" max="16" width="17.140625" style="1" customWidth="1"/>
    <x:col min="17" max="17" width="29.7109375" style="1" customWidth="1"/>
    <x:col min="18" max="16384" width="11.5703125" style="3"/>
  </x:cols>
  <x:sheetData>
    <x:row r="1" spans="1:17" s="5" customFormat="1" ht="25.5">
      <x:c r="A1" s="4" t="s">
        <x:v>0</x:v>
      </x:c>
      <x:c r="B1" s="4" t="s">
        <x:v>1</x:v>
      </x:c>
      <x:c r="C1" s="4" t="s">
        <x:v>2</x:v>
      </x:c>
      <x:c r="D1" s="4" t="s">
        <x:v>3</x:v>
      </x:c>
      <x:c r="E1" s="4" t="s">
        <x:v>4</x:v>
      </x:c>
      <x:c r="F1" s="4" t="s">
        <x:v>5</x:v>
      </x:c>
      <x:c r="G1" s="4" t="s">
        <x:v>6</x:v>
      </x:c>
      <x:c r="H1" s="4" t="s">
        <x:v>7</x:v>
      </x:c>
      <x:c r="I1" s="4" t="s">
        <x:v>8</x:v>
      </x:c>
      <x:c r="J1" s="4" t="s">
        <x:v>9</x:v>
      </x:c>
      <x:c r="K1" s="4" t="s">
        <x:v>10</x:v>
      </x:c>
      <x:c r="L1" s="4" t="s">
        <x:v>11</x:v>
      </x:c>
      <x:c r="M1" s="4" t="s">
        <x:v>12</x:v>
      </x:c>
      <x:c r="N1" s="4" t="s">
        <x:v>13</x:v>
      </x:c>
      <x:c r="O1" s="4" t="s">
        <x:v>14</x:v>
      </x:c>
      <x:c r="P1" s="4" t="s">
        <x:v>15</x:v>
      </x:c>
      <x:c r="Q1" s="4" t="s">
        <x:v>16</x:v>
      </x:c>
    </x:row>
    <x:row r="2" spans="1:17">
      <x:c r="A2" s="6" t="s">
        <x:v>17</x:v>
      </x:c>
      <x:c r="B2" s="6" t="s">
        <x:v>18</x:v>
      </x:c>
      <x:c r="C2" s="7" t="s">
        <x:v>19</x:v>
      </x:c>
      <x:c r="D2" s="8" t="s">
        <x:v>20</x:v>
      </x:c>
      <x:c r="E2" s="9" t="s">
        <x:v>21</x:v>
      </x:c>
      <x:c r="F2" s="6" t="s">
        <x:v>22</x:v>
      </x:c>
      <x:c r="G2" s="6" t="s">
        <x:v>23</x:v>
      </x:c>
      <x:c r="H2" s="6" t="s">
        <x:v>24</x:v>
      </x:c>
      <x:c r="I2" s="10" t="n">
        <x:v>55000.00</x:v>
      </x:c>
      <x:c r="J2" s="11" t="s">
        <x:v>25</x:v>
      </x:c>
      <x:c r="K2" s="11" t="s">
        <x:v>26</x:v>
      </x:c>
      <x:c r="L2" s="12" t="str">
        <x:f xml:space="preserve">HYPERLINK("https://contractaciopublica.cat/ca/detall-publicacio/60fc3484-3007-404b-bb29-aafbce029035/300627888","contractaciopublica.cat/ca/detall-publicacio/60fc3484-3007-404b-bb29-aafbce029035/300627888")</x:f>
        <x:v>contractaciopublica.cat/ca/detall-publicacio/60fc3484-3007-404b-bb29-aafbce029035/300627888</x:v>
      </x:c>
      <x:c r="M2" s="11" t="s">
        <x:v>27</x:v>
      </x:c>
      <x:c r="N2" s="13" t="s">
        <x:v>28</x:v>
      </x:c>
      <x:c r="O2" s="11" t="s">
        <x:v>29</x:v>
      </x:c>
      <x:c r="P2" s="11" t="s">
        <x:v>30</x:v>
      </x:c>
      <x:c r="Q2" s="14" t="str">
        <x:f xml:space="preserve">HYPERLINK("https://www.infonalia.es/licitaciones1125/2025167748.pdf","www.infonalia.es/licitaciones1125/2025167748.pdf")</x:f>
        <x:v>www.infonalia.es/licitaciones1125/2025167748.pdf</x:v>
      </x:c>
    </x:row>
    <x:row r="3">
      <x:c r="A3" s="6" t="s">
        <x:v>17</x:v>
      </x:c>
      <x:c r="B3" s="6" t="s">
        <x:v>18</x:v>
      </x:c>
      <x:c r="C3" s="7" t="s">
        <x:v>19</x:v>
      </x:c>
      <x:c r="D3" s="8" t="s">
        <x:v>31</x:v>
      </x:c>
      <x:c r="E3" s="9" t="s">
        <x:v>21</x:v>
      </x:c>
      <x:c r="F3" s="6" t="s">
        <x:v>32</x:v>
      </x:c>
      <x:c r="G3" s="6" t="s">
        <x:v>33</x:v>
      </x:c>
      <x:c r="H3" s="6" t="s">
        <x:v>34</x:v>
      </x:c>
      <x:c r="I3" s="10" t="n">
        <x:v>101745.86</x:v>
      </x:c>
      <x:c r="J3" s="11" t="s">
        <x:v>25</x:v>
      </x:c>
      <x:c r="K3" s="11" t="s">
        <x:v>26</x:v>
      </x:c>
      <x:c r="L3" s="12" t="str">
        <x:f xml:space="preserve">HYPERLINK("https://contractaciopublica.cat/ca/detall-publicacio/b8158ee4-265a-416e-a4e8-51f23404d435/300627737","contractaciopublica.cat/ca/detall-publicacio/b8158ee4-265a-416e-a4e8-51f23404d435/300627737")</x:f>
        <x:v>contractaciopublica.cat/ca/detall-publicacio/b8158ee4-265a-416e-a4e8-51f23404d435/300627737</x:v>
      </x:c>
      <x:c r="M3" s="11" t="s">
        <x:v>27</x:v>
      </x:c>
      <x:c r="N3" s="13" t="s">
        <x:v>28</x:v>
      </x:c>
      <x:c r="O3" s="11" t="s">
        <x:v>35</x:v>
      </x:c>
      <x:c r="P3" s="11" t="s">
        <x:v>36</x:v>
      </x:c>
      <x:c r="Q3" s="14" t="str">
        <x:f xml:space="preserve">HYPERLINK("https://www.infonalia.es/licitaciones1125/2025167752.pdf","www.infonalia.es/licitaciones1125/2025167752.pdf")</x:f>
        <x:v>www.infonalia.es/licitaciones1125/2025167752.pdf</x:v>
      </x:c>
    </x:row>
    <x:row r="4">
      <x:c r="A4" s="6" t="s">
        <x:v>17</x:v>
      </x:c>
      <x:c r="B4" s="6" t="s">
        <x:v>18</x:v>
      </x:c>
      <x:c r="C4" s="7" t="s">
        <x:v>37</x:v>
      </x:c>
      <x:c r="D4" s="8" t="s">
        <x:v>38</x:v>
      </x:c>
      <x:c r="E4" s="9" t="s">
        <x:v>21</x:v>
      </x:c>
      <x:c r="F4" s="6" t="s">
        <x:v>39</x:v>
      </x:c>
      <x:c r="G4" s="6" t="s">
        <x:v>40</x:v>
      </x:c>
      <x:c r="H4" s="6" t="s">
        <x:v>41</x:v>
      </x:c>
      <x:c r="I4" s="10" t="n">
        <x:v>534438.00</x:v>
      </x:c>
      <x:c r="J4" s="11" t="s">
        <x:v>25</x:v>
      </x:c>
      <x:c r="K4" s="11" t="s">
        <x:v>26</x:v>
      </x:c>
      <x:c r="L4" s="12" t="str">
        <x:f xml:space="preserve">HYPERLINK("https://contractaciopublica.cat/ca/detall-publicacio/6754e148-477b-42a5-86c1-f7bbb2996d2f/300627522","contractaciopublica.cat/ca/detall-publicacio/6754e148-477b-42a5-86c1-f7bbb2996d2f/300627522")</x:f>
        <x:v>contractaciopublica.cat/ca/detall-publicacio/6754e148-477b-42a5-86c1-f7bbb2996d2f/300627522</x:v>
      </x:c>
      <x:c r="M4" s="11" t="s">
        <x:v>27</x:v>
      </x:c>
      <x:c r="N4" s="13" t="s">
        <x:v>28</x:v>
      </x:c>
      <x:c r="O4" s="11" t="s">
        <x:v>42</x:v>
      </x:c>
      <x:c r="P4" s="11" t="s">
        <x:v>43</x:v>
      </x:c>
      <x:c r="Q4" s="14" t="str">
        <x:f xml:space="preserve">HYPERLINK("https://www.infonalia.es/licitaciones1125/2025167783.pdf","www.infonalia.es/licitaciones1125/2025167783.pdf")</x:f>
        <x:v>www.infonalia.es/licitaciones1125/2025167783.pdf</x:v>
      </x:c>
    </x:row>
    <x:row r="5">
      <x:c r="A5" s="6" t="s">
        <x:v>17</x:v>
      </x:c>
      <x:c r="B5" s="6" t="s">
        <x:v>18</x:v>
      </x:c>
      <x:c r="C5" s="7" t="s">
        <x:v>44</x:v>
      </x:c>
      <x:c r="D5" s="8" t="s">
        <x:v>45</x:v>
      </x:c>
      <x:c r="E5" s="9" t="s">
        <x:v>21</x:v>
      </x:c>
      <x:c r="F5" s="6" t="s">
        <x:v>46</x:v>
      </x:c>
      <x:c r="G5" s="6" t="s">
        <x:v>47</x:v>
      </x:c>
      <x:c r="H5" s="6" t="s">
        <x:v>48</x:v>
      </x:c>
      <x:c r="I5" s="10" t="n">
        <x:v>1365485.00</x:v>
      </x:c>
      <x:c r="J5" s="11" t="s">
        <x:v>25</x:v>
      </x:c>
      <x:c r="K5" s="11" t="s">
        <x:v>26</x:v>
      </x:c>
      <x:c r="L5" s="12" t="str">
        <x:f xml:space="preserve">HYPERLINK("https://contractaciopublica.cat/ca/detall-publicacio/dd1f3e75-d91b-4ee0-8993-23a05f5e6009/300627204","contractaciopublica.cat/ca/detall-publicacio/dd1f3e75-d91b-4ee0-8993-23a05f5e6009/300627204")</x:f>
        <x:v>contractaciopublica.cat/ca/detall-publicacio/dd1f3e75-d91b-4ee0-8993-23a05f5e6009/300627204</x:v>
      </x:c>
      <x:c r="M5" s="11" t="s">
        <x:v>27</x:v>
      </x:c>
      <x:c r="N5" s="13" t="s">
        <x:v>28</x:v>
      </x:c>
      <x:c r="O5" s="11" t="s">
        <x:v>49</x:v>
      </x:c>
      <x:c r="P5" s="11" t="s">
        <x:v>36</x:v>
      </x:c>
      <x:c r="Q5" s="14" t="str">
        <x:f xml:space="preserve">HYPERLINK("https://www.infonalia.es/licitaciones1125/2025167789.pdf","www.infonalia.es/licitaciones1125/2025167789.pdf")</x:f>
        <x:v>www.infonalia.es/licitaciones1125/2025167789.pdf</x:v>
      </x:c>
    </x:row>
    <x:row r="6">
      <x:c r="A6" s="6" t="s">
        <x:v>17</x:v>
      </x:c>
      <x:c r="B6" s="6" t="s">
        <x:v>18</x:v>
      </x:c>
      <x:c r="C6" s="7" t="s">
        <x:v>19</x:v>
      </x:c>
      <x:c r="D6" s="8" t="s">
        <x:v>50</x:v>
      </x:c>
      <x:c r="E6" s="9" t="s">
        <x:v>21</x:v>
      </x:c>
      <x:c r="F6" s="6" t="s">
        <x:v>51</x:v>
      </x:c>
      <x:c r="G6" s="6" t="s">
        <x:v>52</x:v>
      </x:c>
      <x:c r="H6" s="6" t="s">
        <x:v>53</x:v>
      </x:c>
      <x:c r="I6" s="10" t="n">
        <x:v>90000.00</x:v>
      </x:c>
      <x:c r="J6" s="11" t="s">
        <x:v>25</x:v>
      </x:c>
      <x:c r="K6" s="11" t="s">
        <x:v>26</x:v>
      </x:c>
      <x:c r="L6" s="12" t="str">
        <x:f xml:space="preserve">HYPERLINK("https://contrataciondelestado.es/wps/poc?uri=deeplink:detalle_licitacion&amp;idEvl=XJevv9XjCjaP%2Bo96UAV7cQ%3D%3D","contrataciondelestado.es/wps/poc?uri=deeplink:detalle_licitacion&amp;idEvl=XJevv9XjCjaP%2Bo96UAV7cQ%3D%3D")</x:f>
        <x:v>contrataciondelestado.es/wps/poc?uri=deeplink:detalle_licitacion&amp;idEvl=XJevv9XjCjaP%2Bo96UAV7cQ%3D%3D</x:v>
      </x:c>
      <x:c r="M6" s="11" t="s">
        <x:v>27</x:v>
      </x:c>
      <x:c r="N6" s="13" t="s">
        <x:v>28</x:v>
      </x:c>
      <x:c r="O6" s="11" t="s">
        <x:v>54</x:v>
      </x:c>
      <x:c r="P6" s="11" t="s">
        <x:v>55</x:v>
      </x:c>
      <x:c r="Q6" s="14" t="str">
        <x:f xml:space="preserve">HYPERLINK("https://www.infonalia.es/licitaciones1125/2025167800.pdf","www.infonalia.es/licitaciones1125/2025167800.pdf")</x:f>
        <x:v>www.infonalia.es/licitaciones1125/2025167800.pdf</x:v>
      </x:c>
    </x:row>
    <x:row r="7">
      <x:c r="A7" s="6" t="s">
        <x:v>17</x:v>
      </x:c>
      <x:c r="B7" s="6" t="s">
        <x:v>18</x:v>
      </x:c>
      <x:c r="C7" s="7" t="s">
        <x:v>56</x:v>
      </x:c>
      <x:c r="D7" s="8" t="s">
        <x:v>57</x:v>
      </x:c>
      <x:c r="E7" s="9" t="s">
        <x:v>21</x:v>
      </x:c>
      <x:c r="F7" s="6" t="s">
        <x:v>58</x:v>
      </x:c>
      <x:c r="G7" s="6" t="s">
        <x:v>59</x:v>
      </x:c>
      <x:c r="H7" s="6" t="s">
        <x:v>60</x:v>
      </x:c>
      <x:c r="I7" s="10" t="n">
        <x:v>446153.72</x:v>
      </x:c>
      <x:c r="J7" s="11" t="s">
        <x:v>25</x:v>
      </x:c>
      <x:c r="K7" s="11" t="s">
        <x:v>26</x:v>
      </x:c>
      <x:c r="L7" s="12" t="str">
        <x:f xml:space="preserve">HYPERLINK("https://contractaciopublica.cat/ca/detall-publicacio/435cbe1a-411f-41b3-acc0-f567b4b56a48/300627370","contractaciopublica.cat/ca/detall-publicacio/435cbe1a-411f-41b3-acc0-f567b4b56a48/300627370")</x:f>
        <x:v>contractaciopublica.cat/ca/detall-publicacio/435cbe1a-411f-41b3-acc0-f567b4b56a48/300627370</x:v>
      </x:c>
      <x:c r="M7" s="11" t="s">
        <x:v>27</x:v>
      </x:c>
      <x:c r="N7" s="13" t="s">
        <x:v>28</x:v>
      </x:c>
      <x:c r="O7" s="11" t="s">
        <x:v>61</x:v>
      </x:c>
      <x:c r="P7" s="11" t="s">
        <x:v>43</x:v>
      </x:c>
      <x:c r="Q7" s="14" t="str">
        <x:f xml:space="preserve">HYPERLINK("https://www.infonalia.es/licitaciones1125/2025167883.pdf","www.infonalia.es/licitaciones1125/2025167883.pdf")</x:f>
        <x:v>www.infonalia.es/licitaciones1125/2025167883.pdf</x:v>
      </x:c>
    </x:row>
    <x:row r="8">
      <x:c r="A8" s="6" t="s">
        <x:v>17</x:v>
      </x:c>
      <x:c r="B8" s="6" t="s">
        <x:v>18</x:v>
      </x:c>
      <x:c r="C8" s="7" t="s">
        <x:v>62</x:v>
      </x:c>
      <x:c r="D8" s="8" t="s">
        <x:v>63</x:v>
      </x:c>
      <x:c r="E8" s="9" t="s">
        <x:v>21</x:v>
      </x:c>
      <x:c r="F8" s="6" t="s">
        <x:v>64</x:v>
      </x:c>
      <x:c r="G8" s="6" t="s">
        <x:v>65</x:v>
      </x:c>
      <x:c r="H8" s="6" t="s">
        <x:v>66</x:v>
      </x:c>
      <x:c r="I8" s="10" t="n">
        <x:v>21581.00</x:v>
      </x:c>
      <x:c r="J8" s="11" t="s">
        <x:v>25</x:v>
      </x:c>
      <x:c r="K8" s="11" t="s">
        <x:v>26</x:v>
      </x:c>
      <x:c r="L8" s="12" t="str">
        <x:f xml:space="preserve">HYPERLINK("https://contrataciondelestado.es/wps/poc?uri=deeplink:detalle_licitacion&amp;idEvl=c6uCytkFcMa8ebB%2FXTwy0A%3D%3D","contrataciondelestado.es/wps/poc?uri=deeplink:detalle_licitacion&amp;idEvl=c6uCytkFcMa8ebB%2FXTwy0A%3D%3D")</x:f>
        <x:v>contrataciondelestado.es/wps/poc?uri=deeplink:detalle_licitacion&amp;idEvl=c6uCytkFcMa8ebB%2FXTwy0A%3D%3D</x:v>
      </x:c>
      <x:c r="M8" s="11" t="s">
        <x:v>27</x:v>
      </x:c>
      <x:c r="N8" s="13" t="s">
        <x:v>28</x:v>
      </x:c>
      <x:c r="O8" s="11" t="s">
        <x:v>67</x:v>
      </x:c>
      <x:c r="P8" s="11" t="s">
        <x:v>55</x:v>
      </x:c>
      <x:c r="Q8" s="14" t="str">
        <x:f xml:space="preserve">HYPERLINK("https://www.infonalia.es/licitaciones1125/2025167953.pdf","www.infonalia.es/licitaciones1125/2025167953.pdf")</x:f>
        <x:v>www.infonalia.es/licitaciones1125/2025167953.pdf</x:v>
      </x:c>
    </x:row>
    <x:row r="9">
      <x:c r="A9" s="6" t="s">
        <x:v>17</x:v>
      </x:c>
      <x:c r="B9" s="6" t="s">
        <x:v>68</x:v>
      </x:c>
      <x:c r="C9" s="7" t="s">
        <x:v>69</x:v>
      </x:c>
      <x:c r="D9" s="8" t="s">
        <x:v>70</x:v>
      </x:c>
      <x:c r="E9" s="9" t="s">
        <x:v>21</x:v>
      </x:c>
      <x:c r="F9" s="6" t="s">
        <x:v>71</x:v>
      </x:c>
      <x:c r="G9" s="6" t="s">
        <x:v>72</x:v>
      </x:c>
      <x:c r="H9" s="6" t="s">
        <x:v>73</x:v>
      </x:c>
      <x:c r="I9" s="10" t="n">
        <x:v>2300.00</x:v>
      </x:c>
      <x:c r="J9" s="11" t="s">
        <x:v>74</x:v>
      </x:c>
      <x:c r="K9" s="11" t="s">
        <x:v>75</x:v>
      </x:c>
      <x:c r="L9" s="12" t="str">
        <x:f xml:space="preserve">HYPERLINK("https://contractaciopublica.cat/es/detall-publicacio/300627395","contractaciopublica.cat/es/detall-publicacio/300627395")</x:f>
        <x:v>contractaciopublica.cat/es/detall-publicacio/300627395</x:v>
      </x:c>
      <x:c r="M9" s="11" t="s">
        <x:v>27</x:v>
      </x:c>
      <x:c r="N9" s="13" t="s">
        <x:v>28</x:v>
      </x:c>
      <x:c r="O9" s="11" t="s">
        <x:v>76</x:v>
      </x:c>
      <x:c r="P9" s="11" t="s">
        <x:v>43</x:v>
      </x:c>
      <x:c r="Q9" s="14" t="str">
        <x:f xml:space="preserve">HYPERLINK("https://www.infonalia.es/licitaciones1125/2025168123.pdf","www.infonalia.es/licitaciones1125/2025168123.pdf")</x:f>
        <x:v>www.infonalia.es/licitaciones1125/2025168123.pdf</x:v>
      </x:c>
    </x:row>
    <x:row r="10">
      <x:c r="A10" s="6" t="s">
        <x:v>17</x:v>
      </x:c>
      <x:c r="B10" s="6" t="s">
        <x:v>68</x:v>
      </x:c>
      <x:c r="C10" s="7" t="s">
        <x:v>77</x:v>
      </x:c>
      <x:c r="D10" s="8" t="s">
        <x:v>78</x:v>
      </x:c>
      <x:c r="E10" s="9" t="s">
        <x:v>21</x:v>
      </x:c>
      <x:c r="F10" s="6" t="s">
        <x:v>79</x:v>
      </x:c>
      <x:c r="G10" s="6" t="s">
        <x:v>80</x:v>
      </x:c>
      <x:c r="H10" s="6" t="s">
        <x:v>81</x:v>
      </x:c>
      <x:c r="I10" s="10" t="n">
        <x:v>4958.68</x:v>
      </x:c>
      <x:c r="J10" s="11" t="s">
        <x:v>74</x:v>
      </x:c>
      <x:c r="K10" s="11" t="s">
        <x:v>82</x:v>
      </x:c>
      <x:c r="L10" s="12" t="str">
        <x:f xml:space="preserve">HYPERLINK("https://contractaciopublica.cat/es/detall-publicacio/300626973","contractaciopublica.cat/es/detall-publicacio/300626973")</x:f>
        <x:v>contractaciopublica.cat/es/detall-publicacio/300626973</x:v>
      </x:c>
      <x:c r="M10" s="11" t="s">
        <x:v>27</x:v>
      </x:c>
      <x:c r="N10" s="13" t="s">
        <x:v>28</x:v>
      </x:c>
      <x:c r="O10" s="11" t="s">
        <x:v>83</x:v>
      </x:c>
      <x:c r="P10" s="11" t="s">
        <x:v>43</x:v>
      </x:c>
      <x:c r="Q10" s="14" t="str">
        <x:f xml:space="preserve">HYPERLINK("https://www.infonalia.es/licitaciones1125/2025168128.pdf","www.infonalia.es/licitaciones1125/2025168128.pdf")</x:f>
        <x:v>www.infonalia.es/licitaciones1125/2025168128.pdf</x:v>
      </x:c>
    </x:row>
    <x:row r="11">
      <x:c r="A11" s="6" t="s">
        <x:v>17</x:v>
      </x:c>
      <x:c r="B11" s="6" t="s">
        <x:v>84</x:v>
      </x:c>
      <x:c r="C11" s="7" t="s">
        <x:v>85</x:v>
      </x:c>
      <x:c r="D11" s="8" t="s">
        <x:v>86</x:v>
      </x:c>
      <x:c r="E11" s="9" t="s">
        <x:v>21</x:v>
      </x:c>
      <x:c r="F11" s="6" t="s">
        <x:v>87</x:v>
      </x:c>
      <x:c r="G11" s="6" t="s">
        <x:v>88</x:v>
      </x:c>
      <x:c r="H11" s="6" t="s">
        <x:v>89</x:v>
      </x:c>
      <x:c r="I11" s="10" t="n">
        <x:v>2400.00</x:v>
      </x:c>
      <x:c r="J11" s="11" t="s">
        <x:v>25</x:v>
      </x:c>
      <x:c r="K11" s="11" t="s">
        <x:v>90</x:v>
      </x:c>
      <x:c r="L11" s="12" t="str">
        <x:f xml:space="preserve">HYPERLINK("https://licitacions.bcn.cat/licitacion/licitaciones/detalle?id=13618734","licitacions.bcn.cat/licitacion/licitaciones/detalle?id=13618734")</x:f>
        <x:v>licitacions.bcn.cat/licitacion/licitaciones/detalle?id=13618734</x:v>
      </x:c>
      <x:c r="M11" s="11" t="s">
        <x:v>27</x:v>
      </x:c>
      <x:c r="N11" s="13" t="s">
        <x:v>28</x:v>
      </x:c>
      <x:c r="O11" s="11" t="s">
        <x:v>91</x:v>
      </x:c>
      <x:c r="P11" s="11" t="s">
        <x:v>43</x:v>
      </x:c>
      <x:c r="Q11" s="14" t="str">
        <x:f xml:space="preserve">HYPERLINK("https://www.infonalia.es/licitaciones1125/2025168147.pdf","www.infonalia.es/licitaciones1125/2025168147.pdf")</x:f>
        <x:v>www.infonalia.es/licitaciones1125/2025168147.pdf</x:v>
      </x:c>
    </x:row>
    <x:row r="12">
      <x:c r="A12" s="6" t="s">
        <x:v>17</x:v>
      </x:c>
      <x:c r="B12" s="6" t="s">
        <x:v>92</x:v>
      </x:c>
      <x:c r="C12" s="7" t="s">
        <x:v>93</x:v>
      </x:c>
      <x:c r="D12" s="8" t="s">
        <x:v>94</x:v>
      </x:c>
      <x:c r="E12" s="9" t="s">
        <x:v>21</x:v>
      </x:c>
      <x:c r="F12" s="6" t="s">
        <x:v>95</x:v>
      </x:c>
      <x:c r="G12" s="6" t="s">
        <x:v>96</x:v>
      </x:c>
      <x:c r="H12" s="6" t="s">
        <x:v>97</x:v>
      </x:c>
      <x:c r="I12" s="10" t="n">
        <x:v>410573.95</x:v>
      </x:c>
      <x:c r="J12" s="11" t="s">
        <x:v>25</x:v>
      </x:c>
      <x:c r="K12" s="11" t="s">
        <x:v>98</x:v>
      </x:c>
      <x:c r="L12" s="12" t="str">
        <x:f xml:space="preserve">HYPERLINK("https://community.vortal.biz/public/?currentLanguage=es","community.vortal.biz/public/?currentLanguage=es")</x:f>
        <x:v>community.vortal.biz/public/?currentLanguage=es</x:v>
      </x:c>
      <x:c r="M12" s="11" t="s">
        <x:v>27</x:v>
      </x:c>
      <x:c r="N12" s="13" t="s">
        <x:v>28</x:v>
      </x:c>
      <x:c r="O12" s="11" t="s">
        <x:v>99</x:v>
      </x:c>
      <x:c r="P12" s="11" t="s">
        <x:v>100</x:v>
      </x:c>
      <x:c r="Q12" s="14" t="str">
        <x:f xml:space="preserve">HYPERLINK("https://www.infonalia.es/licitaciones1125/2025168164.pdf","www.infonalia.es/licitaciones1125/2025168164.pdf")</x:f>
        <x:v>www.infonalia.es/licitaciones1125/2025168164.pdf</x:v>
      </x:c>
    </x:row>
    <x:row r="13">
      <x:c r="A13" s="6" t="s">
        <x:v>17</x:v>
      </x:c>
      <x:c r="B13" s="6" t="s">
        <x:v>18</x:v>
      </x:c>
      <x:c r="C13" s="7" t="s">
        <x:v>26</x:v>
      </x:c>
      <x:c r="D13" s="8" t="s">
        <x:v>101</x:v>
      </x:c>
      <x:c r="E13" s="9" t="s">
        <x:v>21</x:v>
      </x:c>
      <x:c r="F13" s="6" t="s">
        <x:v>102</x:v>
      </x:c>
      <x:c r="G13" s="6" t="s">
        <x:v>103</x:v>
      </x:c>
      <x:c r="H13" s="6" t="s">
        <x:v>104</x:v>
      </x:c>
      <x:c r="I13" s="10" t="n">
        <x:v>209972.97</x:v>
      </x:c>
      <x:c r="J13" s="11" t="s">
        <x:v>25</x:v>
      </x:c>
      <x:c r="K13" s="11" t="s">
        <x:v>105</x:v>
      </x:c>
      <x:c r="L13" s="12" t="str">
        <x:f xml:space="preserve">HYPERLINK("https://contrataciondelestado.es/wps/poc?uri=deeplink:detalle_licitacion&amp;idEvl=Iz9Z0yeSBQd6nTs9LZ9RhQ%3D%3D","contrataciondelestado.es/wps/poc?uri=deeplink:detalle_licitacion&amp;idEvl=Iz9Z0yeSBQd6nTs9LZ9RhQ%3D%3D")</x:f>
        <x:v>contrataciondelestado.es/wps/poc?uri=deeplink:detalle_licitacion&amp;idEvl=Iz9Z0yeSBQd6nTs9LZ9RhQ%3D%3D</x:v>
      </x:c>
      <x:c r="M13" s="11" t="s">
        <x:v>27</x:v>
      </x:c>
      <x:c r="N13" s="13" t="s">
        <x:v>21</x:v>
      </x:c>
      <x:c r="O13" s="11" t="s">
        <x:v>106</x:v>
      </x:c>
      <x:c r="P13" s="11" t="s">
        <x:v>55</x:v>
      </x:c>
      <x:c r="Q13" s="14" t="str">
        <x:f xml:space="preserve">HYPERLINK("https://www.infonalia.es/licitaciones1125/2025168184.pdf","www.infonalia.es/licitaciones1125/2025168184.pdf")</x:f>
        <x:v>www.infonalia.es/licitaciones1125/2025168184.pdf</x:v>
      </x:c>
    </x:row>
    <x:row r="14">
      <x:c r="A14" s="6" t="s">
        <x:v>17</x:v>
      </x:c>
      <x:c r="B14" s="6" t="s">
        <x:v>18</x:v>
      </x:c>
      <x:c r="C14" s="7" t="s">
        <x:v>107</x:v>
      </x:c>
      <x:c r="D14" s="8" t="s">
        <x:v>108</x:v>
      </x:c>
      <x:c r="E14" s="9" t="s">
        <x:v>21</x:v>
      </x:c>
      <x:c r="F14" s="6" t="s">
        <x:v>109</x:v>
      </x:c>
      <x:c r="G14" s="6" t="s">
        <x:v>110</x:v>
      </x:c>
      <x:c r="H14" s="6" t="s">
        <x:v>111</x:v>
      </x:c>
      <x:c r="I14" s="10" t="n">
        <x:v>150000.00</x:v>
      </x:c>
      <x:c r="J14" s="11" t="s">
        <x:v>25</x:v>
      </x:c>
      <x:c r="K14" s="11" t="s">
        <x:v>26</x:v>
      </x:c>
      <x:c r="L14" s="12" t="str">
        <x:f xml:space="preserve">HYPERLINK("https://contractaciopublica.cat/ca/detall-publicacio/3aa7fe87-757d-4206-801a-daa6a5a6834d/300628056","contractaciopublica.cat/ca/detall-publicacio/3aa7fe87-757d-4206-801a-daa6a5a6834d/300628056")</x:f>
        <x:v>contractaciopublica.cat/ca/detall-publicacio/3aa7fe87-757d-4206-801a-daa6a5a6834d/300628056</x:v>
      </x:c>
      <x:c r="M14" s="11" t="s">
        <x:v>27</x:v>
      </x:c>
      <x:c r="N14" s="13" t="s">
        <x:v>21</x:v>
      </x:c>
      <x:c r="O14" s="11" t="s">
        <x:v>112</x:v>
      </x:c>
      <x:c r="P14" s="11" t="s">
        <x:v>43</x:v>
      </x:c>
      <x:c r="Q14" s="14" t="str">
        <x:f xml:space="preserve">HYPERLINK("https://www.infonalia.es/licitaciones1125/2025168312.pdf","www.infonalia.es/licitaciones1125/2025168312.pdf")</x:f>
        <x:v>www.infonalia.es/licitaciones1125/2025168312.pdf</x:v>
      </x:c>
    </x:row>
    <x:row r="15">
      <x:c r="A15" s="6" t="s">
        <x:v>17</x:v>
      </x:c>
      <x:c r="B15" s="6" t="s">
        <x:v>113</x:v>
      </x:c>
      <x:c r="C15" s="7" t="s">
        <x:v>26</x:v>
      </x:c>
      <x:c r="D15" s="8" t="s">
        <x:v>114</x:v>
      </x:c>
      <x:c r="E15" s="9" t="s">
        <x:v>21</x:v>
      </x:c>
      <x:c r="F15" s="6" t="s">
        <x:v>87</x:v>
      </x:c>
      <x:c r="G15" s="6" t="s">
        <x:v>115</x:v>
      </x:c>
      <x:c r="H15" s="6" t="s">
        <x:v>116</x:v>
      </x:c>
      <x:c r="I15" s="10"/>
      <x:c r="J15" s="11" t="s">
        <x:v>105</x:v>
      </x:c>
      <x:c r="K15" s="11" t="s">
        <x:v>105</x:v>
      </x:c>
      <x:c r="L15" s="12" t="str">
        <x:f xml:space="preserve">HYPERLINK("https://licitacions.bcn.cat/?language=es","licitacions.bcn.cat/?language=es")</x:f>
        <x:v>licitacions.bcn.cat/?language=es</x:v>
      </x:c>
      <x:c r="M15" s="11" t="s">
        <x:v>117</x:v>
      </x:c>
      <x:c r="N15" s="13" t="s">
        <x:v>118</x:v>
      </x:c>
      <x:c r="O15" s="11" t="s">
        <x:v>119</x:v>
      </x:c>
      <x:c r="P15" s="11" t="s">
        <x:v>43</x:v>
      </x:c>
      <x:c r="Q15" s="14" t="str">
        <x:f xml:space="preserve">HYPERLINK("https://www.infonalia.es/licitaciones1125/2025168450.pdf","www.infonalia.es/licitaciones1125/2025168450.pdf")</x:f>
        <x:v>www.infonalia.es/licitaciones1125/2025168450.pdf</x:v>
      </x:c>
    </x:row>
    <x:row r="16">
      <x:c r="A16" s="6" t="s">
        <x:v>17</x:v>
      </x:c>
      <x:c r="B16" s="6" t="s">
        <x:v>113</x:v>
      </x:c>
      <x:c r="C16" s="7" t="s">
        <x:v>56</x:v>
      </x:c>
      <x:c r="D16" s="8" t="s">
        <x:v>120</x:v>
      </x:c>
      <x:c r="E16" s="9" t="s">
        <x:v>21</x:v>
      </x:c>
      <x:c r="F16" s="6" t="s">
        <x:v>87</x:v>
      </x:c>
      <x:c r="G16" s="6" t="s">
        <x:v>121</x:v>
      </x:c>
      <x:c r="H16" s="6" t="s">
        <x:v>105</x:v>
      </x:c>
      <x:c r="I16" s="10"/>
      <x:c r="J16" s="11" t="s">
        <x:v>105</x:v>
      </x:c>
      <x:c r="K16" s="11" t="s">
        <x:v>122</x:v>
      </x:c>
      <x:c r="L16" s="12" t="str">
        <x:f xml:space="preserve">HYPERLINK("https://contractaciopublica.cat/ca/perfils-contractant/detall/BCNAjt?categoria=0","contractaciopublica.cat/ca/perfils-contractant/detall/BCNAjt?categoria=0")</x:f>
        <x:v>contractaciopublica.cat/ca/perfils-contractant/detall/BCNAjt?categoria=0</x:v>
      </x:c>
      <x:c r="M16" s="11" t="s">
        <x:v>123</x:v>
      </x:c>
      <x:c r="N16" s="13" t="s">
        <x:v>28</x:v>
      </x:c>
      <x:c r="O16" s="11" t="s">
        <x:v>124</x:v>
      </x:c>
      <x:c r="P16" s="11" t="s">
        <x:v>43</x:v>
      </x:c>
      <x:c r="Q16" s="14" t="str">
        <x:f xml:space="preserve">HYPERLINK("https://www.infonalia.es/licitaciones1125/2025168458.pdf","www.infonalia.es/licitaciones1125/2025168458.pdf")</x:f>
        <x:v>www.infonalia.es/licitaciones1125/2025168458.pdf</x:v>
      </x:c>
    </x:row>
  </x:sheetData>
  <x:autoFilter ref="A1:Q1"/>
  <x:pageMargins left="0.7" right="0.7" top="0.75" bottom="0.75" header="0.511811023622047" footer="0.511811023622047"/>
  <x:pageSetup paperSize="9" orientation="portrait" horizontalDpi="300" verticalDpi="300"/>
</x: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Licitaciones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direc</dc:creator>
  <dc:description/>
  <cp:lastModifiedBy>.</cp:lastModifiedBy>
  <cp:revision>2</cp:revision>
  <dcterms:created xsi:type="dcterms:W3CDTF">2024-12-04T08:39:24Z</dcterms:created>
  <dcterms:modified xsi:type="dcterms:W3CDTF">2025-01-20T07:55:14Z</dcterms:modified>
  <dc:language>es-ES</dc:language>
</cp:coreProperties>
</file>