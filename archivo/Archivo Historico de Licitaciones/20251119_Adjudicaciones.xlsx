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<x:sst xmlns:x="http://schemas.openxmlformats.org/spreadsheetml/2006/main" count="11" uniqueCount="11">
  <x:si>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</x:si>
  <x:si>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</x:si>
  <x:si>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</x:si>
  <x:si>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</x:si>
  <x:si>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</x:si>
  <x:si>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</x:si>
  <x:si>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</x:si>
  <x:si>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</x:si>
  <x:si>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</x:si>
  <x:si>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</x:si>
  <x:si>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</x:si>
  <x:si>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</x:si>
  <x:si>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SERVIS COMPLET, S.L</x:t>
  </x:si>
  <x:si>
    <x:t>19/11/2025 0:00:00</x:t>
  </x:si>
  <x:si>
    <x:t>25228170</x:t>
  </x:si>
  <x:si>
    <x:t>FUNDACIÓ PER A LA UNIVERSITAT OBERTA DE CATALUNYA</x:t>
  </x:si>
  <x:si>
    <x:t>Constituye el objeto de esta contratación la producción, rotulación, montaje, desmontaje, transporte y almacenamiento de los stands de la UOC para el Salón de la Enseñanza y el Futura. El objetivo principal de ambos stands es crear un espacio institucional y funcional en el que la UOC pueda: • Ofrecer información personalizada a los visitantes sobre su oferta formativa, los servicios disponibles y los elementos diferenciadores respecto a otras universidades. • Realizar actividades y/o talleres para dar a conocer la identidad y los valores de "somos UOC"</x:t>
  </x:si>
  <x:si>
    <x:t>OSE00025/2025</x:t>
  </x:si>
  <x:si>
    <x:t>Catalunya</x:t>
  </x:si>
  <x:si>
    <x:t>Ver detalle de la adjudicación</x:t>
  </x:si>
  <x:si>
    <x:t>LOTE 1 ARTEMAX EVENTOS SL </x:t>
  </x:si>
  <x:si>
    <x:t>25228394</x:t>
  </x:si>
  <x:si>
    <x:t>AYUNTAMIENTO DE CANOVELLES (BARCELONA)</x:t>
  </x:si>
  <x:si>
    <x:t>Servicios para la organización del Parque de Navidad, Campamento Real y la Cabalgata de Reyes en Canovelles. Lote 1 Actividades lúdicas y de ocio familiar para el público infantil, que se llevan a cabo días consecutivos (entre Navidad y Fin de Año), requieren montaje y desmontaje de espacios interiores, gestión de talleres y dinamización con equipos técnicos especializados. Lote 2 Actividades vinculadas a la festividad de Reyes con un alto componente ceremonial y escénico que puede requerir servicios de espectáculo, animación de calle, logística de carrozas, escenografía y figuración. (5 y 6 de enero).</x:t>
  </x:si>
  <x:si>
    <x:t>705/2025</x:t>
  </x:si>
  <x:si>
    <x:t>Barcelona</x:t>
  </x:si>
  <x:si>
    <x:t>LOTE 2 TUCAN MEDIA LAB SL</x:t>
  </x:si>
  <x:si>
    <x:t>25228406</x:t>
  </x:si>
  <x:si>
    <x:t>BIBLIOTECA DE CATALUNYA</x:t>
  </x:si>
  <x:si>
    <x:t>Servicio de digitalización de documentos sonoros de la Biblioteca de Catalunya. Lote 1. Cintas magnéticas audio en rodillo abierto. Lote 2. Cintas de vídeo formato no doméstico.</x:t>
  </x:si>
  <x:si>
    <x:t>BC-2025-146</x:t>
  </x:si>
  <x:si>
    <x:t>VOLANDO VENGO SL</x:t>
  </x:si>
  <x:si>
    <x:t>25228556</x:t>
  </x:si>
  <x:si>
    <x:t>MINISTERIO DE IGUALDAD. INSTITUTO DE LAS MUJERES</x:t>
  </x:si>
  <x:si>
    <x:t>SGP- SARA- Servicio de organización de actos institucionales del Instituto de las Mujeres</x:t>
  </x:si>
  <x:si>
    <x:t>010025CO0005</x:t>
  </x:si>
  <x:si>
    <x:t>Ver pliegos</x:t>
  </x:si>
  <x:si>
    <x:t>JOSEP - RAMON TAUSTE ÒDENA</x:t>
  </x:si>
  <x:si>
    <x:t>25228642</x:t>
  </x:si>
  <x:si>
    <x:t>EMPRESA MUNICIPAL DE TRANSPORTES DE MADRID, S.A.</x:t>
  </x:si>
  <x:si>
    <x:t>Suministro de maquetas de autobús</x:t>
  </x:si>
  <x:si>
    <x:t>25/092/2</x:t>
  </x:si>
  <x:si>
    <x:t>Madrid</x:t>
  </x:si>
  <x:si>
    <x:t>SOLUCION IDEAS CONSTRUCTIVAS</x:t>
  </x:si>
  <x:si>
    <x:t>25228665</x:t>
  </x:si>
  <x:si>
    <x:t>AENA. DIRECCIÓN DE CONTRATACIÓN</x:t>
  </x:si>
  <x:si>
    <x:t>Serviciode producción de ferias para Aena, S.M.E., S.A</x:t>
  </x:si>
  <x:si>
    <x:t>DCP-348/2025</x:t>
  </x:si>
  <x:si>
    <x:t>FORO DE DEBATE, S.L.U</x:t>
  </x:si>
  <x:si>
    <x:t>25228761</x:t>
  </x:si>
  <x:si>
    <x:t>COMUNIDAD DE MADRID. CONSEJERÍA DE MEDIO AMBIENTE, AGRICULTURA E INTERIOR CONSEJERÍA DE MEDIO AMBIENTE, AGRICULTURA E INTERIOR</x:t>
  </x:si>
  <x:si>
    <x:t>Contrato privado para el patrocinio publicitario del Congreso Internacional de Gastronomía Madrid Fusión 2026. </x:t>
  </x:si>
  <x:si>
    <x:t>P/SER-031034/2025</x:t>
  </x:si>
  <x:si>
    <x:t>FIRA INTERNACIONAL DE BARCELONA</x:t>
  </x:si>
  <x:si>
    <x:t>25228776</x:t>
  </x:si>
  <x:si>
    <x:t>ÀREA METROPOLITANA DE BARCELONA</x:t>
  </x:si>
  <x:si>
    <x:t>Contratación para la participación del AMB en la Feria Smart City Expo World Congress 2025 (ideación, diseño, producción, montaje y desmontaje del stand; servicios de electricidad, iluminación, audiovisuales e internet del stand)</x:t>
  </x:si>
  <x:si>
    <x:t>903301/25</x:t>
  </x:si>
  <x:si>
    <x:t>JRB GLOBAL INVESTMENT ADVISORY SL</x:t>
  </x:si>
  <x:si>
    <x:t>25229021</x:t>
  </x:si>
  <x:si>
    <x:t>Contrato de patrocinio de la IV Edición del foro de aviación y turismo Saf 2025: Unlocking Potential and Accelerating Transition</x:t>
  </x:si>
  <x:si>
    <x:t>DIE-501/2025</x:t>
  </x:si>
  <x:si>
    <x:t>WOMEN ACTION SUSTAINABILITY</x:t>
  </x:si>
  <x:si>
    <x:t>25229022</x:t>
  </x:si>
  <x:si>
    <x:t>Patrocinio Diamante - Women Action Sustainability (Was)</x:t>
  </x:si>
  <x:si>
    <x:t>DIE-460/2025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</x:si>
</x:sst>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HYPERLINK("https://www.infonalia.es/adjudicaciones1125/25228170.pdf","www.infonalia.es/adjudicaciones1125/25228170.pdf")</x:f>
        <x:v>www.infonalia.es/adjudicaciones1125/25228170.pdf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s">
        <x:v>19</x:v>
      </x:c>
      <x:c r="K2" s="9" t="n">
        <x:v>92000.00</x:v>
      </x:c>
    </x:row>
    <x:row r="3">
      <x:c r="A3" s="6" t="s">
        <x:v>11</x:v>
      </x:c>
      <x:c r="B3" s="6" t="s">
        <x:v>20</x:v>
      </x:c>
      <x:c r="C3" s="6" t="s">
        <x:v>13</x:v>
      </x:c>
      <x:c r="D3" s="7" t="str">
        <x:f xml:space="preserve">HYPERLINK("https://www.infonalia.es/adjudicaciones1125/25228394.pdf","www.infonalia.es/adjudicaciones1125/25228394.pdf")</x:f>
        <x:v>www.infonalia.es/adjudicaciones1125/25228394.pdf</x:v>
      </x:c>
      <x:c r="E3" s="8" t="s">
        <x:v>21</x:v>
      </x:c>
      <x:c r="F3" s="6" t="s">
        <x:v>22</x:v>
      </x:c>
      <x:c r="G3" s="6" t="s">
        <x:v>23</x:v>
      </x:c>
      <x:c r="H3" s="6" t="s">
        <x:v>24</x:v>
      </x:c>
      <x:c r="I3" s="6" t="s">
        <x:v>25</x:v>
      </x:c>
      <x:c r="J3" s="9" t="n">
        <x:v>14995.00</x:v>
      </x:c>
      <x:c r="K3" s="9" t="n">
        <x:v>54571.85</x:v>
      </x:c>
    </x:row>
    <x:row r="4">
      <x:c r="A4" s="6" t="s">
        <x:v>11</x:v>
      </x:c>
      <x:c r="B4" s="6" t="s">
        <x:v>26</x:v>
      </x:c>
      <x:c r="C4" s="6" t="s">
        <x:v>13</x:v>
      </x:c>
      <x:c r="D4" s="7" t="str">
        <x:f xml:space="preserve">HYPERLINK("https://www.infonalia.es/adjudicaciones1125/25228406.pdf","www.infonalia.es/adjudicaciones1125/25228406.pdf")</x:f>
        <x:v>www.infonalia.es/adjudicaciones1125/25228406.pdf</x:v>
      </x:c>
      <x:c r="E4" s="8" t="s">
        <x:v>27</x:v>
      </x:c>
      <x:c r="F4" s="6" t="s">
        <x:v>28</x:v>
      </x:c>
      <x:c r="G4" s="6" t="s">
        <x:v>29</x:v>
      </x:c>
      <x:c r="H4" s="6" t="s">
        <x:v>30</x:v>
      </x:c>
      <x:c r="I4" s="6" t="s">
        <x:v>18</x:v>
      </x:c>
      <x:c r="J4" s="9" t="n">
        <x:v>11577.44</x:v>
      </x:c>
      <x:c r="K4" s="9" t="n">
        <x:v>38063.96</x:v>
      </x:c>
    </x:row>
    <x:row r="5">
      <x:c r="A5" s="6" t="s">
        <x:v>11</x:v>
      </x:c>
      <x:c r="B5" s="6" t="s">
        <x:v>31</x:v>
      </x:c>
      <x:c r="C5" s="6" t="s">
        <x:v>13</x:v>
      </x:c>
      <x:c r="D5" s="7" t="str">
        <x:f xml:space="preserve">HYPERLINK("https://www.infonalia.es/adjudicaciones1125/25228556.pdf","www.infonalia.es/adjudicaciones1125/25228556.pdf")</x:f>
        <x:v>www.infonalia.es/adjudicaciones1125/25228556.pdf</x:v>
      </x:c>
      <x:c r="E5" s="8" t="s">
        <x:v>32</x:v>
      </x:c>
      <x:c r="F5" s="6" t="s">
        <x:v>33</x:v>
      </x:c>
      <x:c r="G5" s="6" t="s">
        <x:v>34</x:v>
      </x:c>
      <x:c r="H5" s="6" t="s">
        <x:v>35</x:v>
      </x:c>
      <x:c r="I5" s="6" t="s">
        <x:v>36</x:v>
      </x:c>
      <x:c r="J5" s="9" t="n">
        <x:v>468994.13</x:v>
      </x:c>
      <x:c r="K5" s="9" t="n">
        <x:v>493861.72</x:v>
      </x:c>
    </x:row>
    <x:row r="6">
      <x:c r="A6" s="6" t="s">
        <x:v>11</x:v>
      </x:c>
      <x:c r="B6" s="6" t="s">
        <x:v>37</x:v>
      </x:c>
      <x:c r="C6" s="6" t="s">
        <x:v>13</x:v>
      </x:c>
      <x:c r="D6" s="7" t="str">
        <x:f xml:space="preserve">HYPERLINK("https://www.infonalia.es/adjudicaciones1125/25228642.pdf","www.infonalia.es/adjudicaciones1125/25228642.pdf")</x:f>
        <x:v>www.infonalia.es/adjudicaciones1125/25228642.pdf</x:v>
      </x:c>
      <x:c r="E6" s="8" t="s">
        <x:v>38</x:v>
      </x:c>
      <x:c r="F6" s="6" t="s">
        <x:v>39</x:v>
      </x:c>
      <x:c r="G6" s="6" t="s">
        <x:v>40</x:v>
      </x:c>
      <x:c r="H6" s="6" t="s">
        <x:v>41</x:v>
      </x:c>
      <x:c r="I6" s="6" t="s">
        <x:v>42</x:v>
      </x:c>
      <x:c r="J6" s="9" t="n">
        <x:v>33000.00</x:v>
      </x:c>
      <x:c r="K6" s="9" t="n">
        <x:v>33450.00</x:v>
      </x:c>
    </x:row>
    <x:row r="7">
      <x:c r="A7" s="6" t="s">
        <x:v>11</x:v>
      </x:c>
      <x:c r="B7" s="6" t="s">
        <x:v>43</x:v>
      </x:c>
      <x:c r="C7" s="6" t="s">
        <x:v>13</x:v>
      </x:c>
      <x:c r="D7" s="7" t="str">
        <x:f xml:space="preserve">HYPERLINK("https://www.infonalia.es/adjudicaciones1125/25228665.pdf","www.infonalia.es/adjudicaciones1125/25228665.pdf")</x:f>
        <x:v>www.infonalia.es/adjudicaciones1125/25228665.pdf</x:v>
      </x:c>
      <x:c r="E7" s="8" t="s">
        <x:v>44</x:v>
      </x:c>
      <x:c r="F7" s="6" t="s">
        <x:v>45</x:v>
      </x:c>
      <x:c r="G7" s="6" t="s">
        <x:v>46</x:v>
      </x:c>
      <x:c r="H7" s="6" t="s">
        <x:v>47</x:v>
      </x:c>
      <x:c r="I7" s="6" t="s">
        <x:v>42</x:v>
      </x:c>
      <x:c r="J7" s="9" t="n">
        <x:v>508767.60</x:v>
      </x:c>
      <x:c r="K7" s="9" t="n">
        <x:v>684000.00</x:v>
      </x:c>
    </x:row>
    <x:row r="8">
      <x:c r="A8" s="6" t="s">
        <x:v>11</x:v>
      </x:c>
      <x:c r="B8" s="6" t="s">
        <x:v>48</x:v>
      </x:c>
      <x:c r="C8" s="6" t="s">
        <x:v>13</x:v>
      </x:c>
      <x:c r="D8" s="7" t="str">
        <x:f xml:space="preserve">HYPERLINK("https://www.infonalia.es/adjudicaciones1125/25228761.pdf","www.infonalia.es/adjudicaciones1125/25228761.pdf")</x:f>
        <x:v>www.infonalia.es/adjudicaciones1125/25228761.pdf</x:v>
      </x:c>
      <x:c r="E8" s="8" t="s">
        <x:v>49</x:v>
      </x:c>
      <x:c r="F8" s="6" t="s">
        <x:v>50</x:v>
      </x:c>
      <x:c r="G8" s="6" t="s">
        <x:v>51</x:v>
      </x:c>
      <x:c r="H8" s="6" t="s">
        <x:v>52</x:v>
      </x:c>
      <x:c r="I8" s="6" t="s">
        <x:v>42</x:v>
      </x:c>
      <x:c r="J8" s="9" t="n">
        <x:v>288925.02</x:v>
      </x:c>
      <x:c r="K8" s="9" t="n">
        <x:v>288925.02</x:v>
      </x:c>
    </x:row>
    <x:row r="9">
      <x:c r="A9" s="6" t="s">
        <x:v>11</x:v>
      </x:c>
      <x:c r="B9" s="6" t="s">
        <x:v>53</x:v>
      </x:c>
      <x:c r="C9" s="6" t="s">
        <x:v>13</x:v>
      </x:c>
      <x:c r="D9" s="7" t="str">
        <x:f xml:space="preserve">HYPERLINK("https://www.infonalia.es/adjudicaciones1125/25228776.pdf","www.infonalia.es/adjudicaciones1125/25228776.pdf")</x:f>
        <x:v>www.infonalia.es/adjudicaciones1125/25228776.pdf</x:v>
      </x:c>
      <x:c r="E9" s="8" t="s">
        <x:v>54</x:v>
      </x:c>
      <x:c r="F9" s="6" t="s">
        <x:v>55</x:v>
      </x:c>
      <x:c r="G9" s="6" t="s">
        <x:v>56</x:v>
      </x:c>
      <x:c r="H9" s="6" t="s">
        <x:v>57</x:v>
      </x:c>
      <x:c r="I9" s="6" t="s">
        <x:v>25</x:v>
      </x:c>
      <x:c r="J9" s="9" t="n">
        <x:v>152344.86</x:v>
      </x:c>
      <x:c r="K9" s="9" t="n">
        <x:v>152344.86</x:v>
      </x:c>
    </x:row>
    <x:row r="10">
      <x:c r="A10" s="6" t="s">
        <x:v>11</x:v>
      </x:c>
      <x:c r="B10" s="6" t="s">
        <x:v>58</x:v>
      </x:c>
      <x:c r="C10" s="6" t="s">
        <x:v>13</x:v>
      </x:c>
      <x:c r="D10" s="7" t="str">
        <x:f xml:space="preserve">HYPERLINK("https://www.infonalia.es/adjudicaciones1125/25229021.pdf","www.infonalia.es/adjudicaciones1125/25229021.pdf")</x:f>
        <x:v>www.infonalia.es/adjudicaciones1125/25229021.pdf</x:v>
      </x:c>
      <x:c r="E10" s="8" t="s">
        <x:v>59</x:v>
      </x:c>
      <x:c r="F10" s="6" t="s">
        <x:v>45</x:v>
      </x:c>
      <x:c r="G10" s="6" t="s">
        <x:v>60</x:v>
      </x:c>
      <x:c r="H10" s="6" t="s">
        <x:v>61</x:v>
      </x:c>
      <x:c r="I10" s="6" t="s">
        <x:v>42</x:v>
      </x:c>
      <x:c r="J10" s="9" t="n">
        <x:v>25000.00</x:v>
      </x:c>
      <x:c r="K10" s="9" t="n">
        <x:v>25000.00</x:v>
      </x:c>
    </x:row>
    <x:row r="11">
      <x:c r="A11" s="6" t="s">
        <x:v>11</x:v>
      </x:c>
      <x:c r="B11" s="6" t="s">
        <x:v>62</x:v>
      </x:c>
      <x:c r="C11" s="6" t="s">
        <x:v>13</x:v>
      </x:c>
      <x:c r="D11" s="7" t="str">
        <x:f xml:space="preserve">HYPERLINK("https://www.infonalia.es/adjudicaciones1125/25229022.pdf","www.infonalia.es/adjudicaciones1125/25229022.pdf")</x:f>
        <x:v>www.infonalia.es/adjudicaciones1125/25229022.pdf</x:v>
      </x:c>
      <x:c r="E11" s="8" t="s">
        <x:v>63</x:v>
      </x:c>
      <x:c r="F11" s="6" t="s">
        <x:v>45</x:v>
      </x:c>
      <x:c r="G11" s="6" t="s">
        <x:v>64</x:v>
      </x:c>
      <x:c r="H11" s="6" t="s">
        <x:v>65</x:v>
      </x:c>
      <x:c r="I11" s="6" t="s">
        <x:v>42</x:v>
      </x:c>
      <x:c r="J11" s="9" t="n">
        <x:v>15000.00</x:v>
      </x:c>
      <x:c r="K11" s="9" t="n">
        <x:v>15000.00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