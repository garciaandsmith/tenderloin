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<x:sst xmlns:x="http://schemas.openxmlformats.org/spreadsheetml/2006/main" count="11" uniqueCount="11">
  <x:si>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</x:si>
  <x:si>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</x:si>
  <x:si>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</x:si>
  <x:si>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</x:si>
  <x:si>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</x:si>
  <x:si>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</x:si>
  <x:si>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</x:si>
  <x:si>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</x:si>
  <x:si>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</x:si>
  <x:si>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</x:si>
  <x:si>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</x:si>
  <x:si>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</x:si>
  <x:si>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LOTE 2 SPM DIGITAL Y CONSULTORIA, S.L. </x:t>
  </x:si>
  <x:si>
    <x:t>03/12/2025 0:00:00</x:t>
  </x:si>
  <x:si>
    <x:t>25241380</x:t>
  </x:si>
  <x:si>
    <x:t>ÁREA DE GOBIERNO DE ECONOMÍA, INNOVACIÓN Y HACIENDA DEL AYUNTAMIENTO DE MADRID</x:t>
  </x:si>
  <x:si>
    <x:t>Adaptaciones y gestión de la Plataforma WEB, gestión de las Redes Sociales y Dinamización de la Comunidad Virtual de Madrid Emprende, a adjudicar por Lotes (3 LOTES). Lote Nº 1 Adaptaciones, servicios gestionados, mantenimiento y soporte para plataforma web. Lote Nº 2 Promoción y divulgación de actividades, diseño y gestión de contenidos y redes sociales. Lote Nº 3 Dinamización, gestión y captación de usuarios de la comunidad virtual.</x:t>
  </x:si>
  <x:si>
    <x:t>300/2025/00292</x:t>
  </x:si>
  <x:si>
    <x:t>Madrid</x:t>
  </x:si>
  <x:si>
    <x:t>Ver detalle de la adjudicación</x:t>
  </x:si>
  <x:si>
    <x:t>LIGHT EXPO SERVICIOS CULTURALES S.L</x:t>
  </x:si>
  <x:si>
    <x:t>25241417</x:t>
  </x:si>
  <x:si>
    <x:t>DIRECCIÓN GENERAL DE LA FUNDACIÓN CENTRO CULTURAL INTERNACIONAL OSCAR NIEMEYER-PRINCIPADO DE ASTURIAS</x:t>
  </x:si>
  <x:si>
    <x:t>Servicios de Dirección - Coordinación Técnica y Equipo Técnico del Centro Cultural Internacional Oscar Niemeyer</x:t>
  </x:si>
  <x:si>
    <x:t>01/2026</x:t>
  </x:si>
  <x:si>
    <x:t>Asturias</x:t>
  </x:si>
  <x:si>
    <x:t>HIBERUS IT DEVELOPMENT SERVICES, SLU</x:t>
  </x:si>
  <x:si>
    <x:t>25241497</x:t>
  </x:si>
  <x:si>
    <x:t>FUNDACIÓ PRIVADA INSTITUT DE FORMACIÓ CONTÍNUA DE LA UNIVERSITAT DE BARCELONA (IL3-UB)(M.P.)</x:t>
  </x:si>
  <x:si>
    <x:t>El presente contrato tiene por objeto la contratación del servicio de posicionamiento (SEO; search Engine Optmization) de la página web, la gestión de la campaña de Google Ads, GDN y Social Media ads y Plan de medios para la campaña Marca y de Servicios a Empresas, de los programas de la convocatoria de febrero (25/26) y de octubre (26/27) , 2/2 Microcredenciales 2026, de Juliols UB (2026), Gaudir UB (25/26 y 26/27), y de los cursos de especialización que conforman el Programa general de industria farmacéutica 2026 de la Fundación Instituto de Formación Continua de la Universidad de Barcelona (IL3-UB). El posicionamiento SEO, la gestión de las campañas publicitarias y el plan de medios incluirán una estrategia específicamente diseñada y ejecutada para la consecución de los objetivos marcados en cada caso, objetivos de captación de interesados, notoriedad de marca, interés de áreas, subáreas o programas específicos</x:t>
  </x:si>
  <x:si>
    <x:t>12/2025</x:t>
  </x:si>
  <x:si>
    <x:t>Barcelona</x:t>
  </x:si>
  <x:si>
    <x:t>S22 DIGITAL SL</x:t>
  </x:si>
  <x:si>
    <x:t>25241582</x:t>
  </x:si>
  <x:si>
    <x:t>JUNTA DE CONTRATACIÓN DEL MINISTERIO DE AGRICULTURA, PESCA Y ALIMENTACIÓN</x:t>
  </x:si>
  <x:si>
    <x:t>Presencia Institucional del Ministerio de Agricultura, Pesca y Alimentación en la feria Alimentaria Salón Internacional de Alimentación y Bebidas 2026.</x:t>
  </x:si>
  <x:si>
    <x:t>202505100635</x:t>
  </x:si>
  <x:si>
    <x:t>LOTE 2 6TEMS COMUNICACIÓ INTERACTIVA, SL; LOTE 3 6TEMS COMUNICACIÓ INTERACTIVA, SL</x:t>
  </x:si>
  <x:si>
    <x:t>25241724</x:t>
  </x:si>
  <x:si>
    <x:t>CONSELL COMARCAL DE LA SELVA (GIRONA)</x:t>
  </x:si>
  <x:si>
    <x:t>El objeto de la presente contratación consiste en el servicio para la “Digitalización de la visita al castillo de Montsoriu” (Lote 1), “Creación y mantenimiento del nuevo portal web de promoción turística e integración en este de las webs www.tourdera.cat y www.larutadelscabrera.cat” (Lote 2) y “Diseño y creación de 3 planificadores de rutas para el nuevo portal web Destino la Selva interior (Lote 3) – Plan de Recuperación, Transformación y Resiliencia, financiando por la Unión Europea – Next Generation EU</x:t>
  </x:si>
  <x:si>
    <x:t>2025/00011073Y</x:t>
  </x:si>
  <x:si>
    <x:t>Girona</x:t>
  </x:si>
  <x:si>
    <x:t>ETERIA MARKETING Y COMUNICACION SL</x:t>
  </x:si>
  <x:si>
    <x:t>25241739</x:t>
  </x:si>
  <x:si>
    <x:t>CONSEJERÍA DE CIENCIA, INDUSTRIA Y EMPLEO DEL PRINCIPADO DE ASTURIAS</x:t>
  </x:si>
  <x:si>
    <x:t>Servicio de organización de la exposición "Pieza única 2025" de Artesanía así como la prestación de servicios complementarios.</x:t>
  </x:si>
  <x:si>
    <x:t>2025000279</x:t>
  </x:si>
  <x:si>
    <x:t>ÁGORA RED STUDIO</x:t>
  </x:si>
  <x:si>
    <x:t>25241892</x:t>
  </x:si>
  <x:si>
    <x:t>ALCALDÍA DEL AYUNTAMIENTO DE ARROYOMOLINOS (MADRID)</x:t>
  </x:si>
  <x:si>
    <x:t>Contrato administrativo mixto de diseño, producción, suministro, montaje y alquiler de stand y materiales para la participación del Ayuntamiento de Arroyomolinos (Madrid) en la feria internacional del turismo Fitur 2026.</x:t>
  </x:si>
  <x:si>
    <x:t>252/2025 (EG 54/2025)</x:t>
  </x:si>
  <x:si>
    <x:t>LA MAQUINA DE HUMO S.L</x:t>
  </x:si>
  <x:si>
    <x:t>25241907</x:t>
  </x:si>
  <x:si>
    <x:t>MINISTERIO DE DERECHOS SOCIALES, CONSUMO Y AGENDA 2030. SUBDIRECCIÓN GENERAL DE LA OFICINA PRESUPUESTARIA Y GESTIÓN ECONÓMICA</x:t>
  </x:si>
  <x:si>
    <x:t>Servicio de creatividad, diseño, realización y producción de la campaña de publicidad institucional Agenda 2030: Un Futuro Posible.</x:t>
  </x:si>
  <x:si>
    <x:t>252907PAS002</x:t>
  </x:si>
  <x:si>
    <x:t>NIVELL PUBLICITARI DIGITAL S.L</x:t>
  </x:si>
  <x:si>
    <x:t>25241945</x:t>
  </x:si>
  <x:si>
    <x:t>FUNDACIÓ LA MARATÓ DE TV3</x:t>
  </x:si>
  <x:si>
    <x:t>Contratación del servicio de producción, instalación y retirada de banderolas publicitarias en ciudades y pueblos de Catalunya de la edición 2025 de la Marató de 3Cat. En caso de que las empresas licitadoras quieran solicitar las muestras de creatividad para presentar su oferta, tendrán que hacer una petición expresa a la dirección de correo electrónico administracioiserveiscompres@3cat.cat adjuntando una declaración de confidencialidad y la fotocopia del DNI de la persona que la firma, antes del día 21 de octubre de 2025.</x:t>
  </x:si>
  <x:si>
    <x:t>2510MS05</x:t>
  </x:si>
  <x:si>
    <x:t>Catalunya</x:t>
  </x:si>
  <x:si>
    <x:t>SERVIMEDIA S.A</x:t>
  </x:si>
  <x:si>
    <x:t>25242269</x:t>
  </x:si>
  <x:si>
    <x:t>DIRECCIÓN GENERAL ECONÓMICO-FINANCIERA DE LA ENTIDAD PÚBLICA EMPRESARIAL RENFE-OPERADORA</x:t>
  </x:si>
  <x:si>
    <x:t>Servicio nacional de noticias servimedia 2026-2027</x:t>
  </x:si>
  <x:si>
    <x:t>2025-04580</x:t>
  </x:si>
  <x:si>
    <x:t>BUM BLASI URGELL MORALES, S.L</x:t>
  </x:si>
  <x:si>
    <x:t>25242331</x:t>
  </x:si>
  <x:si>
    <x:t>BARCELONA DE SERVEIS MUNICIPALS SA</x:t>
  </x:si>
  <x:si>
    <x:t>Implementación de la nueva identidad de aparcamientos BSM en la cartelería de transformación</x:t>
  </x:si>
  <x:si>
    <x:t>2021MK0275ACV74</x:t>
  </x:si>
  <x:si>
    <x:t>BY FACILITY SL</x:t>
  </x:si>
  <x:si>
    <x:t>25242451</x:t>
  </x:si>
  <x:si>
    <x:t>INSTITUT CATALÀ INTERNACIONAL PER LA PAU</x:t>
  </x:si>
  <x:si>
    <x:t>Contrato de Servicios de diseño, producción, transporte, montaje, mantenimiento y desmontaje, de una exposición llamada "Pols extrems. Una experiència de polarització".</x:t>
  </x:si>
  <x:si>
    <x:t>ICIP-2025-127</x:t>
  </x:si>
  <x:si>
    <x:t>CONMUNICA MEDIATRADER, S.L.U</x:t>
  </x:si>
  <x:si>
    <x:t>25242464</x:t>
  </x:si>
  <x:si>
    <x:t>MINISTERIO DE ASUNTOS EXTERIORES, UNIÓN EUROPEA Y COOPERACIÓN. SECRETARÍA DE ESTADO PARA LA UNIÓN EUROPEA</x:t>
  </x:si>
  <x:si>
    <x:t>Servicio de gestión de contenidos de la página web www.hablamosdeeuropa.es, redes sociales y difusión de oportunidades de empleo y formación en instituciones de la Unión Europea.</x:t>
  </x:si>
  <x:si>
    <x:t>2025/PD/S/12</x:t>
  </x:si>
  <x:si>
    <x:t>HOTARU S.C.P</x:t>
  </x:si>
  <x:si>
    <x:t>25242501</x:t>
  </x:si>
  <x:si>
    <x:t>AYUNTAMIENTO DE BARCELONA</x:t>
  </x:si>
  <x:si>
    <x:t>Oficina Técnica para la gestión de la contratación de las actividades culturales, artísticas, divulgativas y lúdicas y otras tareas derivadas de la organización de la fiesta de la Febrerada, organizada por la DS de Economía Social y Solidaria.</x:t>
  </x:si>
  <x:si>
    <x:t>001_25002014</x:t>
  </x:si>
  <x:si>
    <x:t>LOTE 1 NOE CONCEPTOS ESPECIALES SL; LOTE 2 OTRACOSA GLOBAL DE COMUNICACIÓN SLU; LOTE 3 OTRACOSA GLOBAL DE COMUNICACIÓN SLU; LOTE 4 GESTIÓN DE EVENTOS Y FERIAS INTERNACIONALES SL; LOTE 5 GESTIÓN DE EVENTOS Y FERIAS INTERNACIONALES SL; LOTE 6 GESTIÓN DE EVENTOS Y FERIAS INTERNACIONALES SL; LOTE 7 NOE CONCEPTOS ESPECIALES SL</x:t>
  </x:si>
  <x:si>
    <x:t>25242511</x:t>
  </x:si>
  <x:si>
    <x:t>PROMOTORA DE EXPORTACIONS CATALANES, SA (PRODECA)</x:t>
  </x:si>
  <x:si>
    <x:t>Servicio de diseño, montaje, desmontaje, mantenimiento y supervisión de los stands que conforman los pabellones de Cataluña en siete ferias. Lote 1: ISM 2026. Lote 2: Fruit Logistica 2026. Lote 3: Biofach 2026. Lote 4: Prowein 2026. Lote 5: WINE PARIS 2026. Lote 6: Gulfood 2026. Lote 7: Saudi Food Show 2026.</x:t>
  </x:si>
  <x:si>
    <x:t>PRODECA-2026-1</x:t>
  </x:si>
  <x:si>
    <x:t>Ver pliegos</x:t>
  </x:si>
  <x:si>
    <x:t>Desierto</x:t>
  </x:si>
  <x:si>
    <x:t>DESIERTO</x:t>
  </x:si>
  <x:si>
    <x:t>25242547</x:t>
  </x:si>
  <x:si>
    <x:t>JUNTA DE GOBIERNO DEL AYUNTAMIENTO DE ALCOBENDAS (MADRID)</x:t>
  </x:si>
  <x:si>
    <x:t>Servicios consistentes en diseño, emisión, manipulación, impresión y notificación impresos tributarios.</x:t>
  </x:si>
  <x:si>
    <x:t>EXP 55/2025</x:t>
  </x:si>
  <x:si>
    <x:t>LOTE 1 CAS TRAINING SL</x:t>
  </x:si>
  <x:si>
    <x:t>25242637</x:t>
  </x:si>
  <x:si>
    <x:t>MINISTERIO DE HACIENDA. PRESIDENCIA - SOCIEDAD ESTATAL DE PARTICIPACIONES INDUSTRIALES (SEPI)</x:t>
  </x:si>
  <x:si>
    <x:t>Servicios de formación para la implementación de un modelo de liderazgo para el personal de la Sociedad Estatal de Participaciones Industriales (SEPI). Lote 1: Plan de formación dirigido a toda la plantilla. Lote 2: Plan de formación específico para personal predirectivo y directivo. Lote 3: Realización de conferencias de alto impacto.</x:t>
  </x:si>
  <x:si>
    <x:t>LIC-20250010SEPI</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</x:si>
</x:sst>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HYPERLINK("https://www.infonalia.es/adjudicaciones1225/25241380.pdf","www.infonalia.es/adjudicaciones1225/25241380.pdf")</x:f>
        <x:v>www.infonalia.es/adjudicaciones1225/25241380.pdf</x:v>
      </x:c>
      <x:c r="E2" s="8" t="s">
        <x:v>14</x:v>
      </x:c>
      <x:c r="F2" s="6" t="s">
        <x:v>15</x:v>
      </x:c>
      <x:c r="G2" s="6" t="s">
        <x:v>16</x:v>
      </x:c>
      <x:c r="H2" s="6" t="s">
        <x:v>17</x:v>
      </x:c>
      <x:c r="I2" s="6" t="s">
        <x:v>18</x:v>
      </x:c>
      <x:c r="J2" s="9" t="s">
        <x:v>19</x:v>
      </x:c>
      <x:c r="K2" s="9" t="n">
        <x:v>283276.80</x:v>
      </x:c>
    </x:row>
    <x:row r="3">
      <x:c r="A3" s="6" t="s">
        <x:v>11</x:v>
      </x:c>
      <x:c r="B3" s="6" t="s">
        <x:v>20</x:v>
      </x:c>
      <x:c r="C3" s="6" t="s">
        <x:v>13</x:v>
      </x:c>
      <x:c r="D3" s="7" t="str">
        <x:f xml:space="preserve">HYPERLINK("https://www.infonalia.es/adjudicaciones1225/25241417.pdf","www.infonalia.es/adjudicaciones1225/25241417.pdf")</x:f>
        <x:v>www.infonalia.es/adjudicaciones1225/25241417.pdf</x:v>
      </x:c>
      <x:c r="E3" s="8" t="s">
        <x:v>21</x:v>
      </x:c>
      <x:c r="F3" s="6" t="s">
        <x:v>22</x:v>
      </x:c>
      <x:c r="G3" s="6" t="s">
        <x:v>23</x:v>
      </x:c>
      <x:c r="H3" s="6" t="s">
        <x:v>24</x:v>
      </x:c>
      <x:c r="I3" s="6" t="s">
        <x:v>25</x:v>
      </x:c>
      <x:c r="J3" s="9" t="n">
        <x:v>202500.00</x:v>
      </x:c>
      <x:c r="K3" s="9" t="n">
        <x:v>202500.00</x:v>
      </x:c>
    </x:row>
    <x:row r="4">
      <x:c r="A4" s="6" t="s">
        <x:v>11</x:v>
      </x:c>
      <x:c r="B4" s="6" t="s">
        <x:v>26</x:v>
      </x:c>
      <x:c r="C4" s="6" t="s">
        <x:v>13</x:v>
      </x:c>
      <x:c r="D4" s="7" t="str">
        <x:f xml:space="preserve">HYPERLINK("https://www.infonalia.es/adjudicaciones1225/25241497.pdf","www.infonalia.es/adjudicaciones1225/25241497.pdf")</x:f>
        <x:v>www.infonalia.es/adjudicaciones1225/25241497.pdf</x:v>
      </x:c>
      <x:c r="E4" s="8" t="s">
        <x:v>27</x:v>
      </x:c>
      <x:c r="F4" s="6" t="s">
        <x:v>28</x:v>
      </x:c>
      <x:c r="G4" s="6" t="s">
        <x:v>29</x:v>
      </x:c>
      <x:c r="H4" s="6" t="s">
        <x:v>30</x:v>
      </x:c>
      <x:c r="I4" s="6" t="s">
        <x:v>31</x:v>
      </x:c>
      <x:c r="J4" s="9" t="n">
        <x:v>463060.35</x:v>
      </x:c>
      <x:c r="K4" s="9" t="n">
        <x:v>464314.00</x:v>
      </x:c>
    </x:row>
    <x:row r="5">
      <x:c r="A5" s="6" t="s">
        <x:v>11</x:v>
      </x:c>
      <x:c r="B5" s="6" t="s">
        <x:v>32</x:v>
      </x:c>
      <x:c r="C5" s="6" t="s">
        <x:v>13</x:v>
      </x:c>
      <x:c r="D5" s="7" t="str">
        <x:f xml:space="preserve">HYPERLINK("https://www.infonalia.es/adjudicaciones1225/25241582.pdf","www.infonalia.es/adjudicaciones1225/25241582.pdf")</x:f>
        <x:v>www.infonalia.es/adjudicaciones1225/25241582.pdf</x:v>
      </x:c>
      <x:c r="E5" s="8" t="s">
        <x:v>33</x:v>
      </x:c>
      <x:c r="F5" s="6" t="s">
        <x:v>34</x:v>
      </x:c>
      <x:c r="G5" s="6" t="s">
        <x:v>35</x:v>
      </x:c>
      <x:c r="H5" s="6" t="s">
        <x:v>36</x:v>
      </x:c>
      <x:c r="I5" s="6" t="s">
        <x:v>31</x:v>
      </x:c>
      <x:c r="J5" s="9" t="n">
        <x:v>119000.00</x:v>
      </x:c>
      <x:c r="K5" s="9" t="n">
        <x:v>123966.94</x:v>
      </x:c>
    </x:row>
    <x:row r="6">
      <x:c r="A6" s="6" t="s">
        <x:v>11</x:v>
      </x:c>
      <x:c r="B6" s="6" t="s">
        <x:v>37</x:v>
      </x:c>
      <x:c r="C6" s="6" t="s">
        <x:v>13</x:v>
      </x:c>
      <x:c r="D6" s="7" t="str">
        <x:f xml:space="preserve">HYPERLINK("https://www.infonalia.es/adjudicaciones1225/25241724.pdf","www.infonalia.es/adjudicaciones1225/25241724.pdf")</x:f>
        <x:v>www.infonalia.es/adjudicaciones1225/25241724.pdf</x:v>
      </x:c>
      <x:c r="E6" s="8" t="s">
        <x:v>38</x:v>
      </x:c>
      <x:c r="F6" s="6" t="s">
        <x:v>39</x:v>
      </x:c>
      <x:c r="G6" s="6" t="s">
        <x:v>40</x:v>
      </x:c>
      <x:c r="H6" s="6" t="s">
        <x:v>41</x:v>
      </x:c>
      <x:c r="I6" s="6" t="s">
        <x:v>42</x:v>
      </x:c>
      <x:c r="J6" s="9" t="s">
        <x:v>19</x:v>
      </x:c>
      <x:c r="K6" s="9" t="n">
        <x:v>183964.96</x:v>
      </x:c>
    </x:row>
    <x:row r="7">
      <x:c r="A7" s="6" t="s">
        <x:v>11</x:v>
      </x:c>
      <x:c r="B7" s="6" t="s">
        <x:v>43</x:v>
      </x:c>
      <x:c r="C7" s="6" t="s">
        <x:v>13</x:v>
      </x:c>
      <x:c r="D7" s="7" t="str">
        <x:f xml:space="preserve">HYPERLINK("https://www.infonalia.es/adjudicaciones1225/25241739.pdf","www.infonalia.es/adjudicaciones1225/25241739.pdf")</x:f>
        <x:v>www.infonalia.es/adjudicaciones1225/25241739.pdf</x:v>
      </x:c>
      <x:c r="E7" s="8" t="s">
        <x:v>44</x:v>
      </x:c>
      <x:c r="F7" s="6" t="s">
        <x:v>45</x:v>
      </x:c>
      <x:c r="G7" s="6" t="s">
        <x:v>46</x:v>
      </x:c>
      <x:c r="H7" s="6" t="s">
        <x:v>47</x:v>
      </x:c>
      <x:c r="I7" s="6" t="s">
        <x:v>25</x:v>
      </x:c>
      <x:c r="J7" s="9" t="n">
        <x:v>27700.00</x:v>
      </x:c>
      <x:c r="K7" s="9" t="n">
        <x:v>37597.39</x:v>
      </x:c>
    </x:row>
    <x:row r="8">
      <x:c r="A8" s="6" t="s">
        <x:v>11</x:v>
      </x:c>
      <x:c r="B8" s="6" t="s">
        <x:v>48</x:v>
      </x:c>
      <x:c r="C8" s="6" t="s">
        <x:v>13</x:v>
      </x:c>
      <x:c r="D8" s="7" t="str">
        <x:f xml:space="preserve">HYPERLINK("https://www.infonalia.es/adjudicaciones1225/25241892.pdf","www.infonalia.es/adjudicaciones1225/25241892.pdf")</x:f>
        <x:v>www.infonalia.es/adjudicaciones1225/25241892.pdf</x:v>
      </x:c>
      <x:c r="E8" s="8" t="s">
        <x:v>49</x:v>
      </x:c>
      <x:c r="F8" s="6" t="s">
        <x:v>50</x:v>
      </x:c>
      <x:c r="G8" s="6" t="s">
        <x:v>51</x:v>
      </x:c>
      <x:c r="H8" s="6" t="s">
        <x:v>52</x:v>
      </x:c>
      <x:c r="I8" s="6" t="s">
        <x:v>18</x:v>
      </x:c>
      <x:c r="J8" s="9" t="n">
        <x:v>0.00</x:v>
      </x:c>
      <x:c r="K8" s="9" t="n">
        <x:v>22400.00</x:v>
      </x:c>
    </x:row>
    <x:row r="9">
      <x:c r="A9" s="6" t="s">
        <x:v>11</x:v>
      </x:c>
      <x:c r="B9" s="6" t="s">
        <x:v>53</x:v>
      </x:c>
      <x:c r="C9" s="6" t="s">
        <x:v>13</x:v>
      </x:c>
      <x:c r="D9" s="7" t="str">
        <x:f xml:space="preserve">HYPERLINK("https://www.infonalia.es/adjudicaciones1225/25241907.pdf","www.infonalia.es/adjudicaciones1225/25241907.pdf")</x:f>
        <x:v>www.infonalia.es/adjudicaciones1225/25241907.pdf</x:v>
      </x:c>
      <x:c r="E9" s="8" t="s">
        <x:v>54</x:v>
      </x:c>
      <x:c r="F9" s="6" t="s">
        <x:v>55</x:v>
      </x:c>
      <x:c r="G9" s="6" t="s">
        <x:v>56</x:v>
      </x:c>
      <x:c r="H9" s="6" t="s">
        <x:v>57</x:v>
      </x:c>
      <x:c r="I9" s="6" t="s">
        <x:v>18</x:v>
      </x:c>
      <x:c r="J9" s="9" t="n">
        <x:v>55000.00</x:v>
      </x:c>
      <x:c r="K9" s="9" t="n">
        <x:v>99120.00</x:v>
      </x:c>
    </x:row>
    <x:row r="10">
      <x:c r="A10" s="6" t="s">
        <x:v>11</x:v>
      </x:c>
      <x:c r="B10" s="6" t="s">
        <x:v>58</x:v>
      </x:c>
      <x:c r="C10" s="6" t="s">
        <x:v>13</x:v>
      </x:c>
      <x:c r="D10" s="7" t="str">
        <x:f xml:space="preserve">HYPERLINK("https://www.infonalia.es/adjudicaciones1225/25241945.pdf","www.infonalia.es/adjudicaciones1225/25241945.pdf")</x:f>
        <x:v>www.infonalia.es/adjudicaciones1225/25241945.pdf</x:v>
      </x:c>
      <x:c r="E10" s="8" t="s">
        <x:v>59</x:v>
      </x:c>
      <x:c r="F10" s="6" t="s">
        <x:v>60</x:v>
      </x:c>
      <x:c r="G10" s="6" t="s">
        <x:v>61</x:v>
      </x:c>
      <x:c r="H10" s="6" t="s">
        <x:v>62</x:v>
      </x:c>
      <x:c r="I10" s="6" t="s">
        <x:v>63</x:v>
      </x:c>
      <x:c r="J10" s="9" t="n">
        <x:v>35073.00</x:v>
      </x:c>
      <x:c r="K10" s="9" t="n">
        <x:v>45000.00</x:v>
      </x:c>
    </x:row>
    <x:row r="11">
      <x:c r="A11" s="6" t="s">
        <x:v>11</x:v>
      </x:c>
      <x:c r="B11" s="6" t="s">
        <x:v>64</x:v>
      </x:c>
      <x:c r="C11" s="6" t="s">
        <x:v>13</x:v>
      </x:c>
      <x:c r="D11" s="7" t="str">
        <x:f xml:space="preserve">HYPERLINK("https://www.infonalia.es/adjudicaciones1225/25242269.pdf","www.infonalia.es/adjudicaciones1225/25242269.pdf")</x:f>
        <x:v>www.infonalia.es/adjudicaciones1225/25242269.pdf</x:v>
      </x:c>
      <x:c r="E11" s="8" t="s">
        <x:v>65</x:v>
      </x:c>
      <x:c r="F11" s="6" t="s">
        <x:v>66</x:v>
      </x:c>
      <x:c r="G11" s="6" t="s">
        <x:v>67</x:v>
      </x:c>
      <x:c r="H11" s="6" t="s">
        <x:v>68</x:v>
      </x:c>
      <x:c r="I11" s="6" t="s">
        <x:v>18</x:v>
      </x:c>
      <x:c r="J11" s="9" t="n">
        <x:v>13830.00</x:v>
      </x:c>
      <x:c r="K11" s="9" t="n">
        <x:v>13830.00</x:v>
      </x:c>
    </x:row>
    <x:row r="12">
      <x:c r="A12" s="6" t="s">
        <x:v>11</x:v>
      </x:c>
      <x:c r="B12" s="6" t="s">
        <x:v>69</x:v>
      </x:c>
      <x:c r="C12" s="6" t="s">
        <x:v>13</x:v>
      </x:c>
      <x:c r="D12" s="7" t="str">
        <x:f xml:space="preserve">HYPERLINK("https://www.infonalia.es/adjudicaciones1225/25242331.pdf","www.infonalia.es/adjudicaciones1225/25242331.pdf")</x:f>
        <x:v>www.infonalia.es/adjudicaciones1225/25242331.pdf</x:v>
      </x:c>
      <x:c r="E12" s="8" t="s">
        <x:v>70</x:v>
      </x:c>
      <x:c r="F12" s="6" t="s">
        <x:v>71</x:v>
      </x:c>
      <x:c r="G12" s="6" t="s">
        <x:v>72</x:v>
      </x:c>
      <x:c r="H12" s="6" t="s">
        <x:v>73</x:v>
      </x:c>
      <x:c r="I12" s="6" t="s">
        <x:v>31</x:v>
      </x:c>
      <x:c r="J12" s="9" t="n">
        <x:v>15000.00</x:v>
      </x:c>
      <x:c r="K12" s="9" t="n">
        <x:v>15000.00</x:v>
      </x:c>
    </x:row>
    <x:row r="13">
      <x:c r="A13" s="6" t="s">
        <x:v>11</x:v>
      </x:c>
      <x:c r="B13" s="6" t="s">
        <x:v>74</x:v>
      </x:c>
      <x:c r="C13" s="6" t="s">
        <x:v>13</x:v>
      </x:c>
      <x:c r="D13" s="7" t="str">
        <x:f xml:space="preserve">HYPERLINK("https://www.infonalia.es/adjudicaciones1225/25242451.pdf","www.infonalia.es/adjudicaciones1225/25242451.pdf")</x:f>
        <x:v>www.infonalia.es/adjudicaciones1225/25242451.pdf</x:v>
      </x:c>
      <x:c r="E13" s="8" t="s">
        <x:v>75</x:v>
      </x:c>
      <x:c r="F13" s="6" t="s">
        <x:v>76</x:v>
      </x:c>
      <x:c r="G13" s="6" t="s">
        <x:v>77</x:v>
      </x:c>
      <x:c r="H13" s="6" t="s">
        <x:v>78</x:v>
      </x:c>
      <x:c r="I13" s="6" t="s">
        <x:v>63</x:v>
      </x:c>
      <x:c r="J13" s="9" t="n">
        <x:v>99000.00</x:v>
      </x:c>
      <x:c r="K13" s="9" t="n">
        <x:v>99900.00</x:v>
      </x:c>
    </x:row>
    <x:row r="14">
      <x:c r="A14" s="6" t="s">
        <x:v>11</x:v>
      </x:c>
      <x:c r="B14" s="6" t="s">
        <x:v>79</x:v>
      </x:c>
      <x:c r="C14" s="6" t="s">
        <x:v>13</x:v>
      </x:c>
      <x:c r="D14" s="7" t="str">
        <x:f xml:space="preserve">HYPERLINK("https://www.infonalia.es/adjudicaciones1225/25242464.pdf","www.infonalia.es/adjudicaciones1225/25242464.pdf")</x:f>
        <x:v>www.infonalia.es/adjudicaciones1225/25242464.pdf</x:v>
      </x:c>
      <x:c r="E14" s="8" t="s">
        <x:v>80</x:v>
      </x:c>
      <x:c r="F14" s="6" t="s">
        <x:v>81</x:v>
      </x:c>
      <x:c r="G14" s="6" t="s">
        <x:v>82</x:v>
      </x:c>
      <x:c r="H14" s="6" t="s">
        <x:v>83</x:v>
      </x:c>
      <x:c r="I14" s="6" t="s">
        <x:v>18</x:v>
      </x:c>
      <x:c r="J14" s="9" t="n">
        <x:v>44957.91</x:v>
      </x:c>
      <x:c r="K14" s="9" t="n">
        <x:v>59468.14</x:v>
      </x:c>
    </x:row>
    <x:row r="15">
      <x:c r="A15" s="6" t="s">
        <x:v>11</x:v>
      </x:c>
      <x:c r="B15" s="6" t="s">
        <x:v>84</x:v>
      </x:c>
      <x:c r="C15" s="6" t="s">
        <x:v>13</x:v>
      </x:c>
      <x:c r="D15" s="7" t="str">
        <x:f xml:space="preserve">HYPERLINK("https://www.infonalia.es/adjudicaciones1225/25242501.pdf","www.infonalia.es/adjudicaciones1225/25242501.pdf")</x:f>
        <x:v>www.infonalia.es/adjudicaciones1225/25242501.pdf</x:v>
      </x:c>
      <x:c r="E15" s="8" t="s">
        <x:v>85</x:v>
      </x:c>
      <x:c r="F15" s="6" t="s">
        <x:v>86</x:v>
      </x:c>
      <x:c r="G15" s="6" t="s">
        <x:v>87</x:v>
      </x:c>
      <x:c r="H15" s="6" t="s">
        <x:v>88</x:v>
      </x:c>
      <x:c r="I15" s="6" t="s">
        <x:v>31</x:v>
      </x:c>
      <x:c r="J15" s="9" t="n">
        <x:v>30048.00</x:v>
      </x:c>
      <x:c r="K15" s="9" t="n">
        <x:v>36688.61</x:v>
      </x:c>
    </x:row>
    <x:row r="16">
      <x:c r="A16" s="6" t="s">
        <x:v>11</x:v>
      </x:c>
      <x:c r="B16" s="6" t="s">
        <x:v>89</x:v>
      </x:c>
      <x:c r="C16" s="6" t="s">
        <x:v>13</x:v>
      </x:c>
      <x:c r="D16" s="7" t="str">
        <x:f xml:space="preserve">HYPERLINK("https://www.infonalia.es/adjudicaciones1225/25242511.pdf","www.infonalia.es/adjudicaciones1225/25242511.pdf")</x:f>
        <x:v>www.infonalia.es/adjudicaciones1225/25242511.pdf</x:v>
      </x:c>
      <x:c r="E16" s="8" t="s">
        <x:v>90</x:v>
      </x:c>
      <x:c r="F16" s="6" t="s">
        <x:v>91</x:v>
      </x:c>
      <x:c r="G16" s="6" t="s">
        <x:v>92</x:v>
      </x:c>
      <x:c r="H16" s="6" t="s">
        <x:v>93</x:v>
      </x:c>
      <x:c r="I16" s="6" t="s">
        <x:v>94</x:v>
      </x:c>
      <x:c r="J16" s="9" t="s">
        <x:v>19</x:v>
      </x:c>
      <x:c r="K16" s="9" t="n">
        <x:v>874621.29</x:v>
      </x:c>
    </x:row>
    <x:row r="17">
      <x:c r="A17" s="6" t="s">
        <x:v>95</x:v>
      </x:c>
      <x:c r="B17" s="6" t="s">
        <x:v>96</x:v>
      </x:c>
      <x:c r="C17" s="6" t="s">
        <x:v>13</x:v>
      </x:c>
      <x:c r="D17" s="7" t="str">
        <x:f xml:space="preserve">HYPERLINK("https://www.infonalia.es/adjudicaciones1225/25242547.pdf","www.infonalia.es/adjudicaciones1225/25242547.pdf")</x:f>
        <x:v>www.infonalia.es/adjudicaciones1225/25242547.pdf</x:v>
      </x:c>
      <x:c r="E17" s="8" t="s">
        <x:v>97</x:v>
      </x:c>
      <x:c r="F17" s="6" t="s">
        <x:v>98</x:v>
      </x:c>
      <x:c r="G17" s="6" t="s">
        <x:v>99</x:v>
      </x:c>
      <x:c r="H17" s="6" t="s">
        <x:v>100</x:v>
      </x:c>
      <x:c r="I17" s="6" t="s">
        <x:v>18</x:v>
      </x:c>
      <x:c r="J17" s="9" t="s">
        <x:v>19</x:v>
      </x:c>
      <x:c r="K17" s="9" t="n">
        <x:v>136238.98</x:v>
      </x:c>
    </x:row>
    <x:row r="18">
      <x:c r="A18" s="6" t="s">
        <x:v>11</x:v>
      </x:c>
      <x:c r="B18" s="6" t="s">
        <x:v>101</x:v>
      </x:c>
      <x:c r="C18" s="6" t="s">
        <x:v>13</x:v>
      </x:c>
      <x:c r="D18" s="7" t="str">
        <x:f xml:space="preserve">HYPERLINK("https://www.infonalia.es/adjudicaciones1225/25242637.pdf","www.infonalia.es/adjudicaciones1225/25242637.pdf")</x:f>
        <x:v>www.infonalia.es/adjudicaciones1225/25242637.pdf</x:v>
      </x:c>
      <x:c r="E18" s="8" t="s">
        <x:v>102</x:v>
      </x:c>
      <x:c r="F18" s="6" t="s">
        <x:v>103</x:v>
      </x:c>
      <x:c r="G18" s="6" t="s">
        <x:v>104</x:v>
      </x:c>
      <x:c r="H18" s="6" t="s">
        <x:v>105</x:v>
      </x:c>
      <x:c r="I18" s="6" t="s">
        <x:v>18</x:v>
      </x:c>
      <x:c r="J18" s="9" t="n">
        <x:v>34500.00</x:v>
      </x:c>
      <x:c r="K18" s="9" t="n">
        <x:v>60000.00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