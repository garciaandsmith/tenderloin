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<x:sst xmlns:x="http://schemas.openxmlformats.org/spreadsheetml/2006/main" count="17" uniqueCount="17">
  <x:si>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</x:si>
  <x:si>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</x:si>
  <x:si>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</x:si>
  <x:si>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</x:si>
  <x:si>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</x:si>
  <x:si>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</x:si>
  <x:si>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</x:si>
  <x:si>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</x:si>
  <x:si>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</x:si>
  <x:si>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</x:si>
  <x:si>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</x:si>
  <x:si>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</x:si>
  <x:si>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</x:si>
  <x:si>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</x:si>
  <x:si>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</x:si>
  <x:si>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</x:si>
  <x:si>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</x:si>
  <x:si>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</x:si>
  <x:si>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</x:si>
  <x:si>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08/01/2026</x:t>
  </x:si>
  <x:si>
    <x:t>2025182114</x:t>
  </x:si>
  <x:si>
    <x:t>26/12/2025</x:t>
  </x:si>
  <x:si>
    <x:t>GERENCIA DE LA FUNDACIÓN ENAIRE F.S.P.</x:t>
  </x:si>
  <x:si>
    <x:t>Servicio integral de página web y de diseño gráfico institucional de Fundación ENAIRE</x:t>
  </x:si>
  <x:si>
    <x:t>PAS FE-02/2026</x:t>
  </x:si>
  <x:si>
    <x:t>Importe sin impuestos</x:t>
  </x:si>
  <x:si>
    <x:t/>
  </x:si>
  <x:si>
    <x:t>-----</x:t>
  </x:si>
  <x:si>
    <x:t>24/12/2025</x:t>
  </x:si>
  <x:si>
    <x:t/>
  </x:si>
  <x:si>
    <x:t>Madrid</x:t>
  </x:si>
  <x:si>
    <x:t>Catalunya - Plataforma de Contratación</x:t>
  </x:si>
  <x:si>
    <x:t>27/01/2026</x:t>
  </x:si>
  <x:si>
    <x:t>2025182210</x:t>
  </x:si>
  <x:si>
    <x:t>INSTITUT MUNICIPAL PARCS I JARDINS DE BARCELONA. DEPARTAMENTO DE CONTRATACIÓN</x:t>
  </x:si>
  <x:si>
    <x:t>Contratación del servicio técnico especializado para reforzar el ámbito de la comunicación en Parques y Jardines de Barcelona, Instituto Municipal, con medidas de contratación pública sostenible</x:t>
  </x:si>
  <x:si>
    <x:t>004_25000131</x:t>
  </x:si>
  <x:si>
    <x:t>IVA excuido</x:t>
  </x:si>
  <x:si>
    <x:t/>
  </x:si>
  <x:si>
    <x:t/>
  </x:si>
  <x:si>
    <x:t>Barcelona</x:t>
  </x:si>
  <x:si>
    <x:t>DOUE - Diario Oficial de la Unión Europea (S)</x:t>
  </x:si>
  <x:si>
    <x:t>21/01/2026</x:t>
  </x:si>
  <x:si>
    <x:t>2025182312</x:t>
  </x:si>
  <x:si>
    <x:t>AYUNTAMIENTO DE BARCELONA</x:t>
  </x:si>
  <x:si>
    <x:t>Acuerdo Marco de fijación de las condiciones para la contratación de los servicios de asesoramiento estratégico, planificación, negociación, contratación y gestión de espacios publicitarios en todos los medios y soportes, y secundariamente, los servicios de ideación, creatividad, diseño, producción e implementación de acciones especiales de comunicación vinculadas a las campañas de publicidad</x:t>
  </x:si>
  <x:si>
    <x:t>25001249</x:t>
  </x:si>
  <x:si>
    <x:t>No consta</x:t>
  </x:si>
  <x:si>
    <x:t/>
  </x:si>
  <x:si>
    <x:t>248</x:t>
  </x:si>
  <x:si>
    <x:t/>
  </x:si>
  <x:si>
    <x:t>2025182331</x:t>
  </x:si>
  <x:si>
    <x:t>COMUNIDAD DE MADRID. CONSEJERÍA DE DIGITALIZACIÓN</x:t>
  </x:si>
  <x:si>
    <x:t>Servicio de gestión del centro de innovación digital de la Comunidad de Madrid, digitaliza Madrid</x:t>
  </x:si>
  <x:si>
    <x:t>A/SER-045803/2025 Anuncio de información previa</x:t>
  </x:si>
  <x:si>
    <x:t>IVA Excluido.</x:t>
  </x:si>
  <x:si>
    <x:t>Fecha prevista de publicación de un anuncio de licitación en el marco del presente procedimiento: 23/02/2026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</x:si>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</x:sst>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53719.00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HYPERLINK("https://contrataciondelestado.es/wps/poc?uri=deeplink:detalle_licitacion&amp;idEvl=Gk5j6ihpj69%2FR5QFTlaM4A%3D%3D","contrataciondelestado.es/wps/poc?uri=deeplink:detalle_licitacion&amp;idEvl=Gk5j6ihpj69%2FR5QFTlaM4A%3D%3D")</x:f>
        <x:v>contrataciondelestado.es/wps/poc?uri=deeplink:detalle_licitacion&amp;idEvl=Gk5j6ihpj69%2FR5QFTlaM4A%3D%3D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HYPERLINK("https://www.infonalia.es/licitaciones1225/2025182114.pdf","www.infonalia.es/licitaciones1225/2025182114.pdf")</x:f>
        <x:v>www.infonalia.es/licitaciones1225/2025182114.pdf</x:v>
      </x:c>
    </x:row>
    <x:row r="3">
      <x:c r="A3" s="6" t="s">
        <x:v>17</x:v>
      </x:c>
      <x:c r="B3" s="6" t="s">
        <x:v>31</x:v>
      </x:c>
      <x:c r="C3" s="7" t="s">
        <x:v>32</x:v>
      </x:c>
      <x:c r="D3" s="8" t="s">
        <x:v>33</x:v>
      </x:c>
      <x:c r="E3" s="9" t="s">
        <x:v>21</x:v>
      </x:c>
      <x:c r="F3" s="6" t="s">
        <x:v>34</x:v>
      </x:c>
      <x:c r="G3" s="6" t="s">
        <x:v>35</x:v>
      </x:c>
      <x:c r="H3" s="6" t="s">
        <x:v>36</x:v>
      </x:c>
      <x:c r="I3" s="10" t="n">
        <x:v>101650.00</x:v>
      </x:c>
      <x:c r="J3" s="11" t="s">
        <x:v>37</x:v>
      </x:c>
      <x:c r="K3" s="11" t="s">
        <x:v>38</x:v>
      </x:c>
      <x:c r="L3" s="12" t="str">
        <x:f xml:space="preserve">HYPERLINK("https://contractaciopublica.cat/es/detall-publicacio/300653179","contractaciopublica.cat/es/detall-publicacio/300653179")</x:f>
        <x:v>contractaciopublica.cat/es/detall-publicacio/300653179</x:v>
      </x:c>
      <x:c r="M3" s="11" t="s">
        <x:v>27</x:v>
      </x:c>
      <x:c r="N3" s="13" t="s">
        <x:v>28</x:v>
      </x:c>
      <x:c r="O3" s="11" t="s">
        <x:v>39</x:v>
      </x:c>
      <x:c r="P3" s="11" t="s">
        <x:v>40</x:v>
      </x:c>
      <x:c r="Q3" s="14" t="str">
        <x:f xml:space="preserve">HYPERLINK("https://www.infonalia.es/licitaciones1225/2025182210.pdf","www.infonalia.es/licitaciones1225/2025182210.pdf")</x:f>
        <x:v>www.infonalia.es/licitaciones1225/2025182210.pdf</x:v>
      </x:c>
    </x:row>
    <x:row r="4">
      <x:c r="A4" s="6" t="s">
        <x:v>17</x:v>
      </x:c>
      <x:c r="B4" s="6" t="s">
        <x:v>41</x:v>
      </x:c>
      <x:c r="C4" s="7" t="s">
        <x:v>42</x:v>
      </x:c>
      <x:c r="D4" s="8" t="s">
        <x:v>43</x:v>
      </x:c>
      <x:c r="E4" s="9" t="s">
        <x:v>21</x:v>
      </x:c>
      <x:c r="F4" s="6" t="s">
        <x:v>44</x:v>
      </x:c>
      <x:c r="G4" s="6" t="s">
        <x:v>45</x:v>
      </x:c>
      <x:c r="H4" s="6" t="s">
        <x:v>46</x:v>
      </x:c>
      <x:c r="I4" s="10"/>
      <x:c r="J4" s="11" t="s">
        <x:v>47</x:v>
      </x:c>
      <x:c r="K4" s="11" t="s">
        <x:v>48</x:v>
      </x:c>
      <x:c r="L4" s="12" t="str">
        <x:f xml:space="preserve">HYPERLINK("https://licitacions.bcn.cat","licitacions.bcn.cat")</x:f>
        <x:v>licitacions.bcn.cat</x:v>
      </x:c>
      <x:c r="M4" s="11" t="s">
        <x:v>49</x:v>
      </x:c>
      <x:c r="N4" s="13" t="s">
        <x:v>28</x:v>
      </x:c>
      <x:c r="O4" s="11" t="s">
        <x:v>50</x:v>
      </x:c>
      <x:c r="P4" s="11" t="s">
        <x:v>40</x:v>
      </x:c>
      <x:c r="Q4" s="14" t="str">
        <x:f xml:space="preserve">HYPERLINK("https://www.infonalia.es/licitaciones1225/2025182312.pdf","www.infonalia.es/licitaciones1225/2025182312.pdf")</x:f>
        <x:v>www.infonalia.es/licitaciones1225/2025182312.pdf</x:v>
      </x:c>
    </x:row>
    <x:row r="5">
      <x:c r="A5" s="6" t="s">
        <x:v>17</x:v>
      </x:c>
      <x:c r="B5" s="6" t="s">
        <x:v>41</x:v>
      </x:c>
      <x:c r="C5" s="7" t="s">
        <x:v>26</x:v>
      </x:c>
      <x:c r="D5" s="8" t="s">
        <x:v>51</x:v>
      </x:c>
      <x:c r="E5" s="9" t="s">
        <x:v>21</x:v>
      </x:c>
      <x:c r="F5" s="6" t="s">
        <x:v>52</x:v>
      </x:c>
      <x:c r="G5" s="6" t="s">
        <x:v>53</x:v>
      </x:c>
      <x:c r="H5" s="6" t="s">
        <x:v>54</x:v>
      </x:c>
      <x:c r="I5" s="10" t="n">
        <x:v>3684413.63</x:v>
      </x:c>
      <x:c r="J5" s="11" t="s">
        <x:v>55</x:v>
      </x:c>
      <x:c r="K5" s="11" t="s">
        <x:v>56</x:v>
      </x:c>
      <x:c r="L5" s="12" t="str">
        <x:f xml:space="preserve">HYPERLINK("https://contratos-publicos.comunidad.madrid/","contratos-publicos.comunidad.madrid/")</x:f>
        <x:v>contratos-publicos.comunidad.madrid/</x:v>
      </x:c>
      <x:c r="M5" s="11" t="s">
        <x:v>49</x:v>
      </x:c>
      <x:c r="N5" s="13" t="s">
        <x:v>28</x:v>
      </x:c>
      <x:c r="O5" s="11" t="s">
        <x:v>57</x:v>
      </x:c>
      <x:c r="P5" s="11" t="s">
        <x:v>30</x:v>
      </x:c>
      <x:c r="Q5" s="14" t="str">
        <x:f xml:space="preserve">HYPERLINK("https://www.infonalia.es/licitaciones1225/2025182331.pdf","www.infonalia.es/licitaciones1225/2025182331.pdf")</x:f>
        <x:v>www.infonalia.es/licitaciones1225/2025182331.pdf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