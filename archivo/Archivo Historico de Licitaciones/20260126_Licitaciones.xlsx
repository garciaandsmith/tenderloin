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loext="http://schemas.libreoffice.org/" xmlns:r="http://schemas.openxmlformats.org/officeDocument/2006/relationships" xmlns:x="http://schemas.openxmlformats.org/spreadsheetml/2006/main">
  <x:fileVersion appName="xl" lastEdited="4" lowestEdited="4" rupBuild="4506"/>
  <x:workbookPr/>
  <x:bookViews>
    <x:workbookView xWindow="0" yWindow="0" windowWidth="16380" windowHeight="8190" tabRatio="500"/>
  </x:bookViews>
  <x:sheets>
    <x:sheet name="Licitaciones" sheetId="1" r:id="rId1"/>
  </x:sheets>
  <x:definedNames>
    <x:definedName name="_xlnm._FilterDatabase" localSheetId="0" hidden="1">Licitaciones!$A$1:$Q$1</x:definedName>
  </x:definedNames>
  <x:calcPr calcId="125725" iterateDelta="1E-4"/>
  <x:extLst>
    <x:ext xmlns:loext="http://schemas.libreoffice.org/" uri="{7626C862-2A13-11E5-B345-FEFF819CDC9F}">
      <loext:extCalcPr stringRefSyntax="CalcA1ExcelA1"/>
    </x:ext>
  </x:extLst>
</x:workbook>
</file>

<file path=xl/sharedStrings.xml><?xml version="1.0" encoding="utf-8"?>
<x:sst xmlns:x="http://schemas.openxmlformats.org/spreadsheetml/2006/main" count="17" uniqueCount="17">
  <x:si>
    <x:t>TipoDato</x:t>
  </x:si>
  <x:si>
    <x:t>CodigoBoletin</x:t>
  </x:si>
  <x:si>
    <x:t>PlazoPresentacionFecha</x:t>
  </x:si>
  <x:si>
    <x:t>Referencia</x:t>
  </x:si>
  <x:si>
    <x:t>FechaIntroduccion</x:t>
  </x:si>
  <x:si>
    <x:t>OrganismoConvocante</x:t>
  </x:si>
  <x:si>
    <x:t>Objeto</x:t>
  </x:si>
  <x:si>
    <x:t>Nº Expediente</x:t>
  </x:si>
  <x:si>
    <x:t>Presupuesto</x:t>
  </x:si>
  <x:si>
    <x:t>PresupuestoVarios</x:t>
  </x:si>
  <x:si>
    <x:t>PlazoPresentacionVarios</x:t>
  </x:si>
  <x:si>
    <x:t>InformacionWeb</x:t>
  </x:si>
  <x:si>
    <x:t>PublicacionNumero</x:t>
  </x:si>
  <x:si>
    <x:t>PublicacionFecha</x:t>
  </x:si>
  <x:si>
    <x:t>Observaciones</x:t>
  </x:si>
  <x:si>
    <x:t>LugarEjecucion</x:t>
  </x:si>
  <x:si>
    <x:t>Anuncio</x:t>
  </x:si>
  <x:si>
    <x:t>Concurso</x:t>
  </x:si>
  <x:si>
    <x:t>Plataforma de Contratación del Estado</x:t>
  </x:si>
  <x:si>
    <x:t>17/02/2026</x:t>
  </x:si>
  <x:si>
    <x:t>2026007374</x:t>
  </x:si>
  <x:si>
    <x:t>26/01/2026</x:t>
  </x:si>
  <x:si>
    <x:t>DIRECCIÓN DE LA AGENCIA ESPAÑOLA DE COOPERACIÓN INTERNACIONAL PARA EL DESARROLLO (AECID)</x:t>
  </x:si>
  <x:si>
    <x:t>Contrato para la provisión de servicios de toma y edición de fotografía y vídeo para la AECID</x:t>
  </x:si>
  <x:si>
    <x:t>2025QdD00029</x:t>
  </x:si>
  <x:si>
    <x:t>Importe sin impuestos</x:t>
  </x:si>
  <x:si>
    <x:t/>
  </x:si>
  <x:si>
    <x:t>-----</x:t>
  </x:si>
  <x:si>
    <x:t>24/01/2026</x:t>
  </x:si>
  <x:si>
    <x:t/>
  </x:si>
  <x:si>
    <x:t>Madrid</x:t>
  </x:si>
  <x:si>
    <x:t>19/02/2026</x:t>
  </x:si>
  <x:si>
    <x:t>2026007379</x:t>
  </x:si>
  <x:si>
    <x:t>SOCIEDAD MERCANTIL ESTATAL DE ACCIÓN CULTURAL S.A</x:t>
  </x:si>
  <x:si>
    <x:t>Diseño integral, propuesta expositiva y dirección de producción, montaje y desmontaje del Pabellón de España en la exposición internacional EXPO 2027 BELGRADE, SERBIA, bajo el lema general de la Expo "Play for Humanity: Sport and music for all"</x:t>
  </x:si>
  <x:si>
    <x:t>220126/01 CONC</x:t>
  </x:si>
  <x:si>
    <x:t/>
  </x:si>
  <x:si>
    <x:t>Serbia</x:t>
  </x:si>
  <x:si>
    <x:t>09/02/2026</x:t>
  </x:si>
  <x:si>
    <x:t>2026007386</x:t>
  </x:si>
  <x:si>
    <x:t>PRESIDENCIA DEL CONSEJO DE ADMINISTRACIÓN DEL HIPÓDROMO DE LA ZARZUELA, S.A., S.M.E</x:t>
  </x:si>
  <x:si>
    <x:t>Servicios de locución de las carreras de caballos en el Hipódromo de la Zarzuela (Madrid) para la temporada 2026</x:t>
  </x:si>
  <x:si>
    <x:t>2026/ LOCUTOR HZ</x:t>
  </x:si>
  <x:si>
    <x:t/>
  </x:si>
  <x:si>
    <x:t>2026007394</x:t>
  </x:si>
  <x:si>
    <x:t>FUNDACIÓ BARCELONA MOBILE WORLD CAPITAL FOUNDATION</x:t>
  </x:si>
  <x:si>
    <x:t>El objeto del presente contrato es la prestación de un servicio de conceptualización, diseño, producción y servicios asociados de la exposición temporal de MWCapital en el espacio Palau Robert, que se celebrará, en principio, desde junio hasta septiembre de 2026</x:t>
  </x:si>
  <x:si>
    <x:t>A/F202601/S</x:t>
  </x:si>
  <x:si>
    <x:t>23/01/2026</x:t>
  </x:si>
  <x:si>
    <x:t/>
  </x:si>
  <x:si>
    <x:t>Barcelona</x:t>
  </x:si>
  <x:si>
    <x:t>2026007420</x:t>
  </x:si>
  <x:si>
    <x:t>FUNDACIÓ PRIVADA INSTITUT DE RECERCA DE L'HOSPITAL DE LA SANTA CREU I SANT PAU</x:t>
  </x:si>
  <x:si>
    <x:t>El objeto del presente contrato consiste en la contratación de los “Servicios de diseño y creación web de la memoria anual de 2025 para la Fundación Instituto de Investigación del Hospital de Santa Cruz y San Pablo en versión web y papel”</x:t>
  </x:si>
  <x:si>
    <x:t>LICIR-OS 26/01</x:t>
  </x:si>
  <x:si>
    <x:t/>
  </x:si>
  <x:si>
    <x:t>2026007437</x:t>
  </x:si>
  <x:si>
    <x:t>CALAFELL EMPRESA MUNICIPAL DE SERVEIS, SA</x:t>
  </x:si>
  <x:si>
    <x:t>El objeto del presente contrato es la contratación de un servicio integral de comunicación, campañas informativas, producción gráfica y audiovisual, gestión digital y acciones de sensibilización y educación ambiental vinculadas a la gestión de residuos municipales de CEMSSA durante el año 2026</x:t>
  </x:si>
  <x:si>
    <x:t>1/2026-OS</x:t>
  </x:si>
  <x:si>
    <x:t/>
  </x:si>
  <x:si>
    <x:t>Tarragona</x:t>
  </x:si>
  <x:si>
    <x:t>2026007504</x:t>
  </x:si>
  <x:si>
    <x:t>AYUNTAMIENTO DE FORNELLS DE LA SELVA (GIRONA)</x:t>
  </x:si>
  <x:si>
    <x:t>Es objeto del contrato la prestación del servicio de gestión de redes sociales, página web, gestión de la app municipal, agenda quincenal, así como el diseño, montaje, maquetación e impresión de la revista municipal trimestral, carteles, folletos, calendarios y otras publicaciones municipales</x:t>
  </x:si>
  <x:si>
    <x:t>X2025001329</x:t>
  </x:si>
  <x:si>
    <x:t/>
  </x:si>
  <x:si>
    <x:t>Girona</x:t>
  </x:si>
  <x:si>
    <x:t>2026007520</x:t>
  </x:si>
  <x:si>
    <x:t>DIRECCIÓN GENERAL DE IBERMUTUA, MUTUA COLABORADORA CON LA SEGURIDAD SOCIAL Nº 274</x:t>
  </x:si>
  <x:si>
    <x:t>El objeto de contrato son los Servicios de Comunicación, realización de clipping y apoyo al gabinete de prensa para Ibermutua</x:t>
  </x:si>
  <x:si>
    <x:t>CG-2026/2801/0018</x:t>
  </x:si>
  <x:si>
    <x:t/>
  </x:si>
  <x:si>
    <x:t>Ver pliegos</x:t>
  </x:si>
  <x:si>
    <x:t>Catalunya - Plataforma de Contratación</x:t>
  </x:si>
  <x:si>
    <x:t>02/02/2026</x:t>
  </x:si>
  <x:si>
    <x:t>2026007702</x:t>
  </x:si>
  <x:si>
    <x:t>CONSORCIO INTERCOMARCAL DE INICIATIVAS SOCIOECONÓMICAS</x:t>
  </x:si>
  <x:si>
    <x:t>Contrato de servicios para la gestión del Coworkfest 2026, Festival de Coworking Rural de Catalunya.</x:t>
  </x:si>
  <x:si>
    <x:t>1403-000009/2026</x:t>
  </x:si>
  <x:si>
    <x:t>IVA excluido</x:t>
  </x:si>
  <x:si>
    <x:t/>
  </x:si>
  <x:si>
    <x:t/>
  </x:si>
  <x:si>
    <x:t>Catalunya</x:t>
  </x:si>
  <x:si>
    <x:t>2026007849</x:t>
  </x:si>
  <x:si>
    <x:t>AYUNTAMIENTO DE ROSES (GIRONA)</x:t>
  </x:si>
  <x:si>
    <x:t>Servicios de producción, grabación y edición de cápsulas audiovisuales en formato vídeo y/o infografía animada o estática para anunciar y difundir las actividades, proyectos y servicios promovidos por el Ayuntamiento de Roses. Se considera que la realización de este servicio es fundamental para la difusión entre la ciudadanía de la actividad de los diferentes ámbitos y servicios municipales (cultural, patrimonial, deportivo, educativo, económico, medioambiental, urbanístico, social, etc), llevados a cabo en Roses por el Ayuntamiento o por terceros en colaboración con el Ayuntamiento</x:t>
  </x:si>
  <x:si>
    <x:t>2025/010816</x:t>
  </x:si>
  <x:si>
    <x:t/>
  </x:si>
  <x:si>
    <x:t>DOUE - Diario Oficial de la Unión Europea (S)</x:t>
  </x:si>
  <x:si>
    <x:t>2026007864</x:t>
  </x:si>
  <x:si>
    <x:t>EIT URBAN MOBILITY</x:t>
  </x:si>
  <x:si>
    <x:t>Convocatoria de propuestas para la implementación de actividades de marketing digital y difusión para el Campus EIT 26-28
. Mediante el presente procedimiento de licitación, EIT Urban Mobility, en adelante “EIT UM”, busca apoyo profesional para el diseño e implementación de actividades de marketing digital y difusión para el proyecto Campus EIT, mediante la designación de un proveedor de comunicaciones y marketing digital (en adelante, el “Proveedor”). Este documento, junto con sus anexos, constituye una Convocatoria de propuestas (RFP) emitida por EIT Urban Mobility para una posible contratación de servicios en el ámbito del diseño e implementación de actividades de marketing, comunicación y difusión para el Campus EIT. EIT Urban Mobility forma parte del Clúster de Educación y Habilidades Empresariales de EIT Cross KIC (EntrEduSkills), un proyecto paneuropeo conjunto en el marco de Horizonte Europa y del EIT. Este proyecto representa un esfuerzo sin precedentes en el ecosistema educativo del EIT para desarrollar una oferta educativa integral, única e intersectorial que implemente directamente la Unión de Competencias y el Plan Estratégico de Educación STEM. Entre otras iniciativas, EntrEduSkills imparte e implementa el Campus EIT.</x:t>
  </x:si>
  <x:si>
    <x:t>No consta</x:t>
  </x:si>
  <x:si>
    <x:t>16</x:t>
  </x:si>
  <x:si>
    <x:t/>
  </x:si>
  <x:si>
    <x:t>2026007868</x:t>
  </x:si>
  <x:si>
    <x:t>Convocatoria de propuestas para la implementación de actividades de marketing, comunicación y contenido para la Iniciativa de Talento Tecnológico STEM del EIT 26-28
. Mediante el presente procedimiento de licitación, EIT Urban Mobility, en adelante “EIT UM”, busca apoyo profesional para el diseño e implementación de actividades de marketing, comunicación y contenido para la Iniciativa de Talento Tecnológico STEM del EIT (en adelante “EIT STEM”), mediante la designación de un proveedor de comunicaciones y marketing digital (en adelante “Proveedor”). Este documento, junto con sus anexos, constituye una Convocatoria de propuestas (RFP) emitida por EIT Urban Mobility para una posible contratación de servicios en el ámbito del diseño e implementación de actividades de marketing, comunicación y contenido para la Iniciativa STEM del EIT. EIT Urban Mobility forma parte del Clúster de Educación y Habilidades Empresariales Cross KIC del EIT (EntrEduSkills), un proyecto paneuropeo conjunto en el marco de Horizonte Europa y del EIT. Este proyecto representa un esfuerzo sin precedentes en el ecosistema educativo del EIT para desarrollar una oferta educativa integral, única e intersectorial que implemente directamente la Unión de Competencias y el Plan Estratégico de Educación STEM. Entre otras iniciativas, EntrEduSkills imparte e implementa el EIT STEM.</x:t>
  </x:si>
  <x:si>
    <x:t/>
  </x:si>
</x:sst>
</file>

<file path=xl/styles.xml><?xml version="1.0" encoding="utf-8"?>
<styleSheet xmlns="http://schemas.openxmlformats.org/spreadsheetml/2006/main">
  <numFmts count="1">
    <numFmt numFmtId="164" formatCode="#,##0.00&quot; €&quot;;[Red]\-#,##0.00&quot; €&quot;"/>
  </numFmts>
  <fonts count="5">
    <font>
      <sz val="11"/>
      <name val="Calibri"/>
      <charset val="1"/>
    </font>
    <font>
      <sz val="10"/>
      <name val="Calibri"/>
      <family val="2"/>
      <charset val="1"/>
    </font>
    <font>
      <b/>
      <sz val="10"/>
      <color theme="0"/>
      <name val="Calibri"/>
      <family val="2"/>
      <charset val="1"/>
    </font>
    <font>
      <u/>
      <sz val="11"/>
      <color theme="10"/>
      <name val="Calibri"/>
      <charset val="1"/>
    </font>
    <font>
      <u/>
      <sz val="10"/>
      <color theme="10"/>
      <name val="Calibri"/>
      <family val="2"/>
      <charset val="1"/>
    </font>
  </fonts>
  <fills count="3">
    <fill>
      <patternFill patternType="none"/>
    </fill>
    <fill>
      <patternFill patternType="gray125"/>
    </fill>
    <fill>
      <patternFill patternType="solid">
        <fgColor theme="3"/>
        <bgColor rgb="FF003366"/>
      </patternFill>
    </fill>
  </fills>
  <borders count="3">
    <border>
      <left/>
      <right/>
      <top/>
      <bottom/>
      <diagonal/>
    </border>
    <border>
      <left/>
      <right/>
      <top/>
      <bottom style="thin">
        <color auto="1"/>
      </bottom>
      <diagonal/>
    </border>
    <border>
      <left/>
      <right/>
      <top style="thin">
        <color auto="1"/>
      </top>
      <bottom style="thin">
        <color auto="1"/>
      </bottom>
      <diagonal/>
    </border>
  </borders>
  <cellStyleXfs count="2">
    <xf numFmtId="0" fontId="0" fillId="0" borderId="0"/>
    <xf numFmtId="0" fontId="3" fillId="0" borderId="0" applyBorder="0" applyProtection="0"/>
  </cellStyleXfs>
  <cellXfs count="15">
    <xf numFmtId="0" fontId="0" fillId="0" borderId="0" xfId="0"/>
    <xf numFmtId="0" fontId="1" fillId="0" borderId="0" xfId="0" applyFont="1" applyAlignment="1" applyProtection="1">
      <alignment vertical="center" wrapText="1"/>
    </xf>
    <xf numFmtId="0" fontId="1" fillId="0" borderId="0" xfId="0" applyFont="1" applyAlignment="1" applyProtection="1">
      <alignment horizontal="center" vertical="center" wrapText="1"/>
    </xf>
    <xf numFmtId="0" fontId="1" fillId="0" borderId="0" xfId="0" applyFont="1" applyAlignment="1" applyProtection="1">
      <alignment vertical="center"/>
    </xf>
    <xf numFmtId="0" fontId="2" fillId="2" borderId="1" xfId="0" applyFont="1" applyFill="1" applyBorder="1" applyAlignment="1" applyProtection="1">
      <alignment horizontal="center" vertical="center" wrapText="1"/>
    </xf>
    <xf numFmtId="0" fontId="1" fillId="0" borderId="0" xfId="0" applyFont="1" applyAlignment="1" applyProtection="1">
      <alignment horizontal="center" vertical="center"/>
    </xf>
    <xf numFmtId="0" fontId="1" fillId="0" borderId="1" xfId="0" applyFont="1" applyBorder="1" applyAlignment="1" applyProtection="1">
      <alignment vertical="center" wrapText="1"/>
    </xf>
    <xf numFmtId="14" fontId="1" fillId="0" borderId="1" xfId="0" applyNumberFormat="1" applyFont="1" applyBorder="1" applyAlignment="1" applyProtection="1">
      <alignment horizontal="center" vertical="center" wrapText="1"/>
    </xf>
    <xf numFmtId="0" fontId="1" fillId="0" borderId="1" xfId="0" applyFont="1" applyBorder="1" applyAlignment="1" applyProtection="1">
      <alignment horizontal="center" vertical="center" wrapText="1"/>
    </xf>
    <xf numFmtId="14" fontId="1" fillId="0" borderId="1" xfId="0" applyNumberFormat="1" applyFont="1" applyBorder="1" applyAlignment="1" applyProtection="1">
      <alignment vertical="center" wrapText="1"/>
    </xf>
    <xf numFmtId="164" fontId="1" fillId="0" borderId="2" xfId="0" applyNumberFormat="1" applyFont="1" applyBorder="1" applyAlignment="1" applyProtection="1">
      <alignment vertical="center" wrapText="1"/>
    </xf>
    <xf numFmtId="0" fontId="1" fillId="0" borderId="2" xfId="0" applyFont="1" applyBorder="1" applyAlignment="1" applyProtection="1">
      <alignment vertical="center" wrapText="1"/>
    </xf>
    <xf numFmtId="0" fontId="4" fillId="0" borderId="2" xfId="1" applyFont="1" applyBorder="1" applyAlignment="1" applyProtection="1">
      <alignment vertical="center" wrapText="1"/>
    </xf>
    <xf numFmtId="14" fontId="1" fillId="0" borderId="2" xfId="0" applyNumberFormat="1" applyFont="1" applyBorder="1" applyAlignment="1" applyProtection="1">
      <alignment vertical="center" wrapText="1"/>
    </xf>
    <xf numFmtId="0" fontId="4" fillId="0" borderId="1" xfId="1" applyFont="1" applyBorder="1" applyAlignment="1" applyProtection="1">
      <alignment vertical="center" wrapText="1"/>
    </xf>
  </cellXfs>
  <cellStyles count="2">
    <cellStyle name="Hipervínculo" xfId="1" builtinId="8"/>
    <cellStyle name="Normal" xfId="0" builtinId="0"/>
  </cellStyles>
  <dxfs count="0"/>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97D"/>
      <rgbColor rgb="FF333333"/>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dimension ref="A1:Q2"/>
  <x:sheetViews>
    <x:sheetView showGridLines="0" tabSelected="1" zoomScaleNormal="100" workbookViewId="0">
      <x:selection sqref="A1:XFD1"/>
    </x:sheetView>
  </x:sheetViews>
  <x:sheetFormatPr baseColWidth="10" defaultColWidth="11.5703125" defaultRowHeight="12.75"/>
  <x:cols>
    <x:col min="1" max="1" width="8.5703125" style="1" customWidth="1"/>
    <x:col min="2" max="2" width="18.85546875" style="1" customWidth="1"/>
    <x:col min="3" max="3" width="19.140625" style="2" customWidth="1"/>
    <x:col min="4" max="4" width="11.140625" style="2" customWidth="1"/>
    <x:col min="5" max="5" width="14.85546875" style="1" hidden="1" customWidth="1"/>
    <x:col min="6" max="6" width="24.7109375" style="1" customWidth="1"/>
    <x:col min="7" max="7" width="57.42578125" style="1" customWidth="1"/>
    <x:col min="8" max="8" width="17.140625" style="1" customWidth="1"/>
    <x:col min="9" max="9" width="14.28515625" style="1" customWidth="1"/>
    <x:col min="10" max="10" width="16.85546875" style="1" hidden="1" customWidth="1"/>
    <x:col min="11" max="11" width="19.42578125" style="1" hidden="1" customWidth="1"/>
    <x:col min="12" max="12" width="33.85546875" style="1" customWidth="1"/>
    <x:col min="13" max="13" width="15.85546875" style="1" hidden="1" customWidth="1"/>
    <x:col min="14" max="14" width="13.85546875" style="1" hidden="1" customWidth="1"/>
    <x:col min="15" max="15" width="11.7109375" style="1" hidden="1" customWidth="1"/>
    <x:col min="16" max="16" width="17.140625" style="1" customWidth="1"/>
    <x:col min="17" max="17" width="29.7109375" style="1" customWidth="1"/>
    <x:col min="18" max="16384" width="11.5703125" style="3"/>
  </x:cols>
  <x:sheetData>
    <x:row r="1" spans="1:17" s="5" customFormat="1" ht="25.5">
      <x:c r="A1" s="4" t="s">
        <x:v>0</x:v>
      </x:c>
      <x:c r="B1" s="4" t="s">
        <x:v>1</x:v>
      </x:c>
      <x:c r="C1" s="4" t="s">
        <x:v>2</x:v>
      </x:c>
      <x:c r="D1" s="4" t="s">
        <x:v>3</x:v>
      </x:c>
      <x:c r="E1" s="4" t="s">
        <x:v>4</x:v>
      </x:c>
      <x:c r="F1" s="4" t="s">
        <x:v>5</x:v>
      </x:c>
      <x:c r="G1" s="4" t="s">
        <x:v>6</x:v>
      </x:c>
      <x:c r="H1" s="4" t="s">
        <x:v>7</x:v>
      </x:c>
      <x:c r="I1" s="4" t="s">
        <x:v>8</x:v>
      </x:c>
      <x:c r="J1" s="4" t="s">
        <x:v>9</x:v>
      </x:c>
      <x:c r="K1" s="4" t="s">
        <x:v>10</x:v>
      </x:c>
      <x:c r="L1" s="4" t="s">
        <x:v>11</x:v>
      </x:c>
      <x:c r="M1" s="4" t="s">
        <x:v>12</x:v>
      </x:c>
      <x:c r="N1" s="4" t="s">
        <x:v>13</x:v>
      </x:c>
      <x:c r="O1" s="4" t="s">
        <x:v>14</x:v>
      </x:c>
      <x:c r="P1" s="4" t="s">
        <x:v>15</x:v>
      </x:c>
      <x:c r="Q1" s="4" t="s">
        <x:v>16</x:v>
      </x:c>
    </x:row>
    <x:row r="2" spans="1:17">
      <x:c r="A2" s="6" t="s">
        <x:v>17</x:v>
      </x:c>
      <x:c r="B2" s="6" t="s">
        <x:v>18</x:v>
      </x:c>
      <x:c r="C2" s="7" t="s">
        <x:v>19</x:v>
      </x:c>
      <x:c r="D2" s="8" t="s">
        <x:v>20</x:v>
      </x:c>
      <x:c r="E2" s="9" t="s">
        <x:v>21</x:v>
      </x:c>
      <x:c r="F2" s="6" t="s">
        <x:v>22</x:v>
      </x:c>
      <x:c r="G2" s="6" t="s">
        <x:v>23</x:v>
      </x:c>
      <x:c r="H2" s="6" t="s">
        <x:v>24</x:v>
      </x:c>
      <x:c r="I2" s="10" t="n">
        <x:v>123966.94</x:v>
      </x:c>
      <x:c r="J2" s="11" t="s">
        <x:v>25</x:v>
      </x:c>
      <x:c r="K2" s="11" t="s">
        <x:v>26</x:v>
      </x:c>
      <x:c r="L2" s="12" t="str">
        <x:f xml:space="preserve">HYPERLINK("https://contrataciondelestado.es/wps/poc?uri=deeplink:detalle_licitacion&amp;idEvl=EHHKy0XmOrezz8fXU2i3eQ%3D%3D","contrataciondelestado.es/wps/poc?uri=deeplink:detalle_licitacion&amp;idEvl=EHHKy0XmOrezz8fXU2i3eQ%3D%3D")</x:f>
        <x:v>contrataciondelestado.es/wps/poc?uri=deeplink:detalle_licitacion&amp;idEvl=EHHKy0XmOrezz8fXU2i3eQ%3D%3D</x:v>
      </x:c>
      <x:c r="M2" s="11" t="s">
        <x:v>27</x:v>
      </x:c>
      <x:c r="N2" s="13" t="s">
        <x:v>28</x:v>
      </x:c>
      <x:c r="O2" s="11" t="s">
        <x:v>29</x:v>
      </x:c>
      <x:c r="P2" s="11" t="s">
        <x:v>30</x:v>
      </x:c>
      <x:c r="Q2" s="14" t="str">
        <x:f xml:space="preserve">HYPERLINK("https://www.infonalia.es/licitaciones0126/2026007374.pdf","www.infonalia.es/licitaciones0126/2026007374.pdf")</x:f>
        <x:v>www.infonalia.es/licitaciones0126/2026007374.pdf</x:v>
      </x:c>
    </x:row>
    <x:row r="3">
      <x:c r="A3" s="6" t="s">
        <x:v>17</x:v>
      </x:c>
      <x:c r="B3" s="6" t="s">
        <x:v>18</x:v>
      </x:c>
      <x:c r="C3" s="7" t="s">
        <x:v>31</x:v>
      </x:c>
      <x:c r="D3" s="8" t="s">
        <x:v>32</x:v>
      </x:c>
      <x:c r="E3" s="9" t="s">
        <x:v>21</x:v>
      </x:c>
      <x:c r="F3" s="6" t="s">
        <x:v>33</x:v>
      </x:c>
      <x:c r="G3" s="6" t="s">
        <x:v>34</x:v>
      </x:c>
      <x:c r="H3" s="6" t="s">
        <x:v>35</x:v>
      </x:c>
      <x:c r="I3" s="10" t="n">
        <x:v>505000.00</x:v>
      </x:c>
      <x:c r="J3" s="11" t="s">
        <x:v>25</x:v>
      </x:c>
      <x:c r="K3" s="11" t="s">
        <x:v>26</x:v>
      </x:c>
      <x:c r="L3" s="12" t="str">
        <x:f xml:space="preserve">HYPERLINK("https://contrataciondelestado.es/wps/poc?uri=deeplink:detalle_licitacion&amp;idEvl=dhZKVmwoiNXgL1BHd3qjQA%3D%3D","contrataciondelestado.es/wps/poc?uri=deeplink:detalle_licitacion&amp;idEvl=dhZKVmwoiNXgL1BHd3qjQA%3D%3D")</x:f>
        <x:v>contrataciondelestado.es/wps/poc?uri=deeplink:detalle_licitacion&amp;idEvl=dhZKVmwoiNXgL1BHd3qjQA%3D%3D</x:v>
      </x:c>
      <x:c r="M3" s="11" t="s">
        <x:v>27</x:v>
      </x:c>
      <x:c r="N3" s="13" t="s">
        <x:v>28</x:v>
      </x:c>
      <x:c r="O3" s="11" t="s">
        <x:v>36</x:v>
      </x:c>
      <x:c r="P3" s="11" t="s">
        <x:v>37</x:v>
      </x:c>
      <x:c r="Q3" s="14" t="str">
        <x:f xml:space="preserve">HYPERLINK("https://www.infonalia.es/licitaciones0126/2026007379.pdf","www.infonalia.es/licitaciones0126/2026007379.pdf")</x:f>
        <x:v>www.infonalia.es/licitaciones0126/2026007379.pdf</x:v>
      </x:c>
    </x:row>
    <x:row r="4">
      <x:c r="A4" s="6" t="s">
        <x:v>17</x:v>
      </x:c>
      <x:c r="B4" s="6" t="s">
        <x:v>18</x:v>
      </x:c>
      <x:c r="C4" s="7" t="s">
        <x:v>38</x:v>
      </x:c>
      <x:c r="D4" s="8" t="s">
        <x:v>39</x:v>
      </x:c>
      <x:c r="E4" s="9" t="s">
        <x:v>21</x:v>
      </x:c>
      <x:c r="F4" s="6" t="s">
        <x:v>40</x:v>
      </x:c>
      <x:c r="G4" s="6" t="s">
        <x:v>41</x:v>
      </x:c>
      <x:c r="H4" s="6" t="s">
        <x:v>42</x:v>
      </x:c>
      <x:c r="I4" s="10" t="n">
        <x:v>30720.00</x:v>
      </x:c>
      <x:c r="J4" s="11" t="s">
        <x:v>25</x:v>
      </x:c>
      <x:c r="K4" s="11" t="s">
        <x:v>26</x:v>
      </x:c>
      <x:c r="L4" s="12" t="str">
        <x:f xml:space="preserve">HYPERLINK("https://contrataciondelestado.es/wps/poc?uri=deeplink:detalle_licitacion&amp;idEvl=PeE6wPRP%2F4cS7pcxhTeWOg%3D%3D","contrataciondelestado.es/wps/poc?uri=deeplink:detalle_licitacion&amp;idEvl=PeE6wPRP%2F4cS7pcxhTeWOg%3D%3D")</x:f>
        <x:v>contrataciondelestado.es/wps/poc?uri=deeplink:detalle_licitacion&amp;idEvl=PeE6wPRP%2F4cS7pcxhTeWOg%3D%3D</x:v>
      </x:c>
      <x:c r="M4" s="11" t="s">
        <x:v>27</x:v>
      </x:c>
      <x:c r="N4" s="13" t="s">
        <x:v>28</x:v>
      </x:c>
      <x:c r="O4" s="11" t="s">
        <x:v>43</x:v>
      </x:c>
      <x:c r="P4" s="11" t="s">
        <x:v>30</x:v>
      </x:c>
      <x:c r="Q4" s="14" t="str">
        <x:f xml:space="preserve">HYPERLINK("https://www.infonalia.es/licitaciones0126/2026007386.pdf","www.infonalia.es/licitaciones0126/2026007386.pdf")</x:f>
        <x:v>www.infonalia.es/licitaciones0126/2026007386.pdf</x:v>
      </x:c>
    </x:row>
    <x:row r="5">
      <x:c r="A5" s="6" t="s">
        <x:v>17</x:v>
      </x:c>
      <x:c r="B5" s="6" t="s">
        <x:v>18</x:v>
      </x:c>
      <x:c r="C5" s="7" t="s">
        <x:v>19</x:v>
      </x:c>
      <x:c r="D5" s="8" t="s">
        <x:v>44</x:v>
      </x:c>
      <x:c r="E5" s="9" t="s">
        <x:v>21</x:v>
      </x:c>
      <x:c r="F5" s="6" t="s">
        <x:v>45</x:v>
      </x:c>
      <x:c r="G5" s="6" t="s">
        <x:v>46</x:v>
      </x:c>
      <x:c r="H5" s="6" t="s">
        <x:v>47</x:v>
      </x:c>
      <x:c r="I5" s="10" t="n">
        <x:v>420000.00</x:v>
      </x:c>
      <x:c r="J5" s="11" t="s">
        <x:v>25</x:v>
      </x:c>
      <x:c r="K5" s="11" t="s">
        <x:v>26</x:v>
      </x:c>
      <x:c r="L5" s="12" t="str">
        <x:f xml:space="preserve">HYPERLINK("https://contractaciopublica.cat/es/detall-publicacio/90344854-fc78-44a5-8be3-f874766ff26f/300674748","contractaciopublica.cat/es/detall-publicacio/90344854-fc78-44a5-8be3-f874766ff26f/300674748")</x:f>
        <x:v>contractaciopublica.cat/es/detall-publicacio/90344854-fc78-44a5-8be3-f874766ff26f/300674748</x:v>
      </x:c>
      <x:c r="M5" s="11" t="s">
        <x:v>27</x:v>
      </x:c>
      <x:c r="N5" s="13" t="s">
        <x:v>48</x:v>
      </x:c>
      <x:c r="O5" s="11" t="s">
        <x:v>49</x:v>
      </x:c>
      <x:c r="P5" s="11" t="s">
        <x:v>50</x:v>
      </x:c>
      <x:c r="Q5" s="14" t="str">
        <x:f xml:space="preserve">HYPERLINK("https://www.infonalia.es/licitaciones0126/2026007394.pdf","www.infonalia.es/licitaciones0126/2026007394.pdf")</x:f>
        <x:v>www.infonalia.es/licitaciones0126/2026007394.pdf</x:v>
      </x:c>
    </x:row>
    <x:row r="6">
      <x:c r="A6" s="6" t="s">
        <x:v>17</x:v>
      </x:c>
      <x:c r="B6" s="6" t="s">
        <x:v>18</x:v>
      </x:c>
      <x:c r="C6" s="7" t="s">
        <x:v>38</x:v>
      </x:c>
      <x:c r="D6" s="8" t="s">
        <x:v>51</x:v>
      </x:c>
      <x:c r="E6" s="9" t="s">
        <x:v>21</x:v>
      </x:c>
      <x:c r="F6" s="6" t="s">
        <x:v>52</x:v>
      </x:c>
      <x:c r="G6" s="6" t="s">
        <x:v>53</x:v>
      </x:c>
      <x:c r="H6" s="6" t="s">
        <x:v>54</x:v>
      </x:c>
      <x:c r="I6" s="10" t="n">
        <x:v>15000.00</x:v>
      </x:c>
      <x:c r="J6" s="11" t="s">
        <x:v>25</x:v>
      </x:c>
      <x:c r="K6" s="11" t="s">
        <x:v>26</x:v>
      </x:c>
      <x:c r="L6" s="12" t="str">
        <x:f xml:space="preserve">HYPERLINK("https://contractaciopublica.cat/ca/detall-publicacio/79069519-b4cb-4550-b011-16c672ad628b/300674596","contractaciopublica.cat/ca/detall-publicacio/79069519-b4cb-4550-b011-16c672ad628b/300674596")</x:f>
        <x:v>contractaciopublica.cat/ca/detall-publicacio/79069519-b4cb-4550-b011-16c672ad628b/300674596</x:v>
      </x:c>
      <x:c r="M6" s="11" t="s">
        <x:v>27</x:v>
      </x:c>
      <x:c r="N6" s="13" t="s">
        <x:v>48</x:v>
      </x:c>
      <x:c r="O6" s="11" t="s">
        <x:v>55</x:v>
      </x:c>
      <x:c r="P6" s="11" t="s">
        <x:v>50</x:v>
      </x:c>
      <x:c r="Q6" s="14" t="str">
        <x:f xml:space="preserve">HYPERLINK("https://www.infonalia.es/licitaciones0126/2026007420.pdf","www.infonalia.es/licitaciones0126/2026007420.pdf")</x:f>
        <x:v>www.infonalia.es/licitaciones0126/2026007420.pdf</x:v>
      </x:c>
    </x:row>
    <x:row r="7">
      <x:c r="A7" s="6" t="s">
        <x:v>17</x:v>
      </x:c>
      <x:c r="B7" s="6" t="s">
        <x:v>18</x:v>
      </x:c>
      <x:c r="C7" s="7" t="s">
        <x:v>38</x:v>
      </x:c>
      <x:c r="D7" s="8" t="s">
        <x:v>56</x:v>
      </x:c>
      <x:c r="E7" s="9" t="s">
        <x:v>21</x:v>
      </x:c>
      <x:c r="F7" s="6" t="s">
        <x:v>57</x:v>
      </x:c>
      <x:c r="G7" s="6" t="s">
        <x:v>58</x:v>
      </x:c>
      <x:c r="H7" s="6" t="s">
        <x:v>59</x:v>
      </x:c>
      <x:c r="I7" s="10" t="n">
        <x:v>56039.00</x:v>
      </x:c>
      <x:c r="J7" s="11" t="s">
        <x:v>25</x:v>
      </x:c>
      <x:c r="K7" s="11" t="s">
        <x:v>26</x:v>
      </x:c>
      <x:c r="L7" s="12" t="str">
        <x:f xml:space="preserve">HYPERLINK("https://contractaciopublica.cat/ca/detall-publicacio/506202ab-a226-4da1-9de5-8ed3c6a70866/300663815","contractaciopublica.cat/ca/detall-publicacio/506202ab-a226-4da1-9de5-8ed3c6a70866/300663815")</x:f>
        <x:v>contractaciopublica.cat/ca/detall-publicacio/506202ab-a226-4da1-9de5-8ed3c6a70866/300663815</x:v>
      </x:c>
      <x:c r="M7" s="11" t="s">
        <x:v>27</x:v>
      </x:c>
      <x:c r="N7" s="13" t="s">
        <x:v>48</x:v>
      </x:c>
      <x:c r="O7" s="11" t="s">
        <x:v>60</x:v>
      </x:c>
      <x:c r="P7" s="11" t="s">
        <x:v>61</x:v>
      </x:c>
      <x:c r="Q7" s="14" t="str">
        <x:f xml:space="preserve">HYPERLINK("https://www.infonalia.es/licitaciones0126/2026007437.pdf","www.infonalia.es/licitaciones0126/2026007437.pdf")</x:f>
        <x:v>www.infonalia.es/licitaciones0126/2026007437.pdf</x:v>
      </x:c>
    </x:row>
    <x:row r="8">
      <x:c r="A8" s="6" t="s">
        <x:v>17</x:v>
      </x:c>
      <x:c r="B8" s="6" t="s">
        <x:v>18</x:v>
      </x:c>
      <x:c r="C8" s="7" t="s">
        <x:v>38</x:v>
      </x:c>
      <x:c r="D8" s="8" t="s">
        <x:v>62</x:v>
      </x:c>
      <x:c r="E8" s="9" t="s">
        <x:v>21</x:v>
      </x:c>
      <x:c r="F8" s="6" t="s">
        <x:v>63</x:v>
      </x:c>
      <x:c r="G8" s="6" t="s">
        <x:v>64</x:v>
      </x:c>
      <x:c r="H8" s="6" t="s">
        <x:v>65</x:v>
      </x:c>
      <x:c r="I8" s="10" t="n">
        <x:v>72429.21</x:v>
      </x:c>
      <x:c r="J8" s="11" t="s">
        <x:v>25</x:v>
      </x:c>
      <x:c r="K8" s="11" t="s">
        <x:v>26</x:v>
      </x:c>
      <x:c r="L8" s="12" t="str">
        <x:f xml:space="preserve">HYPERLINK("https://contractaciopublica.cat/ca/detall-publicacio/c5db5579-4b6d-4215-b2bf-ed5055ce2c9f/300674164","contractaciopublica.cat/ca/detall-publicacio/c5db5579-4b6d-4215-b2bf-ed5055ce2c9f/300674164")</x:f>
        <x:v>contractaciopublica.cat/ca/detall-publicacio/c5db5579-4b6d-4215-b2bf-ed5055ce2c9f/300674164</x:v>
      </x:c>
      <x:c r="M8" s="11" t="s">
        <x:v>27</x:v>
      </x:c>
      <x:c r="N8" s="13" t="s">
        <x:v>48</x:v>
      </x:c>
      <x:c r="O8" s="11" t="s">
        <x:v>66</x:v>
      </x:c>
      <x:c r="P8" s="11" t="s">
        <x:v>67</x:v>
      </x:c>
      <x:c r="Q8" s="14" t="str">
        <x:f xml:space="preserve">HYPERLINK("https://www.infonalia.es/licitaciones0126/2026007504.pdf","www.infonalia.es/licitaciones0126/2026007504.pdf")</x:f>
        <x:v>www.infonalia.es/licitaciones0126/2026007504.pdf</x:v>
      </x:c>
    </x:row>
    <x:row r="9">
      <x:c r="A9" s="6" t="s">
        <x:v>17</x:v>
      </x:c>
      <x:c r="B9" s="6" t="s">
        <x:v>18</x:v>
      </x:c>
      <x:c r="C9" s="7" t="s">
        <x:v>38</x:v>
      </x:c>
      <x:c r="D9" s="8" t="s">
        <x:v>68</x:v>
      </x:c>
      <x:c r="E9" s="9" t="s">
        <x:v>21</x:v>
      </x:c>
      <x:c r="F9" s="6" t="s">
        <x:v>69</x:v>
      </x:c>
      <x:c r="G9" s="6" t="s">
        <x:v>70</x:v>
      </x:c>
      <x:c r="H9" s="6" t="s">
        <x:v>71</x:v>
      </x:c>
      <x:c r="I9" s="10" t="n">
        <x:v>18000.00</x:v>
      </x:c>
      <x:c r="J9" s="11" t="s">
        <x:v>25</x:v>
      </x:c>
      <x:c r="K9" s="11" t="s">
        <x:v>26</x:v>
      </x:c>
      <x:c r="L9" s="12" t="str">
        <x:f xml:space="preserve">HYPERLINK("https://contrataciondelestado.es/wps/poc?uri=deeplink:detalle_licitacion&amp;idEvl=KuiQKqJy2CuGCFcHcNGIlQ%3D%3D","contrataciondelestado.es/wps/poc?uri=deeplink:detalle_licitacion&amp;idEvl=KuiQKqJy2CuGCFcHcNGIlQ%3D%3D")</x:f>
        <x:v>contrataciondelestado.es/wps/poc?uri=deeplink:detalle_licitacion&amp;idEvl=KuiQKqJy2CuGCFcHcNGIlQ%3D%3D</x:v>
      </x:c>
      <x:c r="M9" s="11" t="s">
        <x:v>27</x:v>
      </x:c>
      <x:c r="N9" s="13" t="s">
        <x:v>48</x:v>
      </x:c>
      <x:c r="O9" s="11" t="s">
        <x:v>72</x:v>
      </x:c>
      <x:c r="P9" s="11" t="s">
        <x:v>73</x:v>
      </x:c>
      <x:c r="Q9" s="14" t="str">
        <x:f xml:space="preserve">HYPERLINK("https://www.infonalia.es/licitaciones0126/2026007520.pdf","www.infonalia.es/licitaciones0126/2026007520.pdf")</x:f>
        <x:v>www.infonalia.es/licitaciones0126/2026007520.pdf</x:v>
      </x:c>
    </x:row>
    <x:row r="10">
      <x:c r="A10" s="6" t="s">
        <x:v>17</x:v>
      </x:c>
      <x:c r="B10" s="6" t="s">
        <x:v>74</x:v>
      </x:c>
      <x:c r="C10" s="7" t="s">
        <x:v>75</x:v>
      </x:c>
      <x:c r="D10" s="8" t="s">
        <x:v>76</x:v>
      </x:c>
      <x:c r="E10" s="9" t="s">
        <x:v>21</x:v>
      </x:c>
      <x:c r="F10" s="6" t="s">
        <x:v>77</x:v>
      </x:c>
      <x:c r="G10" s="6" t="s">
        <x:v>78</x:v>
      </x:c>
      <x:c r="H10" s="6" t="s">
        <x:v>79</x:v>
      </x:c>
      <x:c r="I10" s="10" t="n">
        <x:v>10330.58</x:v>
      </x:c>
      <x:c r="J10" s="11" t="s">
        <x:v>80</x:v>
      </x:c>
      <x:c r="K10" s="11" t="s">
        <x:v>81</x:v>
      </x:c>
      <x:c r="L10" s="12" t="str">
        <x:f xml:space="preserve">HYPERLINK("https://contractaciopublica.cat/es/detall-publicacio/300674692","contractaciopublica.cat/es/detall-publicacio/300674692")</x:f>
        <x:v>contractaciopublica.cat/es/detall-publicacio/300674692</x:v>
      </x:c>
      <x:c r="M10" s="11" t="s">
        <x:v>27</x:v>
      </x:c>
      <x:c r="N10" s="13" t="s">
        <x:v>21</x:v>
      </x:c>
      <x:c r="O10" s="11" t="s">
        <x:v>82</x:v>
      </x:c>
      <x:c r="P10" s="11" t="s">
        <x:v>83</x:v>
      </x:c>
      <x:c r="Q10" s="14" t="str">
        <x:f xml:space="preserve">HYPERLINK("https://www.infonalia.es/licitaciones0126/2026007702.pdf","www.infonalia.es/licitaciones0126/2026007702.pdf")</x:f>
        <x:v>www.infonalia.es/licitaciones0126/2026007702.pdf</x:v>
      </x:c>
    </x:row>
    <x:row r="11">
      <x:c r="A11" s="6" t="s">
        <x:v>17</x:v>
      </x:c>
      <x:c r="B11" s="6" t="s">
        <x:v>18</x:v>
      </x:c>
      <x:c r="C11" s="7" t="s">
        <x:v>38</x:v>
      </x:c>
      <x:c r="D11" s="8" t="s">
        <x:v>84</x:v>
      </x:c>
      <x:c r="E11" s="9" t="s">
        <x:v>21</x:v>
      </x:c>
      <x:c r="F11" s="6" t="s">
        <x:v>85</x:v>
      </x:c>
      <x:c r="G11" s="6" t="s">
        <x:v>86</x:v>
      </x:c>
      <x:c r="H11" s="6" t="s">
        <x:v>87</x:v>
      </x:c>
      <x:c r="I11" s="10" t="n">
        <x:v>31331.12</x:v>
      </x:c>
      <x:c r="J11" s="11" t="s">
        <x:v>25</x:v>
      </x:c>
      <x:c r="K11" s="11" t="s">
        <x:v>26</x:v>
      </x:c>
      <x:c r="L11" s="12" t="str">
        <x:f xml:space="preserve">HYPERLINK("https://contractaciopublica.cat/ca/detall-publicacio/2e4ad16e-c9d8-47f6-9145-6f2097060c32/300657044","contractaciopublica.cat/ca/detall-publicacio/2e4ad16e-c9d8-47f6-9145-6f2097060c32/300657044")</x:f>
        <x:v>contractaciopublica.cat/ca/detall-publicacio/2e4ad16e-c9d8-47f6-9145-6f2097060c32/300657044</x:v>
      </x:c>
      <x:c r="M11" s="11" t="s">
        <x:v>27</x:v>
      </x:c>
      <x:c r="N11" s="13" t="s">
        <x:v>21</x:v>
      </x:c>
      <x:c r="O11" s="11" t="s">
        <x:v>88</x:v>
      </x:c>
      <x:c r="P11" s="11" t="s">
        <x:v>67</x:v>
      </x:c>
      <x:c r="Q11" s="14" t="str">
        <x:f xml:space="preserve">HYPERLINK("https://www.infonalia.es/licitaciones0126/2026007849.pdf","www.infonalia.es/licitaciones0126/2026007849.pdf")</x:f>
        <x:v>www.infonalia.es/licitaciones0126/2026007849.pdf</x:v>
      </x:c>
    </x:row>
    <x:row r="12">
      <x:c r="A12" s="6" t="s">
        <x:v>17</x:v>
      </x:c>
      <x:c r="B12" s="6" t="s">
        <x:v>89</x:v>
      </x:c>
      <x:c r="C12" s="7" t="s">
        <x:v>26</x:v>
      </x:c>
      <x:c r="D12" s="8" t="s">
        <x:v>90</x:v>
      </x:c>
      <x:c r="E12" s="9" t="s">
        <x:v>21</x:v>
      </x:c>
      <x:c r="F12" s="6" t="s">
        <x:v>91</x:v>
      </x:c>
      <x:c r="G12" s="6" t="s">
        <x:v>92</x:v>
      </x:c>
      <x:c r="H12" s="6" t="s">
        <x:v>93</x:v>
      </x:c>
      <x:c r="I12" s="10"/>
      <x:c r="J12" s="11" t="s">
        <x:v>93</x:v>
      </x:c>
      <x:c r="K12" s="11" t="s">
        <x:v>93</x:v>
      </x:c>
      <x:c r="L12" s="12" t="str">
        <x:f xml:space="preserve">HYPERLINK("https://","")</x:f>
        <x:v/>
      </x:c>
      <x:c r="M12" s="11" t="s">
        <x:v>94</x:v>
      </x:c>
      <x:c r="N12" s="13" t="s">
        <x:v>48</x:v>
      </x:c>
      <x:c r="O12" s="11" t="s">
        <x:v>95</x:v>
      </x:c>
      <x:c r="P12" s="11" t="s">
        <x:v>50</x:v>
      </x:c>
      <x:c r="Q12" s="14" t="str">
        <x:f xml:space="preserve">HYPERLINK("https://www.infonalia.es/licitaciones0126/2026007864.pdf","www.infonalia.es/licitaciones0126/2026007864.pdf")</x:f>
        <x:v>www.infonalia.es/licitaciones0126/2026007864.pdf</x:v>
      </x:c>
    </x:row>
    <x:row r="13">
      <x:c r="A13" s="6" t="s">
        <x:v>17</x:v>
      </x:c>
      <x:c r="B13" s="6" t="s">
        <x:v>89</x:v>
      </x:c>
      <x:c r="C13" s="7" t="s">
        <x:v>26</x:v>
      </x:c>
      <x:c r="D13" s="8" t="s">
        <x:v>96</x:v>
      </x:c>
      <x:c r="E13" s="9" t="s">
        <x:v>21</x:v>
      </x:c>
      <x:c r="F13" s="6" t="s">
        <x:v>91</x:v>
      </x:c>
      <x:c r="G13" s="6" t="s">
        <x:v>97</x:v>
      </x:c>
      <x:c r="H13" s="6" t="s">
        <x:v>93</x:v>
      </x:c>
      <x:c r="I13" s="10"/>
      <x:c r="J13" s="11" t="s">
        <x:v>93</x:v>
      </x:c>
      <x:c r="K13" s="11" t="s">
        <x:v>93</x:v>
      </x:c>
      <x:c r="L13" s="12" t="str">
        <x:f xml:space="preserve">HYPERLINK("https://","")</x:f>
        <x:v/>
      </x:c>
      <x:c r="M13" s="11" t="s">
        <x:v>94</x:v>
      </x:c>
      <x:c r="N13" s="13" t="s">
        <x:v>48</x:v>
      </x:c>
      <x:c r="O13" s="11" t="s">
        <x:v>98</x:v>
      </x:c>
      <x:c r="P13" s="11" t="s">
        <x:v>50</x:v>
      </x:c>
      <x:c r="Q13" s="14" t="str">
        <x:f xml:space="preserve">HYPERLINK("https://www.infonalia.es/licitaciones0126/2026007868.pdf","www.infonalia.es/licitaciones0126/2026007868.pdf")</x:f>
        <x:v>www.infonalia.es/licitaciones0126/2026007868.pdf</x:v>
      </x:c>
    </x:row>
  </x:sheetData>
  <x:autoFilter ref="A1:Q1"/>
  <x:pageMargins left="0.7" right="0.7" top="0.75" bottom="0.75" header="0.511811023622047" footer="0.511811023622047"/>
  <x:pageSetup paperSize="9" orientation="portrait" horizontalDpi="300" verticalDpi="300"/>
</x: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Licitaciones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direc</dc:creator>
  <dc:description/>
  <cp:lastModifiedBy>.</cp:lastModifiedBy>
  <cp:revision>2</cp:revision>
  <dcterms:created xsi:type="dcterms:W3CDTF">2024-12-04T08:39:24Z</dcterms:created>
  <dcterms:modified xsi:type="dcterms:W3CDTF">2025-01-20T07:55:14Z</dcterms:modified>
  <dc:language>es-ES</dc:language>
</cp:coreProperties>
</file>