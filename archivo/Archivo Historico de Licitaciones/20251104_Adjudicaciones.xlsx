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loext="http://schemas.libreoffice.org/" xmlns:r="http://schemas.openxmlformats.org/officeDocument/2006/relationships" xmlns:x="http://schemas.openxmlformats.org/spreadsheetml/2006/main">
  <x:fileVersion appName="xl" lastEdited="4" lowestEdited="4" rupBuild="4506"/>
  <x:workbookPr/>
  <x:bookViews>
    <x:workbookView xWindow="0" yWindow="0" windowWidth="16380" windowHeight="8190" tabRatio="500"/>
  </x:bookViews>
  <x:sheets>
    <x:sheet name="Adjudicaciones" sheetId="1" r:id="rId1"/>
  </x:sheets>
  <x:definedNames>
    <x:definedName name="_xlnm._FilterDatabase" localSheetId="0" hidden="1">Adjudicaciones!$A$1:$K$1</x:definedName>
  </x:definedNames>
  <x:calcPr calcId="125725" iterateDelta="1E-4"/>
  <x:extLst>
    <x:ext xmlns:loext="http://schemas.libreoffice.org/" uri="{7626C862-2A13-11E5-B345-FEFF819CDC9F}">
      <loext:extCalcPr stringRefSyntax="CalcA1ExcelA1"/>
    </x:ext>
  </x:extLst>
</x:workbook>
</file>

<file path=xl/sharedStrings.xml><?xml version="1.0" encoding="utf-8"?>
<x:sst xmlns:x="http://schemas.openxmlformats.org/spreadsheetml/2006/main" count="11" uniqueCount="11">
  <x:si>
    <x:t>Tipo Adjudicacion</x:t>
  </x:si>
  <x:si>
    <x:t>Contratista</x:t>
  </x:si>
  <x:si>
    <x:t>Fecha</x:t>
  </x:si>
  <x:si>
    <x:t>Pdf Adjudicacion</x:t>
  </x:si>
  <x:si>
    <x:t>Referencia</x:t>
  </x:si>
  <x:si>
    <x:t>Organismo Convocante</x:t>
  </x:si>
  <x:si>
    <x:t>Objeto</x:t>
  </x:si>
  <x:si>
    <x:t>Nº Expediente</x:t>
  </x:si>
  <x:si>
    <x:t>Lugar Ejecucion</x:t>
  </x:si>
  <x:si>
    <x:t>Importe Adjudicacion</x:t>
  </x:si>
  <x:si>
    <x:t>Presupuesto Licitacion</x:t>
  </x:si>
  <x:si>
    <x:t>Adjudicado</x:t>
  </x:si>
  <x:si>
    <x:t>PRODIGIOSO VOLCAN, S.L</x:t>
  </x:si>
  <x:si>
    <x:t>04/11/2025 0:00:00</x:t>
  </x:si>
  <x:si>
    <x:t>25214794</x:t>
  </x:si>
  <x:si>
    <x:t>DIRECCIÓN GENERAL ECONÓMICO-FINANCIERA DE LA ENTIDAD PÚBLICA EMPRESARIAL RENFE-OPERADORA</x:t>
  </x:si>
  <x:si>
    <x:t>Servicio de producción audiovisual para la creación de contenidos diarios de carácter informativo y corporativo para el Grupo Renfe.</x:t>
  </x:si>
  <x:si>
    <x:t>2025-01691</x:t>
  </x:si>
  <x:si>
    <x:t>Madrid</x:t>
  </x:si>
  <x:si>
    <x:t>MARTA BARBÓN</x:t>
  </x:si>
  <x:si>
    <x:t>25214821</x:t>
  </x:si>
  <x:si>
    <x:t>JUNTA DE GOBIERNO DEL AYUNTAMIENTO DE OVIEDO (ASTURIAS)</x:t>
  </x:si>
  <x:si>
    <x:t>Servicios para la gestión, mantenimiento, actualización y seguimiento de los perfiles de redes sociales de la Concejalía de Hostelería, Turismo y Congresos</x:t>
  </x:si>
  <x:si>
    <x:t>CC2025/97</x:t>
  </x:si>
  <x:si>
    <x:t>Asturias</x:t>
  </x:si>
  <x:si>
    <x:t>SERVICIOS AUDIOVISUALES OVERON, S.L</x:t>
  </x:si>
  <x:si>
    <x:t>25214935</x:t>
  </x:si>
  <x:si>
    <x:t>AGENCIA EFE</x:t>
  </x:si>
  <x:si>
    <x:t>Servicios de streaming</x:t>
  </x:si>
  <x:si>
    <x:t>S-25030050</x:t>
  </x:si>
  <x:si>
    <x:t>DISSET CONSULTORES COMUNICACION Y MARKETING SL</x:t>
  </x:si>
  <x:si>
    <x:t>25214943</x:t>
  </x:si>
  <x:si>
    <x:t>AENA. DIRECCIÓN DE CONTRATACIÓN</x:t>
  </x:si>
  <x:si>
    <x:t>Servicio de comunicación en los aeropuertos de Baleares</x:t>
  </x:si>
  <x:si>
    <x:t>DCP-345/2025</x:t>
  </x:si>
  <x:si>
    <x:t>Illes Balears</x:t>
  </x:si>
  <x:si>
    <x:t>FEDERACION DE INDUSTRIAS DE ALIMENTACION Y BEBIDAS (FIAB)</x:t>
  </x:si>
  <x:si>
    <x:t>25215145</x:t>
  </x:si>
  <x:si>
    <x:t>JEFATURA DE UNIDAD DE MEDIOS INTERNOS -ÁREA DE COMPRAS DE LA COMPAÑÍA ESPAÑOLA DE SEGUROS DE CRÉDITO A LA EXPORTACIÓN S.A., S.M.E. (CESCE)</x:t>
  </x:si>
  <x:si>
    <x:t>Patrocinio regulado en el artículo 26.1 c) de la ley 9/2017 de 8 de noviembre.</x:t>
  </x:si>
  <x:si>
    <x:t>F123-2025</x:t>
  </x:si>
  <x:si>
    <x:t>CAMARA DE COMERCIO E INDUSTRIA DE ZARAGOZA</x:t>
  </x:si>
  <x:si>
    <x:t>25215153</x:t>
  </x:si>
  <x:si>
    <x:t>F119-2025</x:t>
  </x:si>
  <x:si>
    <x:t>DOW JONES &amp; COMPANY, INC</x:t>
  </x:si>
  <x:si>
    <x:t>25215156</x:t>
  </x:si>
  <x:si>
    <x:t>JEFATURA DE UNIDAD DE MEDIOS INTERNOS - ÁREA DE COMPRAS DE LA COMPAÑÍA ESPAÑOLA DE SEGUROS DE CRÉDITO A LA EXPORTACIÓN S.A., S.M.E. (CESCE)</x:t>
  </x:si>
  <x:si>
    <x:t>Asistencia a Conferencia Global HO. OXFORD.</x:t>
  </x:si>
  <x:si>
    <x:t>F118-2025</x:t>
  </x:si>
</x:sst>
</file>

<file path=xl/styles.xml><?xml version="1.0" encoding="utf-8"?>
<styleSheet xmlns="http://schemas.openxmlformats.org/spreadsheetml/2006/main">
  <numFmts count="1">
    <numFmt numFmtId="164" formatCode="#,##0.00&quot; €&quot;;[Red]\-#,##0.00&quot; €&quot;"/>
  </numFmts>
  <fonts count="5">
    <font>
      <sz val="11"/>
      <name val="Calibri"/>
      <charset val="1"/>
    </font>
    <font>
      <sz val="10"/>
      <name val="Calibri"/>
      <family val="2"/>
      <charset val="1"/>
    </font>
    <font>
      <b/>
      <sz val="10"/>
      <color theme="0"/>
      <name val="Calibri"/>
      <family val="2"/>
      <charset val="1"/>
    </font>
    <font>
      <u/>
      <sz val="11"/>
      <color theme="10"/>
      <name val="Calibri"/>
      <family val="2"/>
      <charset val="1"/>
    </font>
    <font>
      <u/>
      <sz val="10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3"/>
        <bgColor rgb="FF003366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3" fillId="0" borderId="0" applyBorder="0" applyProtection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4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2"/>
  <x:sheetViews>
    <x:sheetView showGridLines="0" tabSelected="1" zoomScaleNormal="100" workbookViewId="0">
      <x:selection sqref="A1:XFD1"/>
    </x:sheetView>
  </x:sheetViews>
  <x:sheetFormatPr baseColWidth="10" defaultColWidth="16" defaultRowHeight="12.75"/>
  <x:cols>
    <x:col min="1" max="1" width="14.42578125" style="1" customWidth="1"/>
    <x:col min="2" max="2" width="19.85546875" style="1" customWidth="1"/>
    <x:col min="3" max="3" width="11.5703125" style="1" hidden="1" customWidth="1"/>
    <x:col min="4" max="4" width="20.140625" style="1" customWidth="1"/>
    <x:col min="5" max="5" width="11.140625" style="2" customWidth="1"/>
    <x:col min="6" max="6" width="26.7109375" style="1" customWidth="1"/>
    <x:col min="7" max="7" width="47.28515625" style="1" customWidth="1"/>
    <x:col min="8" max="8" width="15.7109375" style="1" customWidth="1"/>
    <x:col min="9" max="9" width="13.42578125" style="1" customWidth="1"/>
    <x:col min="10" max="10" width="17.28515625" style="1" customWidth="1"/>
    <x:col min="11" max="11" width="18" style="1" customWidth="1"/>
    <x:col min="12" max="16384" width="16" style="1"/>
  </x:cols>
  <x:sheetData>
    <x:row r="1" spans="1:11" s="5" customForma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4" t="s">
        <x:v>4</x:v>
      </x:c>
      <x:c r="F1" s="3" t="s">
        <x:v>5</x:v>
      </x:c>
      <x:c r="G1" s="3" t="s">
        <x:v>6</x:v>
      </x:c>
      <x:c r="H1" s="3" t="s">
        <x:v>7</x:v>
      </x:c>
      <x:c r="I1" s="3" t="s">
        <x:v>8</x:v>
      </x:c>
      <x:c r="J1" s="3" t="s">
        <x:v>9</x:v>
      </x:c>
      <x:c r="K1" s="3" t="s">
        <x:v>10</x:v>
      </x:c>
    </x:row>
    <x:row r="2" spans="1:11">
      <x:c r="A2" s="6" t="s">
        <x:v>11</x:v>
      </x:c>
      <x:c r="B2" s="6" t="s">
        <x:v>12</x:v>
      </x:c>
      <x:c r="C2" s="6" t="s">
        <x:v>13</x:v>
      </x:c>
      <x:c r="D2" s="7" t="str">
        <x:f xml:space="preserve">HYPERLINK("https://www.infonalia.es/adjudicaciones1125/25214794.pdf","www.infonalia.es/adjudicaciones1125/25214794.pdf")</x:f>
        <x:v>www.infonalia.es/adjudicaciones1125/25214794.pdf</x:v>
      </x:c>
      <x:c r="E2" s="8" t="s">
        <x:v>14</x:v>
      </x:c>
      <x:c r="F2" s="6" t="s">
        <x:v>15</x:v>
      </x:c>
      <x:c r="G2" s="6" t="s">
        <x:v>16</x:v>
      </x:c>
      <x:c r="H2" s="6" t="s">
        <x:v>17</x:v>
      </x:c>
      <x:c r="I2" s="6" t="s">
        <x:v>18</x:v>
      </x:c>
      <x:c r="J2" s="9" t="n">
        <x:v>344000.00</x:v>
      </x:c>
      <x:c r="K2" s="9" t="n">
        <x:v>400000.00</x:v>
      </x:c>
    </x:row>
    <x:row r="3">
      <x:c r="A3" s="6" t="s">
        <x:v>11</x:v>
      </x:c>
      <x:c r="B3" s="6" t="s">
        <x:v>19</x:v>
      </x:c>
      <x:c r="C3" s="6" t="s">
        <x:v>13</x:v>
      </x:c>
      <x:c r="D3" s="7" t="str">
        <x:f xml:space="preserve">HYPERLINK("https://www.infonalia.es/adjudicaciones1125/25214821.pdf","www.infonalia.es/adjudicaciones1125/25214821.pdf")</x:f>
        <x:v>www.infonalia.es/adjudicaciones1125/25214821.pdf</x:v>
      </x:c>
      <x:c r="E3" s="8" t="s">
        <x:v>20</x:v>
      </x:c>
      <x:c r="F3" s="6" t="s">
        <x:v>21</x:v>
      </x:c>
      <x:c r="G3" s="6" t="s">
        <x:v>22</x:v>
      </x:c>
      <x:c r="H3" s="6" t="s">
        <x:v>23</x:v>
      </x:c>
      <x:c r="I3" s="6" t="s">
        <x:v>24</x:v>
      </x:c>
      <x:c r="J3" s="9" t="n">
        <x:v>20400.00</x:v>
      </x:c>
      <x:c r="K3" s="9" t="n">
        <x:v>23335.89</x:v>
      </x:c>
    </x:row>
    <x:row r="4">
      <x:c r="A4" s="6" t="s">
        <x:v>11</x:v>
      </x:c>
      <x:c r="B4" s="6" t="s">
        <x:v>25</x:v>
      </x:c>
      <x:c r="C4" s="6" t="s">
        <x:v>13</x:v>
      </x:c>
      <x:c r="D4" s="7" t="str">
        <x:f xml:space="preserve">HYPERLINK("https://www.infonalia.es/adjudicaciones1125/25214935.pdf","www.infonalia.es/adjudicaciones1125/25214935.pdf")</x:f>
        <x:v>www.infonalia.es/adjudicaciones1125/25214935.pdf</x:v>
      </x:c>
      <x:c r="E4" s="8" t="s">
        <x:v>26</x:v>
      </x:c>
      <x:c r="F4" s="6" t="s">
        <x:v>27</x:v>
      </x:c>
      <x:c r="G4" s="6" t="s">
        <x:v>28</x:v>
      </x:c>
      <x:c r="H4" s="6" t="s">
        <x:v>29</x:v>
      </x:c>
      <x:c r="I4" s="6" t="s">
        <x:v>18</x:v>
      </x:c>
      <x:c r="J4" s="9" t="n">
        <x:v>830250.00</x:v>
      </x:c>
      <x:c r="K4" s="9" t="n">
        <x:v>939000.00</x:v>
      </x:c>
    </x:row>
    <x:row r="5">
      <x:c r="A5" s="6" t="s">
        <x:v>11</x:v>
      </x:c>
      <x:c r="B5" s="6" t="s">
        <x:v>30</x:v>
      </x:c>
      <x:c r="C5" s="6" t="s">
        <x:v>13</x:v>
      </x:c>
      <x:c r="D5" s="7" t="str">
        <x:f xml:space="preserve">HYPERLINK("https://www.infonalia.es/adjudicaciones1125/25214943.pdf","www.infonalia.es/adjudicaciones1125/25214943.pdf")</x:f>
        <x:v>www.infonalia.es/adjudicaciones1125/25214943.pdf</x:v>
      </x:c>
      <x:c r="E5" s="8" t="s">
        <x:v>31</x:v>
      </x:c>
      <x:c r="F5" s="6" t="s">
        <x:v>32</x:v>
      </x:c>
      <x:c r="G5" s="6" t="s">
        <x:v>33</x:v>
      </x:c>
      <x:c r="H5" s="6" t="s">
        <x:v>34</x:v>
      </x:c>
      <x:c r="I5" s="6" t="s">
        <x:v>35</x:v>
      </x:c>
      <x:c r="J5" s="9" t="n">
        <x:v>114700.00</x:v>
      </x:c>
      <x:c r="K5" s="9" t="n">
        <x:v>127000.00</x:v>
      </x:c>
    </x:row>
    <x:row r="6">
      <x:c r="A6" s="6" t="s">
        <x:v>11</x:v>
      </x:c>
      <x:c r="B6" s="6" t="s">
        <x:v>36</x:v>
      </x:c>
      <x:c r="C6" s="6" t="s">
        <x:v>13</x:v>
      </x:c>
      <x:c r="D6" s="7" t="str">
        <x:f xml:space="preserve">HYPERLINK("https://www.infonalia.es/adjudicaciones1125/25215145.pdf","www.infonalia.es/adjudicaciones1125/25215145.pdf")</x:f>
        <x:v>www.infonalia.es/adjudicaciones1125/25215145.pdf</x:v>
      </x:c>
      <x:c r="E6" s="8" t="s">
        <x:v>37</x:v>
      </x:c>
      <x:c r="F6" s="6" t="s">
        <x:v>38</x:v>
      </x:c>
      <x:c r="G6" s="6" t="s">
        <x:v>39</x:v>
      </x:c>
      <x:c r="H6" s="6" t="s">
        <x:v>40</x:v>
      </x:c>
      <x:c r="I6" s="6" t="s">
        <x:v>18</x:v>
      </x:c>
      <x:c r="J6" s="9" t="n">
        <x:v>10000.00</x:v>
      </x:c>
      <x:c r="K6" s="9" t="n">
        <x:v>10000.00</x:v>
      </x:c>
    </x:row>
    <x:row r="7">
      <x:c r="A7" s="6" t="s">
        <x:v>11</x:v>
      </x:c>
      <x:c r="B7" s="6" t="s">
        <x:v>41</x:v>
      </x:c>
      <x:c r="C7" s="6" t="s">
        <x:v>13</x:v>
      </x:c>
      <x:c r="D7" s="7" t="str">
        <x:f xml:space="preserve">HYPERLINK("https://www.infonalia.es/adjudicaciones1125/25215153.pdf","www.infonalia.es/adjudicaciones1125/25215153.pdf")</x:f>
        <x:v>www.infonalia.es/adjudicaciones1125/25215153.pdf</x:v>
      </x:c>
      <x:c r="E7" s="8" t="s">
        <x:v>42</x:v>
      </x:c>
      <x:c r="F7" s="6" t="s">
        <x:v>38</x:v>
      </x:c>
      <x:c r="G7" s="6" t="s">
        <x:v>39</x:v>
      </x:c>
      <x:c r="H7" s="6" t="s">
        <x:v>43</x:v>
      </x:c>
      <x:c r="I7" s="6" t="s">
        <x:v>18</x:v>
      </x:c>
      <x:c r="J7" s="9" t="n">
        <x:v>1250.00</x:v>
      </x:c>
      <x:c r="K7" s="9" t="n">
        <x:v>1250.00</x:v>
      </x:c>
    </x:row>
    <x:row r="8">
      <x:c r="A8" s="6" t="s">
        <x:v>11</x:v>
      </x:c>
      <x:c r="B8" s="6" t="s">
        <x:v>44</x:v>
      </x:c>
      <x:c r="C8" s="6" t="s">
        <x:v>13</x:v>
      </x:c>
      <x:c r="D8" s="7" t="str">
        <x:f xml:space="preserve">HYPERLINK("https://www.infonalia.es/adjudicaciones1125/25215156.pdf","www.infonalia.es/adjudicaciones1125/25215156.pdf")</x:f>
        <x:v>www.infonalia.es/adjudicaciones1125/25215156.pdf</x:v>
      </x:c>
      <x:c r="E8" s="8" t="s">
        <x:v>45</x:v>
      </x:c>
      <x:c r="F8" s="6" t="s">
        <x:v>46</x:v>
      </x:c>
      <x:c r="G8" s="6" t="s">
        <x:v>47</x:v>
      </x:c>
      <x:c r="H8" s="6" t="s">
        <x:v>48</x:v>
      </x:c>
      <x:c r="I8" s="6" t="s">
        <x:v>18</x:v>
      </x:c>
      <x:c r="J8" s="9" t="n">
        <x:v>5092.94</x:v>
      </x:c>
      <x:c r="K8" s="9" t="n">
        <x:v>5092.94</x:v>
      </x:c>
    </x:row>
  </x:sheetData>
  <x:autoFilter ref="A1:K1"/>
  <x:pageMargins left="0.7" right="0.7" top="0.75" bottom="0.75" header="0.511811023622047" footer="0.511811023622047"/>
  <x:pageSetup paperSize="9" orientation="portrait" horizontalDpi="300" verticalDpi="300"/>
</x: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Adjudicaciones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direc</dc:creator>
  <dc:description/>
  <cp:lastModifiedBy>.</cp:lastModifiedBy>
  <cp:revision>1</cp:revision>
  <dcterms:created xsi:type="dcterms:W3CDTF">2024-12-04T08:58:32Z</dcterms:created>
  <dcterms:modified xsi:type="dcterms:W3CDTF">2025-01-20T07:55:24Z</dcterms:modified>
  <dc:language>es-ES</dc:language>
</cp:coreProperties>
</file>