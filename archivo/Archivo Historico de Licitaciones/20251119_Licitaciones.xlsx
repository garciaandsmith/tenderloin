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<x:sst xmlns:x="http://schemas.openxmlformats.org/spreadsheetml/2006/main" count="17" uniqueCount="17">
  <x:si>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</x:si>
  <x:si>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</x:si>
  <x:si>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</x:si>
  <x:si>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</x:si>
  <x:si>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</x:si>
  <x:si>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</x:si>
  <x:si>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</x:si>
  <x:si>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</x:si>
  <x:si>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</x:si>
  <x:si>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</x:si>
  <x:si>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</x:si>
  <x:si>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</x:si>
  <x:si>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</x:si>
  <x:si>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</x:si>
  <x:si>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</x:si>
  <x:si>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</x:si>
  <x:si>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</x:si>
  <x:si>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</x:si>
  <x:si>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</x:si>
  <x:si>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11/12/2025</x:t>
  </x:si>
  <x:si>
    <x:t>2025164512</x:t>
  </x:si>
  <x:si>
    <x:t>19/11/2025</x:t>
  </x:si>
  <x:si>
    <x:t>INSTITUTO MUNICIPAL DE LA VIVIENDA Y REHABILITACIÓN DE BARCELONA</x:t>
  </x:si>
  <x:si>
    <x:t>Servicio de grabación y documentación audiovisual de los actos, eventos y elementos de interés comunicativo para el Departamento de Comunicación del Instituto Municipal de la Vivienda y Rehabilitación de Barcelona. Expte. 25/083.</x:t>
  </x:si>
  <x:si>
    <x:t>25/083</x:t>
  </x:si>
  <x:si>
    <x:t>Importe sin impuestos</x:t>
  </x:si>
  <x:si>
    <x:t/>
  </x:si>
  <x:si>
    <x:t>-----</x:t>
  </x:si>
  <x:si>
    <x:t>18/11/2025</x:t>
  </x:si>
  <x:si>
    <x:t/>
  </x:si>
  <x:si>
    <x:t>Barcelona</x:t>
  </x:si>
  <x:si>
    <x:t>03/12/2025</x:t>
  </x:si>
  <x:si>
    <x:t>2025164608</x:t>
  </x:si>
  <x:si>
    <x:t>INSTITUT CATALÀ DEL SÒL (INCASÒL)</x:t>
  </x:si>
  <x:si>
    <x:t>VCG/LCA - Servicio de traducción y corrección de textos de varios documentos del Instituto Catalán del Suelo</x:t>
  </x:si>
  <x:si>
    <x:t>ICSOL-2025-85</x:t>
  </x:si>
  <x:si>
    <x:t/>
  </x:si>
  <x:si>
    <x:t>2025164624</x:t>
  </x:si>
  <x:si>
    <x:t>PRESTACIÓ DE SERVEIS A LA CIUTADANIA, SA (PRESECSA)</x:t>
  </x:si>
  <x:si>
    <x:t>Es el servicio de elaboración de material audiovisual y de comunicación por la empresa municipal Prestación de Servicios a la Ciudadanía S.A</x:t>
  </x:si>
  <x:si>
    <x:t>EXP. 11/2025</x:t>
  </x:si>
  <x:si>
    <x:t/>
  </x:si>
  <x:si>
    <x:t>02/12/2025</x:t>
  </x:si>
  <x:si>
    <x:t>2025164694</x:t>
  </x:si>
  <x:si>
    <x:t>JUNTA DE GOBIERNO DEL AYUNTAMIENTO DE NAVALCARNERO (MADRID)</x:t>
  </x:si>
  <x:si>
    <x:t>Contrato del servicio de gestión y mantenimiento de los once mupis municipales del Ayuntamiento de Navalcarnero (Madrid)</x:t>
  </x:si>
  <x:si>
    <x:t>068SER25</x:t>
  </x:si>
  <x:si>
    <x:t/>
  </x:si>
  <x:si>
    <x:t>Madrid</x:t>
  </x:si>
  <x:si>
    <x:t>04/12/2025</x:t>
  </x:si>
  <x:si>
    <x:t>2025164730</x:t>
  </x:si>
  <x:si>
    <x:t>FUNDACIÓ BARCELONA MOBILE WORLD CAPITAL FOUNDATION</x:t>
  </x:si>
  <x:si>
    <x:t>El objeto del contrato consiste en la prestación de un servicio de conceptualización, coordinación y ejecución del proyecto Mobile Lunch 2026, en los términos y condiciones definidos en el Pliego de Prescripciones Técnicas.</x:t>
  </x:si>
  <x:si>
    <x:t>A/F202523/S</x:t>
  </x:si>
  <x:si>
    <x:t/>
  </x:si>
  <x:si>
    <x:t>Barcelona. Perfil del Contratante del Ayuntamiento</x:t>
  </x:si>
  <x:si>
    <x:t>25/11/2025</x:t>
  </x:si>
  <x:si>
    <x:t>2025164839</x:t>
  </x:si>
  <x:si>
    <x:t>AYUNTAMIENTO DE BARCELONA</x:t>
  </x:si>
  <x:si>
    <x:t>Servicio de dinamización del acto de llegada de la Cabalgata de Reyes en Sants 2026</x:t>
  </x:si>
  <x:si>
    <x:t>001_P2503165</x:t>
  </x:si>
  <x:si>
    <x:t/>
  </x:si>
  <x:si>
    <x:t/>
  </x:si>
  <x:si>
    <x:t>Community.Vortal</x:t>
  </x:si>
  <x:si>
    <x:t>2025164856</x:t>
  </x:si>
  <x:si>
    <x:t>AYUNTAMIENTO DE CERDANYOLA DEL VALLÈS (BARCELONA)</x:t>
  </x:si>
  <x:si>
    <x:t>Contrato menor servicio artístico actividad ludoespacio "Juegos del Mundo"</x:t>
  </x:si>
  <x:si>
    <x:t>COMERÇ I MERCATS 597/2025/0229</x:t>
  </x:si>
  <x:si>
    <x:t>No consta</x:t>
  </x:si>
  <x:si>
    <x:t/>
  </x:si>
  <x:si>
    <x:t/>
  </x:si>
  <x:si>
    <x:t>Asturias - Plataforma de Contratación</x:t>
  </x:si>
  <x:si>
    <x:t>24/11/2025</x:t>
  </x:si>
  <x:si>
    <x:t>2025164875</x:t>
  </x:si>
  <x:si>
    <x:t>PRINCIPADO DE ASTURIAS. CONSEJERÍA DE MEDIO RURAL Y POLÍTICA AGRARIA</x:t>
  </x:si>
  <x:si>
    <x:t>Producción y suministro de calendarios para promoción de la marca "Alimentos del Paraíso Natural"</x:t>
  </x:si>
  <x:si>
    <x:t>CONP/2025/11099</x:t>
  </x:si>
  <x:si>
    <x:t>IVA excluido</x:t>
  </x:si>
  <x:si>
    <x:t/>
  </x:si>
  <x:si>
    <x:t/>
  </x:si>
  <x:si>
    <x:t>Asturias</x:t>
  </x:si>
  <x:si>
    <x:t>21/11/2025</x:t>
  </x:si>
  <x:si>
    <x:t>2025164977</x:t>
  </x:si>
  <x:si>
    <x:t>JUNTA DE GOBIERNO DEL AYUNTAMIENTO DE ALCOBENDAS (MADRID)</x:t>
  </x:si>
  <x:si>
    <x:t>Asistencia técnica para la producción y edición de videos del Parque Forestal Princesa Leonor- Nodo de hábitats.</x:t>
  </x:si>
  <x:si>
    <x:t>CM/2025/305/015</x:t>
  </x:si>
  <x:si>
    <x:t/>
  </x:si>
  <x:si>
    <x:t>Cámaras de Comercio. Perfil del Contratante</x:t>
  </x:si>
  <x:si>
    <x:t>10/12/2025</x:t>
  </x:si>
  <x:si>
    <x:t>2025165003</x:t>
  </x:si>
  <x:si>
    <x:t>CÁMARA DE COMERCIO DE MALLORCA</x:t>
  </x:si>
  <x:si>
    <x:t>Procedimiento abierto para la contratación del servicio de diseño, instalación, decoración, montaje y mantenimiento del stand institucional de Mallorca en la Feria ProWein 2026 a celebrar en Düsseldorf, Alemania.</x:t>
  </x:si>
  <x:si>
    <x:t>25PA02</x:t>
  </x:si>
  <x:si>
    <x:t/>
  </x:si>
  <x:si>
    <x:t/>
  </x:si>
  <x:si>
    <x:t>Alemania</x:t>
  </x:si>
  <x:si>
    <x:t>IFEMA - Institución Ferial de Madrid</x:t>
  </x:si>
  <x:si>
    <x:t>15/12/2025</x:t>
  </x:si>
  <x:si>
    <x:t>2025165004</x:t>
  </x:si>
  <x:si>
    <x:t>IFEMA - INSTITUCIÓN FERIAL DE MADRID</x:t>
  </x:si>
  <x:si>
    <x:t>Contratación de servicios profesionales para la gestión y enriquecimiento de la propuesta del valor del observatorio Fiturnext de Fitur.</x:t>
  </x:si>
  <x:si>
    <x:t>25/170</x:t>
  </x:si>
  <x:si>
    <x:t/>
  </x:si>
  <x:si>
    <x:t/>
  </x:si>
  <x:si>
    <x:t>2025165005</x:t>
  </x:si>
  <x:si>
    <x:t>Servicio de agencia creativa integral para el desarrollo del diseño, creatividad y comunicación visual del proyecto circuito Madring.</x:t>
  </x:si>
  <x:si>
    <x:t>25/166</x:t>
  </x:si>
  <x:si>
    <x:t/>
  </x:si>
  <x:si>
    <x:t/>
  </x:si>
  <x:si>
    <x:t>SEGIB - Secretaría General Iberoamericana</x:t>
  </x:si>
  <x:si>
    <x:t>01/12/2025</x:t>
  </x:si>
  <x:si>
    <x:t>2025165019</x:t>
  </x:si>
  <x:si>
    <x:t>SEGIB - SECRETARÍA GENERAL IBEROAMERICANA</x:t>
  </x:si>
  <x:si>
    <x:t>Licitación para la contratación de servicios profesionales para la evaluación integral del programa Ibermuseos y el estudio de viabilidad de un futuro proyecto de asistencias técnicas</x:t>
  </x:si>
  <x:si>
    <x:t>FPC: 21/2025</x:t>
  </x:si>
  <x:si>
    <x:t>Impuestos incluidos</x:t>
  </x:si>
  <x:si>
    <x:t/>
  </x:si>
  <x:si>
    <x:t>17/11/2025</x:t>
  </x:si>
  <x:si>
    <x:t/>
  </x:si>
  <x:si>
    <x:t>Ver pliegos</x:t>
  </x:si>
  <x:si>
    <x:t>17/12/2025</x:t>
  </x:si>
  <x:si>
    <x:t>2025165043</x:t>
  </x:si>
  <x:si>
    <x:t>AENA. DIRECCIÓN DE CONTRATACIÓN</x:t>
  </x:si>
  <x:si>
    <x:t>Servicios de A.T. y arquitectónica para el desarrollo del diseño y proyectos de ejecución de salas vip, plazas comerciales y fast lane/fast track en Aena</x:t>
  </x:si>
  <x:si>
    <x:t>DIN-329/2025</x:t>
  </x:si>
  <x:si>
    <x:t/>
  </x:si>
  <x:si>
    <x:t>2025165045</x:t>
  </x:si>
  <x:si>
    <x:t>AENA. PRESIDENCIA. CONSEJERO DELEGADO</x:t>
  </x:si>
  <x:si>
    <x:t>A.T. redacción de proyectos de obra civil en varios Aeropuertos - Fase VII. Lote - 1 Aptos Zonas
Norte, Este y Baleares. Lote - 2 Aptos Zonas Centro, Sur y Canarias. </x:t>
  </x:si>
  <x:si>
    <x:t>DIN-445/2025</x:t>
  </x:si>
  <x:si>
    <x:t/>
  </x:si>
  <x:si>
    <x:t>Señalado en el objeto</x:t>
  </x:si>
  <x:si>
    <x:t>05/12/2025</x:t>
  </x:si>
  <x:si>
    <x:t>2025165073</x:t>
  </x:si>
  <x:si>
    <x:t>XUNTA DE GALICIA. CONSEJERÍA DE CULTURA, LENGUA Y JUVENTUD</x:t>
  </x:si>
  <x:si>
    <x:t>CUL-2026-0012: Organización de los actos que va a desarrollar la Consellería de Cultura, Lengua y Juventud en las ferias internacionales del libro del año 2026 (3 lotes): Buenos Aires (Argentina), Barcelona y Guadalajara (México)</x:t>
  </x:si>
  <x:si>
    <x:t>PcPG/2025/826803</x:t>
  </x:si>
  <x:si>
    <x:t/>
  </x:si>
  <x:si>
    <x:t>Barcelona, Buenos Aires (Argentina) y Guadalajara (México)</x:t>
  </x:si>
  <x:si>
    <x:t>09/12/2025</x:t>
  </x:si>
  <x:si>
    <x:t>2025165121</x:t>
  </x:si>
  <x:si>
    <x:t>COMUNIDAD DE MADRID. CONSEJERÍA DE EDUCACIÓN, CIENCIA Y UNIVERSIDADES</x:t>
  </x:si>
  <x:si>
    <x:t>El objeto de este contrato es la prestación integrada de todos los servicios necesarios para la participación de la Dirección General de Educación Secundaria, Formación Profesional y Régimen Especial, la Dirección General de Universidades y la Dirección General de Enseñanzas Artísticas en la Semana de la Educación, en la Feria AULA 2026, que tendrá lugar en el municipio de Madrid del 11 al 15 de marzo de 2026, conforme a las prescripciones establecidas en el Pliego de Prescripciones Técnicas Particulares.</x:t>
  </x:si>
  <x:si>
    <x:t>A/SER-033588/2025</x:t>
  </x:si>
  <x:si>
    <x:t/>
  </x:si>
  <x:si>
    <x:t>2025165178</x:t>
  </x:si>
  <x:si>
    <x:t>JUNTA DE GOBIERNO DEL AYUNTAMIENTO DE ALGETE (MADRID)</x:t>
  </x:si>
  <x:si>
    <x:t>Servicio de Comunicación y Fotografía Institucional y Diseño gráfico y edición de publicaciones impresas y multimedia del Ayuntamiento de Algete. Lote 1: Servicio de Comunicación institucional. Lote 2: Servicio de captación de imagen y diseño gráfico y edición de publicaciones impresas</x:t>
  </x:si>
  <x:si>
    <x:t>2033/2024</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</x:si>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</x:sst>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71867.58</x:v>
      </x:c>
      <x:c r="J2" s="11" t="s">
        <x:v>25</x:v>
      </x:c>
      <x:c r="K2" s="11" t="s">
        <x:v>26</x:v>
      </x:c>
      <x:c r="L2" s="12" t="str">
        <x:f xml:space="preserve">HYPERLINK("https://contractaciopublica.cat/ca/detall-publicacio/0cf919ff-286a-44c4-9dbe-8b393012c638/300606457","contractaciopublica.cat/ca/detall-publicacio/0cf919ff-286a-44c4-9dbe-8b393012c638/300606457")</x:f>
        <x:v>contractaciopublica.cat/ca/detall-publicacio/0cf919ff-286a-44c4-9dbe-8b393012c638/300606457</x:v>
      </x:c>
      <x:c r="M2" s="11" t="s">
        <x:v>27</x:v>
      </x:c>
      <x:c r="N2" s="13" t="s">
        <x:v>28</x:v>
      </x:c>
      <x:c r="O2" s="11" t="s">
        <x:v>29</x:v>
      </x:c>
      <x:c r="P2" s="11" t="s">
        <x:v>30</x:v>
      </x:c>
      <x:c r="Q2" s="14" t="str">
        <x:f xml:space="preserve">HYPERLINK("https://www.infonalia.es/licitaciones1125/2025164512.pdf","www.infonalia.es/licitaciones1125/2025164512.pdf")</x:f>
        <x:v>www.infonalia.es/licitaciones1125/2025164512.pdf</x:v>
      </x:c>
    </x:row>
    <x:row r="3">
      <x:c r="A3" s="6" t="s">
        <x:v>17</x:v>
      </x:c>
      <x:c r="B3" s="6" t="s">
        <x:v>18</x:v>
      </x:c>
      <x:c r="C3" s="7" t="s">
        <x:v>31</x:v>
      </x:c>
      <x:c r="D3" s="8" t="s">
        <x:v>32</x:v>
      </x:c>
      <x:c r="E3" s="9" t="s">
        <x:v>21</x:v>
      </x:c>
      <x:c r="F3" s="6" t="s">
        <x:v>33</x:v>
      </x:c>
      <x:c r="G3" s="6" t="s">
        <x:v>34</x:v>
      </x:c>
      <x:c r="H3" s="6" t="s">
        <x:v>35</x:v>
      </x:c>
      <x:c r="I3" s="10" t="n">
        <x:v>40000.00</x:v>
      </x:c>
      <x:c r="J3" s="11" t="s">
        <x:v>25</x:v>
      </x:c>
      <x:c r="K3" s="11" t="s">
        <x:v>26</x:v>
      </x:c>
      <x:c r="L3" s="12" t="str">
        <x:f xml:space="preserve">HYPERLINK("https://contractaciopublica.cat/ca/detall-publicacio/0d542e9d-2fdf-4d9c-b265-f411df902f77/300621593","contractaciopublica.cat/ca/detall-publicacio/0d542e9d-2fdf-4d9c-b265-f411df902f77/300621593")</x:f>
        <x:v>contractaciopublica.cat/ca/detall-publicacio/0d542e9d-2fdf-4d9c-b265-f411df902f77/300621593</x:v>
      </x:c>
      <x:c r="M3" s="11" t="s">
        <x:v>27</x:v>
      </x:c>
      <x:c r="N3" s="13" t="s">
        <x:v>28</x:v>
      </x:c>
      <x:c r="O3" s="11" t="s">
        <x:v>36</x:v>
      </x:c>
      <x:c r="P3" s="11" t="s">
        <x:v>30</x:v>
      </x:c>
      <x:c r="Q3" s="14" t="str">
        <x:f xml:space="preserve">HYPERLINK("https://www.infonalia.es/licitaciones1125/2025164608.pdf","www.infonalia.es/licitaciones1125/2025164608.pdf")</x:f>
        <x:v>www.infonalia.es/licitaciones1125/2025164608.pdf</x:v>
      </x:c>
    </x:row>
    <x:row r="4">
      <x:c r="A4" s="6" t="s">
        <x:v>17</x:v>
      </x:c>
      <x:c r="B4" s="6" t="s">
        <x:v>18</x:v>
      </x:c>
      <x:c r="C4" s="7" t="s">
        <x:v>31</x:v>
      </x:c>
      <x:c r="D4" s="8" t="s">
        <x:v>37</x:v>
      </x:c>
      <x:c r="E4" s="9" t="s">
        <x:v>21</x:v>
      </x:c>
      <x:c r="F4" s="6" t="s">
        <x:v>38</x:v>
      </x:c>
      <x:c r="G4" s="6" t="s">
        <x:v>39</x:v>
      </x:c>
      <x:c r="H4" s="6" t="s">
        <x:v>40</x:v>
      </x:c>
      <x:c r="I4" s="10" t="n">
        <x:v>5000.00</x:v>
      </x:c>
      <x:c r="J4" s="11" t="s">
        <x:v>25</x:v>
      </x:c>
      <x:c r="K4" s="11" t="s">
        <x:v>26</x:v>
      </x:c>
      <x:c r="L4" s="12" t="str">
        <x:f xml:space="preserve">HYPERLINK("https://contractaciopublica.cat/ca/detall-publicacio/e22bbac8-4b8f-472c-bd23-0f5b0a3b0be9/300615925","contractaciopublica.cat/ca/detall-publicacio/e22bbac8-4b8f-472c-bd23-0f5b0a3b0be9/300615925")</x:f>
        <x:v>contractaciopublica.cat/ca/detall-publicacio/e22bbac8-4b8f-472c-bd23-0f5b0a3b0be9/300615925</x:v>
      </x:c>
      <x:c r="M4" s="11" t="s">
        <x:v>27</x:v>
      </x:c>
      <x:c r="N4" s="13" t="s">
        <x:v>28</x:v>
      </x:c>
      <x:c r="O4" s="11" t="s">
        <x:v>41</x:v>
      </x:c>
      <x:c r="P4" s="11" t="s">
        <x:v>30</x:v>
      </x:c>
      <x:c r="Q4" s="14" t="str">
        <x:f xml:space="preserve">HYPERLINK("https://www.infonalia.es/licitaciones1125/2025164624.pdf","www.infonalia.es/licitaciones1125/2025164624.pdf")</x:f>
        <x:v>www.infonalia.es/licitaciones1125/2025164624.pdf</x:v>
      </x:c>
    </x:row>
    <x:row r="5">
      <x:c r="A5" s="6" t="s">
        <x:v>17</x:v>
      </x:c>
      <x:c r="B5" s="6" t="s">
        <x:v>18</x:v>
      </x:c>
      <x:c r="C5" s="7" t="s">
        <x:v>42</x:v>
      </x:c>
      <x:c r="D5" s="8" t="s">
        <x:v>43</x:v>
      </x:c>
      <x:c r="E5" s="9" t="s">
        <x:v>21</x:v>
      </x:c>
      <x:c r="F5" s="6" t="s">
        <x:v>44</x:v>
      </x:c>
      <x:c r="G5" s="6" t="s">
        <x:v>45</x:v>
      </x:c>
      <x:c r="H5" s="6" t="s">
        <x:v>46</x:v>
      </x:c>
      <x:c r="I5" s="10" t="n">
        <x:v>14450.00</x:v>
      </x:c>
      <x:c r="J5" s="11" t="s">
        <x:v>25</x:v>
      </x:c>
      <x:c r="K5" s="11" t="s">
        <x:v>26</x:v>
      </x:c>
      <x:c r="L5" s="12" t="str">
        <x:f xml:space="preserve">HYPERLINK("https://contrataciondelestado.es/wps/poc?uri=deeplink:detalle_licitacion&amp;idEvl=2cukWIIGtZLXOjazN1Dw9Q%3D%3D","contrataciondelestado.es/wps/poc?uri=deeplink:detalle_licitacion&amp;idEvl=2cukWIIGtZLXOjazN1Dw9Q%3D%3D")</x:f>
        <x:v>contrataciondelestado.es/wps/poc?uri=deeplink:detalle_licitacion&amp;idEvl=2cukWIIGtZLXOjazN1Dw9Q%3D%3D</x:v>
      </x:c>
      <x:c r="M5" s="11" t="s">
        <x:v>27</x:v>
      </x:c>
      <x:c r="N5" s="13" t="s">
        <x:v>28</x:v>
      </x:c>
      <x:c r="O5" s="11" t="s">
        <x:v>47</x:v>
      </x:c>
      <x:c r="P5" s="11" t="s">
        <x:v>48</x:v>
      </x:c>
      <x:c r="Q5" s="14" t="str">
        <x:f xml:space="preserve">HYPERLINK("https://www.infonalia.es/licitaciones1125/2025164694.pdf","www.infonalia.es/licitaciones1125/2025164694.pdf")</x:f>
        <x:v>www.infonalia.es/licitaciones1125/2025164694.pdf</x:v>
      </x:c>
    </x:row>
    <x:row r="6">
      <x:c r="A6" s="6" t="s">
        <x:v>17</x:v>
      </x:c>
      <x:c r="B6" s="6" t="s">
        <x:v>18</x:v>
      </x:c>
      <x:c r="C6" s="7" t="s">
        <x:v>49</x:v>
      </x:c>
      <x:c r="D6" s="8" t="s">
        <x:v>50</x:v>
      </x:c>
      <x:c r="E6" s="9" t="s">
        <x:v>21</x:v>
      </x:c>
      <x:c r="F6" s="6" t="s">
        <x:v>51</x:v>
      </x:c>
      <x:c r="G6" s="6" t="s">
        <x:v>52</x:v>
      </x:c>
      <x:c r="H6" s="6" t="s">
        <x:v>53</x:v>
      </x:c>
      <x:c r="I6" s="10" t="n">
        <x:v>124000.00</x:v>
      </x:c>
      <x:c r="J6" s="11" t="s">
        <x:v>25</x:v>
      </x:c>
      <x:c r="K6" s="11" t="s">
        <x:v>26</x:v>
      </x:c>
      <x:c r="L6" s="12" t="str">
        <x:f xml:space="preserve">HYPERLINK("https://contractaciopublica.cat/es/detall-publicacio/ec6901a6-fb21-4a10-a74d-5bcfc77dc40d/300621246","contractaciopublica.cat/es/detall-publicacio/ec6901a6-fb21-4a10-a74d-5bcfc77dc40d/300621246")</x:f>
        <x:v>contractaciopublica.cat/es/detall-publicacio/ec6901a6-fb21-4a10-a74d-5bcfc77dc40d/300621246</x:v>
      </x:c>
      <x:c r="M6" s="11" t="s">
        <x:v>27</x:v>
      </x:c>
      <x:c r="N6" s="13" t="s">
        <x:v>28</x:v>
      </x:c>
      <x:c r="O6" s="11" t="s">
        <x:v>54</x:v>
      </x:c>
      <x:c r="P6" s="11" t="s">
        <x:v>30</x:v>
      </x:c>
      <x:c r="Q6" s="14" t="str">
        <x:f xml:space="preserve">HYPERLINK("https://www.infonalia.es/licitaciones1125/2025164730.pdf","www.infonalia.es/licitaciones1125/2025164730.pdf")</x:f>
        <x:v>www.infonalia.es/licitaciones1125/2025164730.pdf</x:v>
      </x:c>
    </x:row>
    <x:row r="7">
      <x:c r="A7" s="6" t="s">
        <x:v>17</x:v>
      </x:c>
      <x:c r="B7" s="6" t="s">
        <x:v>55</x:v>
      </x:c>
      <x:c r="C7" s="7" t="s">
        <x:v>56</x:v>
      </x:c>
      <x:c r="D7" s="8" t="s">
        <x:v>57</x:v>
      </x:c>
      <x:c r="E7" s="9" t="s">
        <x:v>21</x:v>
      </x:c>
      <x:c r="F7" s="6" t="s">
        <x:v>58</x:v>
      </x:c>
      <x:c r="G7" s="6" t="s">
        <x:v>59</x:v>
      </x:c>
      <x:c r="H7" s="6" t="s">
        <x:v>60</x:v>
      </x:c>
      <x:c r="I7" s="10" t="n">
        <x:v>3490.00</x:v>
      </x:c>
      <x:c r="J7" s="11" t="s">
        <x:v>25</x:v>
      </x:c>
      <x:c r="K7" s="11" t="s">
        <x:v>61</x:v>
      </x:c>
      <x:c r="L7" s="12" t="str">
        <x:f xml:space="preserve">HYPERLINK("https://licitacions.bcn.cat/licitacion/licitaciones/detalle?id=13680085","licitacions.bcn.cat/licitacion/licitaciones/detalle?id=13680085")</x:f>
        <x:v>licitacions.bcn.cat/licitacion/licitaciones/detalle?id=13680085</x:v>
      </x:c>
      <x:c r="M7" s="11" t="s">
        <x:v>27</x:v>
      </x:c>
      <x:c r="N7" s="13" t="s">
        <x:v>28</x:v>
      </x:c>
      <x:c r="O7" s="11" t="s">
        <x:v>62</x:v>
      </x:c>
      <x:c r="P7" s="11" t="s">
        <x:v>30</x:v>
      </x:c>
      <x:c r="Q7" s="14" t="str">
        <x:f xml:space="preserve">HYPERLINK("https://www.infonalia.es/licitaciones1125/2025164839.pdf","www.infonalia.es/licitaciones1125/2025164839.pdf")</x:f>
        <x:v>www.infonalia.es/licitaciones1125/2025164839.pdf</x:v>
      </x:c>
    </x:row>
    <x:row r="8">
      <x:c r="A8" s="6" t="s">
        <x:v>17</x:v>
      </x:c>
      <x:c r="B8" s="6" t="s">
        <x:v>63</x:v>
      </x:c>
      <x:c r="C8" s="7" t="s">
        <x:v>21</x:v>
      </x:c>
      <x:c r="D8" s="8" t="s">
        <x:v>64</x:v>
      </x:c>
      <x:c r="E8" s="9" t="s">
        <x:v>21</x:v>
      </x:c>
      <x:c r="F8" s="6" t="s">
        <x:v>65</x:v>
      </x:c>
      <x:c r="G8" s="6" t="s">
        <x:v>66</x:v>
      </x:c>
      <x:c r="H8" s="6" t="s">
        <x:v>67</x:v>
      </x:c>
      <x:c r="I8" s="10"/>
      <x:c r="J8" s="11" t="s">
        <x:v>68</x:v>
      </x:c>
      <x:c r="K8" s="11" t="s">
        <x:v>69</x:v>
      </x:c>
      <x:c r="L8" s="12" t="str">
        <x:f xml:space="preserve">HYPERLINK("https://community.vortal.biz/public/?currentLanguage=es","community.vortal.biz/public/?currentLanguage=es")</x:f>
        <x:v>community.vortal.biz/public/?currentLanguage=es</x:v>
      </x:c>
      <x:c r="M8" s="11" t="s">
        <x:v>27</x:v>
      </x:c>
      <x:c r="N8" s="13" t="s">
        <x:v>28</x:v>
      </x:c>
      <x:c r="O8" s="11" t="s">
        <x:v>70</x:v>
      </x:c>
      <x:c r="P8" s="11" t="s">
        <x:v>30</x:v>
      </x:c>
      <x:c r="Q8" s="14" t="str">
        <x:f xml:space="preserve">HYPERLINK("https://www.infonalia.es/licitaciones1125/2025164856.pdf","www.infonalia.es/licitaciones1125/2025164856.pdf")</x:f>
        <x:v>www.infonalia.es/licitaciones1125/2025164856.pdf</x:v>
      </x:c>
    </x:row>
    <x:row r="9">
      <x:c r="A9" s="6" t="s">
        <x:v>17</x:v>
      </x:c>
      <x:c r="B9" s="6" t="s">
        <x:v>71</x:v>
      </x:c>
      <x:c r="C9" s="7" t="s">
        <x:v>72</x:v>
      </x:c>
      <x:c r="D9" s="8" t="s">
        <x:v>73</x:v>
      </x:c>
      <x:c r="E9" s="9" t="s">
        <x:v>21</x:v>
      </x:c>
      <x:c r="F9" s="6" t="s">
        <x:v>74</x:v>
      </x:c>
      <x:c r="G9" s="6" t="s">
        <x:v>75</x:v>
      </x:c>
      <x:c r="H9" s="6" t="s">
        <x:v>76</x:v>
      </x:c>
      <x:c r="I9" s="10" t="n">
        <x:v>5500.00</x:v>
      </x:c>
      <x:c r="J9" s="11" t="s">
        <x:v>77</x:v>
      </x:c>
      <x:c r="K9" s="11" t="s">
        <x:v>78</x:v>
      </x:c>
      <x:c r="L9" s="12" t="str">
        <x:f xml:space="preserve">HYPERLINK("https://miprincipado.asturias.es/perfil-contratante/ofertas-contratos-menores","miprincipado.asturias.es/perfil-contratante/ofertas-contratos-menores")</x:f>
        <x:v>miprincipado.asturias.es/perfil-contratante/ofertas-contratos-menores</x:v>
      </x:c>
      <x:c r="M9" s="11" t="s">
        <x:v>27</x:v>
      </x:c>
      <x:c r="N9" s="13" t="s">
        <x:v>28</x:v>
      </x:c>
      <x:c r="O9" s="11" t="s">
        <x:v>79</x:v>
      </x:c>
      <x:c r="P9" s="11" t="s">
        <x:v>80</x:v>
      </x:c>
      <x:c r="Q9" s="14" t="str">
        <x:f xml:space="preserve">HYPERLINK("https://www.infonalia.es/licitaciones1125/2025164875.pdf","www.infonalia.es/licitaciones1125/2025164875.pdf")</x:f>
        <x:v>www.infonalia.es/licitaciones1125/2025164875.pdf</x:v>
      </x:c>
    </x:row>
    <x:row r="10">
      <x:c r="A10" s="6" t="s">
        <x:v>17</x:v>
      </x:c>
      <x:c r="B10" s="6" t="s">
        <x:v>18</x:v>
      </x:c>
      <x:c r="C10" s="7" t="s">
        <x:v>81</x:v>
      </x:c>
      <x:c r="D10" s="8" t="s">
        <x:v>82</x:v>
      </x:c>
      <x:c r="E10" s="9" t="s">
        <x:v>21</x:v>
      </x:c>
      <x:c r="F10" s="6" t="s">
        <x:v>83</x:v>
      </x:c>
      <x:c r="G10" s="6" t="s">
        <x:v>84</x:v>
      </x:c>
      <x:c r="H10" s="6" t="s">
        <x:v>85</x:v>
      </x:c>
      <x:c r="I10" s="10" t="n">
        <x:v>5000.00</x:v>
      </x:c>
      <x:c r="J10" s="11" t="s">
        <x:v>25</x:v>
      </x:c>
      <x:c r="K10" s="11" t="s">
        <x:v>26</x:v>
      </x:c>
      <x:c r="L10" s="12" t="str">
        <x:f xml:space="preserve">HYPERLINK("https://contrataciondelestado.es/wps/poc?uri=deeplink:detalle_licitacion&amp;idEvl=DM52KpYhCfMmMOlAXxDEjw%3D%3D","contrataciondelestado.es/wps/poc?uri=deeplink:detalle_licitacion&amp;idEvl=DM52KpYhCfMmMOlAXxDEjw%3D%3D")</x:f>
        <x:v>contrataciondelestado.es/wps/poc?uri=deeplink:detalle_licitacion&amp;idEvl=DM52KpYhCfMmMOlAXxDEjw%3D%3D</x:v>
      </x:c>
      <x:c r="M10" s="11" t="s">
        <x:v>27</x:v>
      </x:c>
      <x:c r="N10" s="13" t="s">
        <x:v>28</x:v>
      </x:c>
      <x:c r="O10" s="11" t="s">
        <x:v>86</x:v>
      </x:c>
      <x:c r="P10" s="11" t="s">
        <x:v>48</x:v>
      </x:c>
      <x:c r="Q10" s="14" t="str">
        <x:f xml:space="preserve">HYPERLINK("https://www.infonalia.es/licitaciones1125/2025164977.pdf","www.infonalia.es/licitaciones1125/2025164977.pdf")</x:f>
        <x:v>www.infonalia.es/licitaciones1125/2025164977.pdf</x:v>
      </x:c>
    </x:row>
    <x:row r="11">
      <x:c r="A11" s="6" t="s">
        <x:v>17</x:v>
      </x:c>
      <x:c r="B11" s="6" t="s">
        <x:v>87</x:v>
      </x:c>
      <x:c r="C11" s="7" t="s">
        <x:v>88</x:v>
      </x:c>
      <x:c r="D11" s="8" t="s">
        <x:v>89</x:v>
      </x:c>
      <x:c r="E11" s="9" t="s">
        <x:v>21</x:v>
      </x:c>
      <x:c r="F11" s="6" t="s">
        <x:v>90</x:v>
      </x:c>
      <x:c r="G11" s="6" t="s">
        <x:v>91</x:v>
      </x:c>
      <x:c r="H11" s="6" t="s">
        <x:v>92</x:v>
      </x:c>
      <x:c r="I11" s="10" t="n">
        <x:v>61200.00</x:v>
      </x:c>
      <x:c r="J11" s="11" t="s">
        <x:v>77</x:v>
      </x:c>
      <x:c r="K11" s="11" t="s">
        <x:v>93</x:v>
      </x:c>
      <x:c r="L11" s="12" t="str">
        <x:f xml:space="preserve">HYPERLINK("https://www.cambramallorca.com/perfildelcontratante","www.cambramallorca.com/perfildelcontratante")</x:f>
        <x:v>www.cambramallorca.com/perfildelcontratante</x:v>
      </x:c>
      <x:c r="M11" s="11" t="s">
        <x:v>27</x:v>
      </x:c>
      <x:c r="N11" s="13" t="s">
        <x:v>28</x:v>
      </x:c>
      <x:c r="O11" s="11" t="s">
        <x:v>94</x:v>
      </x:c>
      <x:c r="P11" s="11" t="s">
        <x:v>95</x:v>
      </x:c>
      <x:c r="Q11" s="14" t="str">
        <x:f xml:space="preserve">HYPERLINK("https://www.infonalia.es/licitaciones1125/2025165003.pdf","www.infonalia.es/licitaciones1125/2025165003.pdf")</x:f>
        <x:v>www.infonalia.es/licitaciones1125/2025165003.pdf</x:v>
      </x:c>
    </x:row>
    <x:row r="12">
      <x:c r="A12" s="6" t="s">
        <x:v>17</x:v>
      </x:c>
      <x:c r="B12" s="6" t="s">
        <x:v>96</x:v>
      </x:c>
      <x:c r="C12" s="7" t="s">
        <x:v>97</x:v>
      </x:c>
      <x:c r="D12" s="8" t="s">
        <x:v>98</x:v>
      </x:c>
      <x:c r="E12" s="9" t="s">
        <x:v>21</x:v>
      </x:c>
      <x:c r="F12" s="6" t="s">
        <x:v>99</x:v>
      </x:c>
      <x:c r="G12" s="6" t="s">
        <x:v>100</x:v>
      </x:c>
      <x:c r="H12" s="6" t="s">
        <x:v>101</x:v>
      </x:c>
      <x:c r="I12" s="10" t="n">
        <x:v>75000.00</x:v>
      </x:c>
      <x:c r="J12" s="11" t="s">
        <x:v>25</x:v>
      </x:c>
      <x:c r="K12" s="11" t="s">
        <x:v>102</x:v>
      </x:c>
      <x:c r="L12" s="12" t="str">
        <x:f xml:space="preserve">HYPERLINK("https://licitaciones2.ifema.es/licitacion/licitaciones/detalle?id=3045500","licitaciones2.ifema.es/licitacion/licitaciones/detalle?id=3045500")</x:f>
        <x:v>licitaciones2.ifema.es/licitacion/licitaciones/detalle?id=3045500</x:v>
      </x:c>
      <x:c r="M12" s="11" t="s">
        <x:v>27</x:v>
      </x:c>
      <x:c r="N12" s="13" t="s">
        <x:v>28</x:v>
      </x:c>
      <x:c r="O12" s="11" t="s">
        <x:v>103</x:v>
      </x:c>
      <x:c r="P12" s="11" t="s">
        <x:v>48</x:v>
      </x:c>
      <x:c r="Q12" s="14" t="str">
        <x:f xml:space="preserve">HYPERLINK("https://www.infonalia.es/licitaciones1125/2025165004.pdf","www.infonalia.es/licitaciones1125/2025165004.pdf")</x:f>
        <x:v>www.infonalia.es/licitaciones1125/2025165004.pdf</x:v>
      </x:c>
    </x:row>
    <x:row r="13">
      <x:c r="A13" s="6" t="s">
        <x:v>17</x:v>
      </x:c>
      <x:c r="B13" s="6" t="s">
        <x:v>96</x:v>
      </x:c>
      <x:c r="C13" s="7" t="s">
        <x:v>88</x:v>
      </x:c>
      <x:c r="D13" s="8" t="s">
        <x:v>104</x:v>
      </x:c>
      <x:c r="E13" s="9" t="s">
        <x:v>21</x:v>
      </x:c>
      <x:c r="F13" s="6" t="s">
        <x:v>99</x:v>
      </x:c>
      <x:c r="G13" s="6" t="s">
        <x:v>105</x:v>
      </x:c>
      <x:c r="H13" s="6" t="s">
        <x:v>106</x:v>
      </x:c>
      <x:c r="I13" s="10" t="n">
        <x:v>325781.00</x:v>
      </x:c>
      <x:c r="J13" s="11" t="s">
        <x:v>25</x:v>
      </x:c>
      <x:c r="K13" s="11" t="s">
        <x:v>107</x:v>
      </x:c>
      <x:c r="L13" s="12" t="str">
        <x:f xml:space="preserve">HYPERLINK("https://licitaciones2.ifema.es/licitacion/licitaciones/detalle?id=3045875","licitaciones2.ifema.es/licitacion/licitaciones/detalle?id=3045875")</x:f>
        <x:v>licitaciones2.ifema.es/licitacion/licitaciones/detalle?id=3045875</x:v>
      </x:c>
      <x:c r="M13" s="11" t="s">
        <x:v>27</x:v>
      </x:c>
      <x:c r="N13" s="13" t="s">
        <x:v>28</x:v>
      </x:c>
      <x:c r="O13" s="11" t="s">
        <x:v>108</x:v>
      </x:c>
      <x:c r="P13" s="11" t="s">
        <x:v>48</x:v>
      </x:c>
      <x:c r="Q13" s="14" t="str">
        <x:f xml:space="preserve">HYPERLINK("https://www.infonalia.es/licitaciones1125/2025165005.pdf","www.infonalia.es/licitaciones1125/2025165005.pdf")</x:f>
        <x:v>www.infonalia.es/licitaciones1125/2025165005.pdf</x:v>
      </x:c>
    </x:row>
    <x:row r="14">
      <x:c r="A14" s="6" t="s">
        <x:v>17</x:v>
      </x:c>
      <x:c r="B14" s="6" t="s">
        <x:v>109</x:v>
      </x:c>
      <x:c r="C14" s="7" t="s">
        <x:v>110</x:v>
      </x:c>
      <x:c r="D14" s="8" t="s">
        <x:v>111</x:v>
      </x:c>
      <x:c r="E14" s="9" t="s">
        <x:v>21</x:v>
      </x:c>
      <x:c r="F14" s="6" t="s">
        <x:v>112</x:v>
      </x:c>
      <x:c r="G14" s="6" t="s">
        <x:v>113</x:v>
      </x:c>
      <x:c r="H14" s="6" t="s">
        <x:v>114</x:v>
      </x:c>
      <x:c r="I14" s="10" t="n">
        <x:v>18000.00</x:v>
      </x:c>
      <x:c r="J14" s="11" t="s">
        <x:v>115</x:v>
      </x:c>
      <x:c r="K14" s="11" t="s">
        <x:v>116</x:v>
      </x:c>
      <x:c r="L14" s="12" t="str">
        <x:f xml:space="preserve">HYPERLINK("https://segib.org/es/contrataciones/","segib.org/es/contrataciones/")</x:f>
        <x:v>segib.org/es/contrataciones/</x:v>
      </x:c>
      <x:c r="M14" s="11" t="s">
        <x:v>27</x:v>
      </x:c>
      <x:c r="N14" s="13" t="s">
        <x:v>117</x:v>
      </x:c>
      <x:c r="O14" s="11" t="s">
        <x:v>118</x:v>
      </x:c>
      <x:c r="P14" s="11" t="s">
        <x:v>119</x:v>
      </x:c>
      <x:c r="Q14" s="14" t="str">
        <x:f xml:space="preserve">HYPERLINK("https://www.infonalia.es/licitaciones1125/2025165019.pdf","www.infonalia.es/licitaciones1125/2025165019.pdf")</x:f>
        <x:v>www.infonalia.es/licitaciones1125/2025165019.pdf</x:v>
      </x:c>
    </x:row>
    <x:row r="15">
      <x:c r="A15" s="6" t="s">
        <x:v>17</x:v>
      </x:c>
      <x:c r="B15" s="6" t="s">
        <x:v>18</x:v>
      </x:c>
      <x:c r="C15" s="7" t="s">
        <x:v>120</x:v>
      </x:c>
      <x:c r="D15" s="8" t="s">
        <x:v>121</x:v>
      </x:c>
      <x:c r="E15" s="9" t="s">
        <x:v>21</x:v>
      </x:c>
      <x:c r="F15" s="6" t="s">
        <x:v>122</x:v>
      </x:c>
      <x:c r="G15" s="6" t="s">
        <x:v>123</x:v>
      </x:c>
      <x:c r="H15" s="6" t="s">
        <x:v>124</x:v>
      </x:c>
      <x:c r="I15" s="10" t="n">
        <x:v>1284850.00</x:v>
      </x:c>
      <x:c r="J15" s="11" t="s">
        <x:v>25</x:v>
      </x:c>
      <x:c r="K15" s="11" t="s">
        <x:v>26</x:v>
      </x:c>
      <x:c r="L15" s="12" t="str">
        <x:f xml:space="preserve">HYPERLINK("https://contrataciondelestado.es/wps/poc?uri=deeplink:detalle_licitacion&amp;idEvl=N%2FGgDhjlj0AkJPJS%2BPS9vg%3D%3D","contrataciondelestado.es/wps/poc?uri=deeplink:detalle_licitacion&amp;idEvl=N%2FGgDhjlj0AkJPJS%2BPS9vg%3D%3D")</x:f>
        <x:v>contrataciondelestado.es/wps/poc?uri=deeplink:detalle_licitacion&amp;idEvl=N%2FGgDhjlj0AkJPJS%2BPS9vg%3D%3D</x:v>
      </x:c>
      <x:c r="M15" s="11" t="s">
        <x:v>27</x:v>
      </x:c>
      <x:c r="N15" s="13" t="s">
        <x:v>21</x:v>
      </x:c>
      <x:c r="O15" s="11" t="s">
        <x:v>125</x:v>
      </x:c>
      <x:c r="P15" s="11" t="s">
        <x:v>48</x:v>
      </x:c>
      <x:c r="Q15" s="14" t="str">
        <x:f xml:space="preserve">HYPERLINK("https://www.infonalia.es/licitaciones1125/2025165043.pdf","www.infonalia.es/licitaciones1125/2025165043.pdf")</x:f>
        <x:v>www.infonalia.es/licitaciones1125/2025165043.pdf</x:v>
      </x:c>
    </x:row>
    <x:row r="16">
      <x:c r="A16" s="6" t="s">
        <x:v>17</x:v>
      </x:c>
      <x:c r="B16" s="6" t="s">
        <x:v>18</x:v>
      </x:c>
      <x:c r="C16" s="7" t="s">
        <x:v>120</x:v>
      </x:c>
      <x:c r="D16" s="8" t="s">
        <x:v>126</x:v>
      </x:c>
      <x:c r="E16" s="9" t="s">
        <x:v>21</x:v>
      </x:c>
      <x:c r="F16" s="6" t="s">
        <x:v>127</x:v>
      </x:c>
      <x:c r="G16" s="6" t="s">
        <x:v>128</x:v>
      </x:c>
      <x:c r="H16" s="6" t="s">
        <x:v>129</x:v>
      </x:c>
      <x:c r="I16" s="10" t="n">
        <x:v>8000000.00</x:v>
      </x:c>
      <x:c r="J16" s="11" t="s">
        <x:v>25</x:v>
      </x:c>
      <x:c r="K16" s="11" t="s">
        <x:v>26</x:v>
      </x:c>
      <x:c r="L16" s="12" t="str">
        <x:f xml:space="preserve">HYPERLINK("https://contrataciondelestado.es/wps/poc?uri=deeplink:detalle_licitacion&amp;idEvl=AbUoYGGbTUeFQ%2FlhRK79lA%3D%3D","contrataciondelestado.es/wps/poc?uri=deeplink:detalle_licitacion&amp;idEvl=AbUoYGGbTUeFQ%2FlhRK79lA%3D%3D")</x:f>
        <x:v>contrataciondelestado.es/wps/poc?uri=deeplink:detalle_licitacion&amp;idEvl=AbUoYGGbTUeFQ%2FlhRK79lA%3D%3D</x:v>
      </x:c>
      <x:c r="M16" s="11" t="s">
        <x:v>27</x:v>
      </x:c>
      <x:c r="N16" s="13" t="s">
        <x:v>21</x:v>
      </x:c>
      <x:c r="O16" s="11" t="s">
        <x:v>130</x:v>
      </x:c>
      <x:c r="P16" s="11" t="s">
        <x:v>131</x:v>
      </x:c>
      <x:c r="Q16" s="14" t="str">
        <x:f xml:space="preserve">HYPERLINK("https://www.infonalia.es/licitaciones1125/2025165045.pdf","www.infonalia.es/licitaciones1125/2025165045.pdf")</x:f>
        <x:v>www.infonalia.es/licitaciones1125/2025165045.pdf</x:v>
      </x:c>
    </x:row>
    <x:row r="17">
      <x:c r="A17" s="6" t="s">
        <x:v>17</x:v>
      </x:c>
      <x:c r="B17" s="6" t="s">
        <x:v>18</x:v>
      </x:c>
      <x:c r="C17" s="7" t="s">
        <x:v>132</x:v>
      </x:c>
      <x:c r="D17" s="8" t="s">
        <x:v>133</x:v>
      </x:c>
      <x:c r="E17" s="9" t="s">
        <x:v>21</x:v>
      </x:c>
      <x:c r="F17" s="6" t="s">
        <x:v>134</x:v>
      </x:c>
      <x:c r="G17" s="6" t="s">
        <x:v>135</x:v>
      </x:c>
      <x:c r="H17" s="6" t="s">
        <x:v>136</x:v>
      </x:c>
      <x:c r="I17" s="10" t="n">
        <x:v>194121.94</x:v>
      </x:c>
      <x:c r="J17" s="11" t="s">
        <x:v>25</x:v>
      </x:c>
      <x:c r="K17" s="11" t="s">
        <x:v>26</x:v>
      </x:c>
      <x:c r="L17" s="12" t="str">
        <x:f xml:space="preserve">HYPERLINK("https://www.contratosdegalicia.gal/licitacion?N=826803","www.contratosdegalicia.gal/licitacion?N=826803")</x:f>
        <x:v>www.contratosdegalicia.gal/licitacion?N=826803</x:v>
      </x:c>
      <x:c r="M17" s="11" t="s">
        <x:v>27</x:v>
      </x:c>
      <x:c r="N17" s="13" t="s">
        <x:v>21</x:v>
      </x:c>
      <x:c r="O17" s="11" t="s">
        <x:v>137</x:v>
      </x:c>
      <x:c r="P17" s="11" t="s">
        <x:v>138</x:v>
      </x:c>
      <x:c r="Q17" s="14" t="str">
        <x:f xml:space="preserve">HYPERLINK("https://www.infonalia.es/licitaciones1125/2025165073.pdf","www.infonalia.es/licitaciones1125/2025165073.pdf")</x:f>
        <x:v>www.infonalia.es/licitaciones1125/2025165073.pdf</x:v>
      </x:c>
    </x:row>
    <x:row r="18">
      <x:c r="A18" s="6" t="s">
        <x:v>17</x:v>
      </x:c>
      <x:c r="B18" s="6" t="s">
        <x:v>18</x:v>
      </x:c>
      <x:c r="C18" s="7" t="s">
        <x:v>139</x:v>
      </x:c>
      <x:c r="D18" s="8" t="s">
        <x:v>140</x:v>
      </x:c>
      <x:c r="E18" s="9" t="s">
        <x:v>21</x:v>
      </x:c>
      <x:c r="F18" s="6" t="s">
        <x:v>141</x:v>
      </x:c>
      <x:c r="G18" s="6" t="s">
        <x:v>142</x:v>
      </x:c>
      <x:c r="H18" s="6" t="s">
        <x:v>143</x:v>
      </x:c>
      <x:c r="I18" s="10" t="n">
        <x:v>99760.23</x:v>
      </x:c>
      <x:c r="J18" s="11" t="s">
        <x:v>25</x:v>
      </x:c>
      <x:c r="K18" s="11" t="s">
        <x:v>26</x:v>
      </x:c>
      <x:c r="L18" s="12" t="str">
        <x:f xml:space="preserve">HYPERLINK("https://contratos-publicos.comunidad.madrid/contrato-publico/prestacion-servicios-necesarios-participacion-direccion-general-educacion","contratos-publicos.comunidad.madrid/contrato-publico/prestacion-servicios-necesarios-participacion-direccion-general-educacion")</x:f>
        <x:v>contratos-publicos.comunidad.madrid/contrato-publico/prestacion-servicios-necesarios-participacion-direccion-general-educacion</x:v>
      </x:c>
      <x:c r="M18" s="11" t="s">
        <x:v>27</x:v>
      </x:c>
      <x:c r="N18" s="13" t="s">
        <x:v>21</x:v>
      </x:c>
      <x:c r="O18" s="11" t="s">
        <x:v>144</x:v>
      </x:c>
      <x:c r="P18" s="11" t="s">
        <x:v>48</x:v>
      </x:c>
      <x:c r="Q18" s="14" t="str">
        <x:f xml:space="preserve">HYPERLINK("https://www.infonalia.es/licitaciones1125/2025165121.pdf","www.infonalia.es/licitaciones1125/2025165121.pdf")</x:f>
        <x:v>www.infonalia.es/licitaciones1125/2025165121.pdf</x:v>
      </x:c>
    </x:row>
    <x:row r="19">
      <x:c r="A19" s="6" t="s">
        <x:v>17</x:v>
      </x:c>
      <x:c r="B19" s="6" t="s">
        <x:v>18</x:v>
      </x:c>
      <x:c r="C19" s="7" t="s">
        <x:v>139</x:v>
      </x:c>
      <x:c r="D19" s="8" t="s">
        <x:v>145</x:v>
      </x:c>
      <x:c r="E19" s="9" t="s">
        <x:v>21</x:v>
      </x:c>
      <x:c r="F19" s="6" t="s">
        <x:v>146</x:v>
      </x:c>
      <x:c r="G19" s="6" t="s">
        <x:v>147</x:v>
      </x:c>
      <x:c r="H19" s="6" t="s">
        <x:v>148</x:v>
      </x:c>
      <x:c r="I19" s="10" t="n">
        <x:v>60000.00</x:v>
      </x:c>
      <x:c r="J19" s="11" t="s">
        <x:v>25</x:v>
      </x:c>
      <x:c r="K19" s="11" t="s">
        <x:v>26</x:v>
      </x:c>
      <x:c r="L19" s="12" t="str">
        <x:f xml:space="preserve">HYPERLINK("https://contrataciondelestado.es/wps/poc?uri=deeplink:detalle_licitacion&amp;idEvl=y2b284vIIQMkJPJS%2BPS9vg%3D%3D","contrataciondelestado.es/wps/poc?uri=deeplink:detalle_licitacion&amp;idEvl=y2b284vIIQMkJPJS%2BPS9vg%3D%3D")</x:f>
        <x:v>contrataciondelestado.es/wps/poc?uri=deeplink:detalle_licitacion&amp;idEvl=y2b284vIIQMkJPJS%2BPS9vg%3D%3D</x:v>
      </x:c>
      <x:c r="M19" s="11" t="s">
        <x:v>27</x:v>
      </x:c>
      <x:c r="N19" s="13" t="s">
        <x:v>21</x:v>
      </x:c>
      <x:c r="O19" s="11" t="s">
        <x:v>149</x:v>
      </x:c>
      <x:c r="P19" s="11" t="s">
        <x:v>48</x:v>
      </x:c>
      <x:c r="Q19" s="14" t="str">
        <x:f xml:space="preserve">HYPERLINK("https://www.infonalia.es/licitaciones1125/2025165178.pdf","www.infonalia.es/licitaciones1125/2025165178.pdf")</x:f>
        <x:v>www.infonalia.es/licitaciones1125/2025165178.pdf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