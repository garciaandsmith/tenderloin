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<x:sst xmlns:x="http://schemas.openxmlformats.org/spreadsheetml/2006/main" count="6" uniqueCount="6">
  <x:si>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</x:si>
  <x:si>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</x:si>
  <x:si>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</x:si>
  <x:si>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</x:si>
  <x:si>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</x:si>
  <x:si>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</x:si>
  <x:si>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2025147353</x:t>
  </x:si>
  <x:si>
    <x:t>Aclaración / Ampliación de pliegos</x:t>
  </x:si>
  <x:si>
    <x:t>INSTITUTO DE ESTADÍSTICA DE CATALUNYA (IDESCAT)</x:t>
  </x:si>
  <x:si>
    <x:t>Asistencia técnica para las XXII Jornadas de Estadística CCAA.</x:t>
  </x:si>
  <x:si>
    <x:t>2025152691</x:t>
  </x:si>
  <x:si>
    <x:t>Corrección de errores</x:t>
  </x:si>
  <x:si>
    <x:t>ALCALDÍA DEL AYUNTAMIENTO DE ALLER (ASTURIAS)</x:t>
  </x:si>
  <x:si>
    <x:t>Servicios de alquiler y montaje, servicios audiovisuales, servicio de vigilancia y servicio de elaboración plan de autoprotección del recinto ferial de Nevaria 2025, la feria de la nieve y la montaña. Lote 1: Servicio de alquiler y montaje del recinto ferial. Lote 2: Servicio de alquiler e instalación de medios audiovisuales. Lote 3: Servicio de vigilancia. Lote 4: Plan de autoprotección.</x:t>
  </x:si>
  <x:si>
    <x:t>2025164608</x:t>
  </x:si>
  <x:si>
    <x:t>INSTITUT CATALÀ DEL SÒL (INCASÒL)</x:t>
  </x:si>
  <x:si>
    <x:t>VCG/LCA - Servicio de traducción y corrección de textos de varios documentos del Instituto Catalán del Suelo</x:t>
  </x:si>
  <x:si>
    <x:t>2025166679</x:t>
  </x:si>
  <x:si>
    <x:t>UNIVERSITAT DE BARCELONA</x:t>
  </x:si>
  <x:si>
    <x:t>2025/122 Servicio de agencia de marketing digital de diversos programas y servicios</x:t>
  </x:si>
  <x:si>
    <x:t>2025169903</x:t>
  </x:si>
  <x:si>
    <x:t>MADRID CULTURA Y TURISMO, S.A.U</x:t>
  </x:si>
  <x:si>
    <x:t>Servicios Agencia de Comunicación 2025</x:t>
  </x:si>
  <x:si>
    <x:t>2025170927</x:t>
  </x:si>
  <x:si>
    <x:t>EMPRESA MIXTA DE SERVEIS FÚNEBRES MUNICIPALS DE TARRAGONA, SA</x:t>
  </x:si>
  <x:si>
    <x:t>Contratación del asesoramiento, planificación e inserción de publicidad convencional en los medios de comunicación de las campañas institucionales de la Empresa Mixta de Servicios Fúnebres Municipales de Tarragona, SA, y organización de eventos para divulgar el valor social de la empresa funeraria</x:t>
  </x:si>
  <x:si>
    <x:t>2025172023</x:t>
  </x:si>
  <x:si>
    <x:t>PRESIDENCIA DEL INSTITUTO VALENCIANO DE COMPETITIVIDAD EMPRESARIAL (IVACE)</x:t>
  </x:si>
  <x:si>
    <x:t>Servicio de asesoramiento y apoyo en destino a las empresas de la Comunitat Valenciana para su internacionalización en los países que integran el Mercosur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</x:si>
</x:sst>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HYPERLINK("https://www.infonalia.es/modificaciones1225/2025147353.pdf","www.infonalia.es/modificaciones1225/2025147353.pdf")</x:f>
        <x:v>www.infonalia.es/modificaciones1225/2025147353.pdf</x:v>
      </x:c>
      <x:c r="F2" s="5" t="str">
        <x:f xml:space="preserve">HYPERLINK("https://www.infonalia.es/licitaciones1025/2025147353.pdf","www.infonalia.es/licitaciones1025/2025147353.pdf")</x:f>
        <x:v>www.infonalia.es/licitaciones1025/2025147353.pdf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HYPERLINK("https://www.infonalia.es/modificaciones1225/2025152691.pdf","www.infonalia.es/modificaciones1225/2025152691.pdf")</x:f>
        <x:v>www.infonalia.es/modificaciones1225/2025152691.pdf</x:v>
      </x:c>
      <x:c r="F3" s="5" t="str">
        <x:f xml:space="preserve">HYPERLINK("https://www.infonalia.es/licitaciones1025/2025152691.pdf","www.infonalia.es/licitaciones1025/2025152691.pdf")</x:f>
        <x:v>www.infonalia.es/licitaciones1025/2025152691.pdf</x:v>
      </x:c>
    </x:row>
    <x:row r="4">
      <x:c r="A4" s="3" t="s">
        <x:v>14</x:v>
      </x:c>
      <x:c r="B4" s="4" t="s">
        <x:v>7</x:v>
      </x:c>
      <x:c r="C4" s="4" t="s">
        <x:v>15</x:v>
      </x:c>
      <x:c r="D4" s="4" t="s">
        <x:v>16</x:v>
      </x:c>
      <x:c r="E4" s="5" t="str">
        <x:f xml:space="preserve">HYPERLINK("https://www.infonalia.es/modificaciones1225/2025164608.pdf","www.infonalia.es/modificaciones1225/2025164608.pdf")</x:f>
        <x:v>www.infonalia.es/modificaciones1225/2025164608.pdf</x:v>
      </x:c>
      <x:c r="F4" s="5" t="str">
        <x:f xml:space="preserve">HYPERLINK("https://www.infonalia.es/licitaciones1125/2025164608.pdf","www.infonalia.es/licitaciones1125/2025164608.pdf")</x:f>
        <x:v>www.infonalia.es/licitaciones1125/2025164608.pdf</x:v>
      </x:c>
    </x:row>
    <x:row r="5">
      <x:c r="A5" s="3" t="s">
        <x:v>17</x:v>
      </x:c>
      <x:c r="B5" s="4" t="s">
        <x:v>7</x:v>
      </x:c>
      <x:c r="C5" s="4" t="s">
        <x:v>18</x:v>
      </x:c>
      <x:c r="D5" s="4" t="s">
        <x:v>19</x:v>
      </x:c>
      <x:c r="E5" s="5" t="str">
        <x:f xml:space="preserve">HYPERLINK("https://www.infonalia.es/modificaciones1225/2025166679.pdf","www.infonalia.es/modificaciones1225/2025166679.pdf")</x:f>
        <x:v>www.infonalia.es/modificaciones1225/2025166679.pdf</x:v>
      </x:c>
      <x:c r="F5" s="5" t="str">
        <x:f xml:space="preserve">HYPERLINK("https://www.infonalia.es/licitaciones1125/2025166679.pdf","www.infonalia.es/licitaciones1125/2025166679.pdf")</x:f>
        <x:v>www.infonalia.es/licitaciones1125/2025166679.pdf</x:v>
      </x:c>
    </x:row>
    <x:row r="6">
      <x:c r="A6" s="3" t="s">
        <x:v>20</x:v>
      </x:c>
      <x:c r="B6" s="4" t="s">
        <x:v>7</x:v>
      </x:c>
      <x:c r="C6" s="4" t="s">
        <x:v>21</x:v>
      </x:c>
      <x:c r="D6" s="4" t="s">
        <x:v>22</x:v>
      </x:c>
      <x:c r="E6" s="5" t="str">
        <x:f xml:space="preserve">HYPERLINK("https://www.infonalia.es/modificaciones1225/2025169903.pdf","www.infonalia.es/modificaciones1225/2025169903.pdf")</x:f>
        <x:v>www.infonalia.es/modificaciones1225/2025169903.pdf</x:v>
      </x:c>
      <x:c r="F6" s="5" t="str">
        <x:f xml:space="preserve">HYPERLINK("https://www.infonalia.es/licitaciones1125/2025169903.pdf","www.infonalia.es/licitaciones1125/2025169903.pdf")</x:f>
        <x:v>www.infonalia.es/licitaciones1125/2025169903.pdf</x:v>
      </x:c>
    </x:row>
    <x:row r="7">
      <x:c r="A7" s="3" t="s">
        <x:v>23</x:v>
      </x:c>
      <x:c r="B7" s="4" t="s">
        <x:v>7</x:v>
      </x:c>
      <x:c r="C7" s="4" t="s">
        <x:v>24</x:v>
      </x:c>
      <x:c r="D7" s="4" t="s">
        <x:v>25</x:v>
      </x:c>
      <x:c r="E7" s="5" t="str">
        <x:f xml:space="preserve">HYPERLINK("https://www.infonalia.es/modificaciones1225/2025170927.pdf","www.infonalia.es/modificaciones1225/2025170927.pdf")</x:f>
        <x:v>www.infonalia.es/modificaciones1225/2025170927.pdf</x:v>
      </x:c>
      <x:c r="F7" s="5" t="str">
        <x:f xml:space="preserve">HYPERLINK("https://www.infonalia.es/licitaciones1225/2025170927.pdf","www.infonalia.es/licitaciones1225/2025170927.pdf")</x:f>
        <x:v>www.infonalia.es/licitaciones1225/2025170927.pdf</x:v>
      </x:c>
    </x:row>
    <x:row r="8">
      <x:c r="A8" s="3" t="s">
        <x:v>26</x:v>
      </x:c>
      <x:c r="B8" s="4" t="s">
        <x:v>7</x:v>
      </x:c>
      <x:c r="C8" s="4" t="s">
        <x:v>27</x:v>
      </x:c>
      <x:c r="D8" s="4" t="s">
        <x:v>28</x:v>
      </x:c>
      <x:c r="E8" s="5" t="str">
        <x:f xml:space="preserve">HYPERLINK("https://www.infonalia.es/modificaciones1225/2025172023.pdf","www.infonalia.es/modificaciones1225/2025172023.pdf")</x:f>
        <x:v>www.infonalia.es/modificaciones1225/2025172023.pdf</x:v>
      </x:c>
      <x:c r="F8" s="5" t="str">
        <x:f xml:space="preserve">HYPERLINK("https://www.infonalia.es/licitaciones1225/2025172023.pdf","www.infonalia.es/licitaciones1225/2025172023.pdf")</x:f>
        <x:v>www.infonalia.es/licitaciones1225/2025172023.pdf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