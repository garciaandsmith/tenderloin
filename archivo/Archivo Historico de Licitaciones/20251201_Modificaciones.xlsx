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<x:sst xmlns:x="http://schemas.openxmlformats.org/spreadsheetml/2006/main" count="6" uniqueCount="6">
  <x:si>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</x:si>
  <x:si>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</x:si>
  <x:si>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</x:si>
  <x:si>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</x:si>
  <x:si>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</x:si>
  <x:si>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</x:si>
  <x:si>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2025147353</x:t>
  </x:si>
  <x:si>
    <x:t>Aclaración / Ampliación de pliegos</x:t>
  </x:si>
  <x:si>
    <x:t>INSTITUTO DE ESTADÍSTICA DE CATALUNYA (IDESCAT)</x:t>
  </x:si>
  <x:si>
    <x:t>Asistencia técnica para las XXII Jornadas de Estadística CCAA.</x:t>
  </x:si>
  <x:si>
    <x:t>2025162659</x:t>
  </x:si>
  <x:si>
    <x:t>DIPUTACIÓN DE TARRAGONA</x:t>
  </x:si>
  <x:si>
    <x:t>Servicio de planificación, negociación e inserción de publicidad y promoción de la Diputación de Tarragona en los medios de comunicación.</x:t>
  </x:si>
  <x:si>
    <x:t>2025167752</x:t>
  </x:si>
  <x:si>
    <x:t>AGENCIA CATALANA DE TURISMO</x:t>
  </x:si>
  <x:si>
    <x:t>Servicio de producción y elaboración de materiales digitales audiovisuales y fotográficos de turismo enogastronómico para el desarrollo de campañas de marketing para redes sociales, en el marco del Plan de Recuperación, Transformación y Resiliencia, financiado por la Unión Europea con los fondos Next Generation EU. El objeto del contrato deriva del proyecto estatal Plan Territorial de Sostenibilidad Turística y, en concreto, de la Actuación de Cohesión entre Destinos (ACD) “Cataluña, Tierra de sabores”, aprobado dentro del Plan de Recuperación, Transformación y Resiliencia, financiado por la Unión Europea en el marco de los fondos Next Generation EU, para la consecución digitalización del tejido industrial y de la pyme, recuperación del turismo e impulso en una España nación emprendedora" y, concretamente en el Componente 14 "Plan de modernización y competitividad del sector turístico", Inversión 1 "Transformación del modelo hacia la sostenibilidad". Se enmarca en el Plan Nacional de Turismo Enogastronómico y pretende definir un modelo de turismo enogastronómico regenerativo, slow e innovador, que permita promover Cataluña como destino turístico con identidad estructurando una oferta de valor que sea atractiva, competitiva y se base en el modelo 4D (desestacionalización, diversificación, descongestión y gasto) y. La actuación de la ACD Terra de Sabors que enmarca el objeto del contrato es la 16. Materiales digitales. Esta licitación se divide en los siguientes lotes: - Lote 1: Producción de microcápsulas de vídeo de turismo enogastronómico. - Lote 2: Producción de fotografías de turismo enogastronómico.</x:t>
  </x:si>
  <x:si>
    <x:t>2025169794</x:t>
  </x:si>
  <x:si>
    <x:t>UNIVERSITAT DE BARCELONA</x:t>
  </x:si>
  <x:si>
    <x:t>2025/149 Servicio de preimpresión, impresión, encuadernación y transporte de libros, revistas y material impreso.  - definir cuáles son los servicios a prestar y sus precios unitarios - homologar a un proveedor que deberá prestar los servicios de preimpresión, impresión, encuadernación y transporte de libros, revistas y material impreso para la Universidad de Barcelona. Simultáneamente también forma parte del objeto el establecimiento de las condiciones en las que se realizará la contratación basada en este acuerdo marco con el adjudicatario. Con este acuerdo marco se dará cobertura a las necesidades de las diferentes unidades funcionales de la UB, aunque su gestión se realizará de forma centralizada desde Publicaciones y Ediciones UB. El objeto del acuerdo marco no precisa de forma cerrada todos los servicios susceptibles de la futura contratación, individualmente considerados, sino que delimita de forma abierta pero suficiente, las características de los servicios a contratar, teniendo en cuenta que el Acuerdo marco es un compromiso contractual abierto Las condiciones y criterios de homologación y contratación basada se fijarán en este pliego de cláusulas administrativas prescripciones técnicas</x:t>
  </x:si>
  <x:si>
    <x:t>2025170111</x:t>
  </x:si>
  <x:si>
    <x:t>GENERALITAT DE CATALUNYA. DEPARTAMENTO DE INTERIOR Y SEGURIDAD PÚBLICA</x:t>
  </x:si>
  <x:si>
    <x:t>Diseño, la construcción del stand, contenido y producción de materiales y sonorización por la participación del Departamento, en el Salón de la Enseñanza, en su edición de 2026 a celebrar entre el 18 y el 22 de marzo</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</x:si>
</x:sst>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HYPERLINK("https://www.infonalia.es/modificaciones1225/2025147353.pdf","www.infonalia.es/modificaciones1225/2025147353.pdf")</x:f>
        <x:v>www.infonalia.es/modificaciones1225/2025147353.pdf</x:v>
      </x:c>
      <x:c r="F2" s="5" t="str">
        <x:f xml:space="preserve">HYPERLINK("https://www.infonalia.es/licitaciones1025/2025147353.pdf","www.infonalia.es/licitaciones1025/2025147353.pdf")</x:f>
        <x:v>www.infonalia.es/licitaciones1025/2025147353.pdf</x:v>
      </x:c>
    </x:row>
    <x:row r="3">
      <x:c r="A3" s="3" t="s">
        <x:v>10</x:v>
      </x:c>
      <x:c r="B3" s="4" t="s">
        <x:v>7</x:v>
      </x:c>
      <x:c r="C3" s="4" t="s">
        <x:v>11</x:v>
      </x:c>
      <x:c r="D3" s="4" t="s">
        <x:v>12</x:v>
      </x:c>
      <x:c r="E3" s="5" t="str">
        <x:f xml:space="preserve">HYPERLINK("https://www.infonalia.es/modificaciones1225/2025162659.pdf","www.infonalia.es/modificaciones1225/2025162659.pdf")</x:f>
        <x:v>www.infonalia.es/modificaciones1225/2025162659.pdf</x:v>
      </x:c>
      <x:c r="F3" s="5" t="str">
        <x:f xml:space="preserve">HYPERLINK("https://www.infonalia.es/licitaciones1125/2025162659.pdf","www.infonalia.es/licitaciones1125/2025162659.pdf")</x:f>
        <x:v>www.infonalia.es/licitaciones1125/2025162659.pdf</x:v>
      </x:c>
    </x:row>
    <x:row r="4">
      <x:c r="A4" s="3" t="s">
        <x:v>13</x:v>
      </x:c>
      <x:c r="B4" s="4" t="s">
        <x:v>7</x:v>
      </x:c>
      <x:c r="C4" s="4" t="s">
        <x:v>14</x:v>
      </x:c>
      <x:c r="D4" s="4" t="s">
        <x:v>15</x:v>
      </x:c>
      <x:c r="E4" s="5" t="str">
        <x:f xml:space="preserve">HYPERLINK("https://www.infonalia.es/modificaciones1225/2025167752.pdf","www.infonalia.es/modificaciones1225/2025167752.pdf")</x:f>
        <x:v>www.infonalia.es/modificaciones1225/2025167752.pdf</x:v>
      </x:c>
      <x:c r="F4" s="5" t="str">
        <x:f xml:space="preserve">HYPERLINK("https://www.infonalia.es/licitaciones1125/2025167752.pdf","www.infonalia.es/licitaciones1125/2025167752.pdf")</x:f>
        <x:v>www.infonalia.es/licitaciones1125/2025167752.pdf</x:v>
      </x:c>
    </x:row>
    <x:row r="5">
      <x:c r="A5" s="3" t="s">
        <x:v>16</x:v>
      </x:c>
      <x:c r="B5" s="4" t="s">
        <x:v>7</x:v>
      </x:c>
      <x:c r="C5" s="4" t="s">
        <x:v>17</x:v>
      </x:c>
      <x:c r="D5" s="4" t="s">
        <x:v>18</x:v>
      </x:c>
      <x:c r="E5" s="5" t="str">
        <x:f xml:space="preserve">HYPERLINK("https://www.infonalia.es/modificaciones1225/2025169794.pdf","www.infonalia.es/modificaciones1225/2025169794.pdf")</x:f>
        <x:v>www.infonalia.es/modificaciones1225/2025169794.pdf</x:v>
      </x:c>
      <x:c r="F5" s="5" t="str">
        <x:f xml:space="preserve">HYPERLINK("https://www.infonalia.es/licitaciones1125/2025169794.pdf","www.infonalia.es/licitaciones1125/2025169794.pdf")</x:f>
        <x:v>www.infonalia.es/licitaciones1125/2025169794.pdf</x:v>
      </x:c>
    </x:row>
    <x:row r="6">
      <x:c r="A6" s="3" t="s">
        <x:v>19</x:v>
      </x:c>
      <x:c r="B6" s="4" t="s">
        <x:v>7</x:v>
      </x:c>
      <x:c r="C6" s="4" t="s">
        <x:v>20</x:v>
      </x:c>
      <x:c r="D6" s="4" t="s">
        <x:v>21</x:v>
      </x:c>
      <x:c r="E6" s="5" t="str">
        <x:f xml:space="preserve">HYPERLINK("https://www.infonalia.es/modificaciones1225/2025170111.pdf","www.infonalia.es/modificaciones1225/2025170111.pdf")</x:f>
        <x:v>www.infonalia.es/modificaciones1225/2025170111.pdf</x:v>
      </x:c>
      <x:c r="F6" s="5" t="str">
        <x:f xml:space="preserve">HYPERLINK("https://www.infonalia.es/licitaciones1125/2025170111.pdf","www.infonalia.es/licitaciones1125/2025170111.pdf")</x:f>
        <x:v>www.infonalia.es/licitaciones1125/2025170111.pdf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