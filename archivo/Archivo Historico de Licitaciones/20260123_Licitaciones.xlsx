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<x:sst xmlns:x="http://schemas.openxmlformats.org/spreadsheetml/2006/main" count="17" uniqueCount="17">
  <x:si>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</x:si>
  <x:si>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</x:si>
  <x:si>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</x:si>
  <x:si>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</x:si>
  <x:si>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</x:si>
  <x:si>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</x:si>
  <x:si>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</x:si>
  <x:si>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</x:si>
  <x:si>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</x:si>
  <x:si>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</x:si>
  <x:si>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</x:si>
  <x:si>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</x:si>
  <x:si>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</x:si>
  <x:si>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</x:si>
  <x:si>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</x:si>
  <x:si>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</x:si>
  <x:si>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</x:si>
  <x:si>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</x:si>
  <x:si>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</x:si>
  <x:si>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06/02/2026</x:t>
  </x:si>
  <x:si>
    <x:t>2026006695</x:t>
  </x:si>
  <x:si>
    <x:t>23/01/2026</x:t>
  </x:si>
  <x:si>
    <x:t>AYUNTAMIENTO DE L'HOSPITALET DE LLOBREGAT (BARCELONA)</x:t>
  </x:si>
  <x:si>
    <x:t>AS-53/2025 servicios de fotografía y grabación audiovisual de los diferentes actos y eventos de interés de la ciudad para la dirección de servicios de comunicación</x:t>
  </x:si>
  <x:si>
    <x:t>AJT/95262/2025</x:t>
  </x:si>
  <x:si>
    <x:t>Importe sin impuestos</x:t>
  </x:si>
  <x:si>
    <x:t/>
  </x:si>
  <x:si>
    <x:t>-----</x:t>
  </x:si>
  <x:si>
    <x:t>22/01/2026</x:t>
  </x:si>
  <x:si>
    <x:t/>
  </x:si>
  <x:si>
    <x:t>Barcelona</x:t>
  </x:si>
  <x:si>
    <x:t>09/02/2026</x:t>
  </x:si>
  <x:si>
    <x:t>2026006851</x:t>
  </x:si>
  <x:si>
    <x:t>DIRECCIÓN DE COMPRAS DE LA CORPORACIÓN DE RADIO Y TELEVISIÓN ESPAÑOLA S.A</x:t>
  </x:si>
  <x:si>
    <x:t>Estudio de Imagen para CRTVE 2026 [este expediente es la puesta en marcha de una investigación en profundidad de carácter estratégico, que recoja las líneas principales que configuran la imagen del grupo de comunicación RTVE en el desarrollo de su actividad]</x:t>
  </x:si>
  <x:si>
    <x:t>S-00053-2026</x:t>
  </x:si>
  <x:si>
    <x:t/>
  </x:si>
  <x:si>
    <x:t>Madrid</x:t>
  </x:si>
  <x:si>
    <x:t>Barcelona. Perfil del Contratante del Ayuntamiento</x:t>
  </x:si>
  <x:si>
    <x:t>28/01/2026</x:t>
  </x:si>
  <x:si>
    <x:t>2026007061</x:t>
  </x:si>
  <x:si>
    <x:t>INSTITUTO DE CULTURA DE BARCELONA</x:t>
  </x:si>
  <x:si>
    <x:t>Producción y edición de materiales audiovisuales y reportajes fotográficos para el departamento de 
Comunicación del DHUB.</x:t>
  </x:si>
  <x:si>
    <x:t>006_P2600117</x:t>
  </x:si>
  <x:si>
    <x:t/>
  </x:si>
  <x:si>
    <x:t/>
  </x:si>
  <x:si>
    <x:t>29/01/2026</x:t>
  </x:si>
  <x:si>
    <x:t>2026007063</x:t>
  </x:si>
  <x:si>
    <x:t>Servicio de certificaciones técnicas para eventos, actividades y exposiciones temporales.</x:t>
  </x:si>
  <x:si>
    <x:t>006_P2600132</x:t>
  </x:si>
  <x:si>
    <x:t/>
  </x:si>
  <x:si>
    <x:t/>
  </x:si>
  <x:si>
    <x:t>2026007065</x:t>
  </x:si>
  <x:si>
    <x:t>Traducción y subtitulación de películas de Jean-Luc Godard de La Virreina Centro de la 
Imagen.</x:t>
  </x:si>
  <x:si>
    <x:t>006_P2600116</x:t>
  </x:si>
  <x:si>
    <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</x:si>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</x:sst>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81400.00</x:v>
      </x:c>
      <x:c r="J2" s="11" t="s">
        <x:v>25</x:v>
      </x:c>
      <x:c r="K2" s="11" t="s">
        <x:v>26</x:v>
      </x:c>
      <x:c r="L2" s="12" t="str">
        <x:f xml:space="preserve">HYPERLINK("https://contractaciopublica.cat/ca/detall-publicacio/e30a983a-68be-441d-b1df-d38e5a713e38/300673269","contractaciopublica.cat/ca/detall-publicacio/e30a983a-68be-441d-b1df-d38e5a713e38/300673269")</x:f>
        <x:v>contractaciopublica.cat/ca/detall-publicacio/e30a983a-68be-441d-b1df-d38e5a713e38/300673269</x:v>
      </x:c>
      <x:c r="M2" s="11" t="s">
        <x:v>27</x:v>
      </x:c>
      <x:c r="N2" s="13" t="s">
        <x:v>28</x:v>
      </x:c>
      <x:c r="O2" s="11" t="s">
        <x:v>29</x:v>
      </x:c>
      <x:c r="P2" s="11" t="s">
        <x:v>30</x:v>
      </x:c>
      <x:c r="Q2" s="14" t="str">
        <x:f xml:space="preserve">HYPERLINK("https://www.infonalia.es/licitaciones0126/2026006695.pdf","www.infonalia.es/licitaciones0126/2026006695.pdf")</x:f>
        <x:v>www.infonalia.es/licitaciones0126/2026006695.pdf</x:v>
      </x:c>
    </x:row>
    <x:row r="3">
      <x:c r="A3" s="6" t="s">
        <x:v>17</x:v>
      </x:c>
      <x:c r="B3" s="6" t="s">
        <x:v>18</x:v>
      </x:c>
      <x:c r="C3" s="7" t="s">
        <x:v>31</x:v>
      </x:c>
      <x:c r="D3" s="8" t="s">
        <x:v>32</x:v>
      </x:c>
      <x:c r="E3" s="9" t="s">
        <x:v>21</x:v>
      </x:c>
      <x:c r="F3" s="6" t="s">
        <x:v>33</x:v>
      </x:c>
      <x:c r="G3" s="6" t="s">
        <x:v>34</x:v>
      </x:c>
      <x:c r="H3" s="6" t="s">
        <x:v>35</x:v>
      </x:c>
      <x:c r="I3" s="10" t="n">
        <x:v>63000.00</x:v>
      </x:c>
      <x:c r="J3" s="11" t="s">
        <x:v>25</x:v>
      </x:c>
      <x:c r="K3" s="11" t="s">
        <x:v>26</x:v>
      </x:c>
      <x:c r="L3" s="12" t="str">
        <x:f xml:space="preserve">HYPERLINK("https://contrataciondelestado.es/wps/poc?uri=deeplink:detalle_licitacion&amp;idEvl=UeAMeJdf%2BFPmnwcj%2BxbdTg%3D%3D","contrataciondelestado.es/wps/poc?uri=deeplink:detalle_licitacion&amp;idEvl=UeAMeJdf%2BFPmnwcj%2BxbdTg%3D%3D")</x:f>
        <x:v>contrataciondelestado.es/wps/poc?uri=deeplink:detalle_licitacion&amp;idEvl=UeAMeJdf%2BFPmnwcj%2BxbdTg%3D%3D</x:v>
      </x:c>
      <x:c r="M3" s="11" t="s">
        <x:v>27</x:v>
      </x:c>
      <x:c r="N3" s="13" t="s">
        <x:v>28</x:v>
      </x:c>
      <x:c r="O3" s="11" t="s">
        <x:v>36</x:v>
      </x:c>
      <x:c r="P3" s="11" t="s">
        <x:v>37</x:v>
      </x:c>
      <x:c r="Q3" s="14" t="str">
        <x:f xml:space="preserve">HYPERLINK("https://www.infonalia.es/licitaciones0126/2026006851.pdf","www.infonalia.es/licitaciones0126/2026006851.pdf")</x:f>
        <x:v>www.infonalia.es/licitaciones0126/2026006851.pdf</x:v>
      </x:c>
    </x:row>
    <x:row r="4">
      <x:c r="A4" s="6" t="s">
        <x:v>17</x:v>
      </x:c>
      <x:c r="B4" s="6" t="s">
        <x:v>38</x:v>
      </x:c>
      <x:c r="C4" s="7" t="s">
        <x:v>39</x:v>
      </x:c>
      <x:c r="D4" s="8" t="s">
        <x:v>40</x:v>
      </x:c>
      <x:c r="E4" s="9" t="s">
        <x:v>21</x:v>
      </x:c>
      <x:c r="F4" s="6" t="s">
        <x:v>41</x:v>
      </x:c>
      <x:c r="G4" s="6" t="s">
        <x:v>42</x:v>
      </x:c>
      <x:c r="H4" s="6" t="s">
        <x:v>43</x:v>
      </x:c>
      <x:c r="I4" s="10" t="n">
        <x:v>14680.00</x:v>
      </x:c>
      <x:c r="J4" s="11" t="s">
        <x:v>25</x:v>
      </x:c>
      <x:c r="K4" s="11" t="s">
        <x:v>44</x:v>
      </x:c>
      <x:c r="L4" s="12" t="str">
        <x:f xml:space="preserve">HYPERLINK("https://licitacions.bcn.cat/licitacion/licitaciones/detalle?id=14494108","licitacions.bcn.cat/licitacion/licitaciones/detalle?id=14494108")</x:f>
        <x:v>licitacions.bcn.cat/licitacion/licitaciones/detalle?id=14494108</x:v>
      </x:c>
      <x:c r="M4" s="11" t="s">
        <x:v>27</x:v>
      </x:c>
      <x:c r="N4" s="13" t="s">
        <x:v>28</x:v>
      </x:c>
      <x:c r="O4" s="11" t="s">
        <x:v>45</x:v>
      </x:c>
      <x:c r="P4" s="11" t="s">
        <x:v>30</x:v>
      </x:c>
      <x:c r="Q4" s="14" t="str">
        <x:f xml:space="preserve">HYPERLINK("https://www.infonalia.es/licitaciones0126/2026007061.pdf","www.infonalia.es/licitaciones0126/2026007061.pdf")</x:f>
        <x:v>www.infonalia.es/licitaciones0126/2026007061.pdf</x:v>
      </x:c>
    </x:row>
    <x:row r="5">
      <x:c r="A5" s="6" t="s">
        <x:v>17</x:v>
      </x:c>
      <x:c r="B5" s="6" t="s">
        <x:v>38</x:v>
      </x:c>
      <x:c r="C5" s="7" t="s">
        <x:v>46</x:v>
      </x:c>
      <x:c r="D5" s="8" t="s">
        <x:v>47</x:v>
      </x:c>
      <x:c r="E5" s="9" t="s">
        <x:v>21</x:v>
      </x:c>
      <x:c r="F5" s="6" t="s">
        <x:v>41</x:v>
      </x:c>
      <x:c r="G5" s="6" t="s">
        <x:v>48</x:v>
      </x:c>
      <x:c r="H5" s="6" t="s">
        <x:v>49</x:v>
      </x:c>
      <x:c r="I5" s="10" t="n">
        <x:v>3000.00</x:v>
      </x:c>
      <x:c r="J5" s="11" t="s">
        <x:v>25</x:v>
      </x:c>
      <x:c r="K5" s="11" t="s">
        <x:v>50</x:v>
      </x:c>
      <x:c r="L5" s="12" t="str">
        <x:f xml:space="preserve">HYPERLINK("https://licitacions.bcn.cat/licitacion/licitaciones/detalle?id=14508458","licitacions.bcn.cat/licitacion/licitaciones/detalle?id=14508458")</x:f>
        <x:v>licitacions.bcn.cat/licitacion/licitaciones/detalle?id=14508458</x:v>
      </x:c>
      <x:c r="M5" s="11" t="s">
        <x:v>27</x:v>
      </x:c>
      <x:c r="N5" s="13" t="s">
        <x:v>28</x:v>
      </x:c>
      <x:c r="O5" s="11" t="s">
        <x:v>51</x:v>
      </x:c>
      <x:c r="P5" s="11" t="s">
        <x:v>30</x:v>
      </x:c>
      <x:c r="Q5" s="14" t="str">
        <x:f xml:space="preserve">HYPERLINK("https://www.infonalia.es/licitaciones0126/2026007063.pdf","www.infonalia.es/licitaciones0126/2026007063.pdf")</x:f>
        <x:v>www.infonalia.es/licitaciones0126/2026007063.pdf</x:v>
      </x:c>
    </x:row>
    <x:row r="6">
      <x:c r="A6" s="6" t="s">
        <x:v>17</x:v>
      </x:c>
      <x:c r="B6" s="6" t="s">
        <x:v>38</x:v>
      </x:c>
      <x:c r="C6" s="7" t="s">
        <x:v>39</x:v>
      </x:c>
      <x:c r="D6" s="8" t="s">
        <x:v>52</x:v>
      </x:c>
      <x:c r="E6" s="9" t="s">
        <x:v>21</x:v>
      </x:c>
      <x:c r="F6" s="6" t="s">
        <x:v>41</x:v>
      </x:c>
      <x:c r="G6" s="6" t="s">
        <x:v>53</x:v>
      </x:c>
      <x:c r="H6" s="6" t="s">
        <x:v>54</x:v>
      </x:c>
      <x:c r="I6" s="10" t="n">
        <x:v>8580.00</x:v>
      </x:c>
      <x:c r="J6" s="11" t="s">
        <x:v>25</x:v>
      </x:c>
      <x:c r="K6" s="11" t="s">
        <x:v>55</x:v>
      </x:c>
      <x:c r="L6" s="12" t="str">
        <x:f xml:space="preserve">HYPERLINK("https://licitacions.bcn.cat/licitacion/licitaciones/detalle?id=14498850","licitacions.bcn.cat/licitacion/licitaciones/detalle?id=14498850")</x:f>
        <x:v>licitacions.bcn.cat/licitacion/licitaciones/detalle?id=14498850</x:v>
      </x:c>
      <x:c r="M6" s="11" t="s">
        <x:v>27</x:v>
      </x:c>
      <x:c r="N6" s="13" t="s">
        <x:v>28</x:v>
      </x:c>
      <x:c r="O6" s="11" t="s">
        <x:v>56</x:v>
      </x:c>
      <x:c r="P6" s="11" t="s">
        <x:v>30</x:v>
      </x:c>
      <x:c r="Q6" s="14" t="str">
        <x:f xml:space="preserve">HYPERLINK("https://www.infonalia.es/licitaciones0126/2026007065.pdf","www.infonalia.es/licitaciones0126/2026007065.pdf")</x:f>
        <x:v>www.infonalia.es/licitaciones0126/2026007065.pdf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