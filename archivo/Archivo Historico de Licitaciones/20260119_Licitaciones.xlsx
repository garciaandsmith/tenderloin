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Licitaciones" sheetId="1" r:id="rId1"/>
  </x:sheets>
  <x:definedNames>
    <x:definedName name="_xlnm._FilterDatabase" localSheetId="0" hidden="1">Licitaciones!$A$1:$Q$1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<x:sst xmlns:x="http://schemas.openxmlformats.org/spreadsheetml/2006/main" count="17" uniqueCount="17">
  <x:si>
    <x:t>TipoDato</x:t>
  </x:si>
  <x:si>
    <x:t>CodigoBoletin</x:t>
  </x:si>
  <x:si>
    <x:t>PlazoPresentacionFecha</x:t>
  </x:si>
  <x:si>
    <x:t>Referencia</x:t>
  </x:si>
  <x:si>
    <x:t>FechaIntroduccion</x:t>
  </x:si>
  <x:si>
    <x:t>OrganismoConvocante</x:t>
  </x:si>
  <x:si>
    <x:t>Objeto</x:t>
  </x:si>
  <x:si>
    <x:t>Nº Expediente</x:t>
  </x:si>
  <x:si>
    <x:t>Presupuesto</x:t>
  </x:si>
  <x:si>
    <x:t>PresupuestoVarios</x:t>
  </x:si>
  <x:si>
    <x:t>PlazoPresentacionVarios</x:t>
  </x:si>
  <x:si>
    <x:t>InformacionWeb</x:t>
  </x:si>
  <x:si>
    <x:t>PublicacionNumero</x:t>
  </x:si>
  <x:si>
    <x:t>PublicacionFecha</x:t>
  </x:si>
  <x:si>
    <x:t>Observaciones</x:t>
  </x:si>
  <x:si>
    <x:t>LugarEjecucion</x:t>
  </x:si>
  <x:si>
    <x:t>Anuncio</x:t>
  </x:si>
  <x:si>
    <x:t>Concurso</x:t>
  </x:si>
  <x:si>
    <x:t>Plataforma de Contratación del Estado</x:t>
  </x:si>
  <x:si>
    <x:t>02/02/2026</x:t>
  </x:si>
  <x:si>
    <x:t>2026004422</x:t>
  </x:si>
  <x:si>
    <x:t>19/01/2026</x:t>
  </x:si>
  <x:si>
    <x:t>FUNDACIÓ BARCELONA MOBILE WORLD CAPITAL FOUNDATION</x:t>
  </x:si>
  <x:si>
    <x:t>El objeto del presente contrato es la prestación de un servicio integral de producción de un sistema expositivo físico común, materializado en la producción de tres (3) unidades físicas completas, autónomas y funcionalmente equivalentes, destinadas a permitir activaciones simultáneas y su implantación sucesiva en hasta diez (10) sedes de distrito de la ciudad de Barcelona, en el marco del 20 aniversario del MWC en Barcelona</x:t>
  </x:si>
  <x:si>
    <x:t>ASA/F202602/S</x:t>
  </x:si>
  <x:si>
    <x:t>Importe sin impuestos</x:t>
  </x:si>
  <x:si>
    <x:t/>
  </x:si>
  <x:si>
    <x:t>-----</x:t>
  </x:si>
  <x:si>
    <x:t>16/01/2026</x:t>
  </x:si>
  <x:si>
    <x:t/>
  </x:si>
  <x:si>
    <x:t>Barcelona</x:t>
  </x:si>
  <x:si>
    <x:t>2026004423</x:t>
  </x:si>
  <x:si>
    <x:t>El objeto del presente contrato consiste en la prestación de servicios de gestión de stands (stand management) y otros servicios asociados para el espacio expositivo de MWCapital en el marco del MWC26, que tendrán lugar los días 2, 3, 4 y 5 de marzo de 2026 en el recinto ferial de Fira Barcelona - Gran Via (Hall 6) de L’Hospitalet de Llobregat</x:t>
  </x:si>
  <x:si>
    <x:t>A/F202602/S</x:t>
  </x:si>
  <x:si>
    <x:t/>
  </x:si>
  <x:si>
    <x:t>31/01/2026</x:t>
  </x:si>
  <x:si>
    <x:t>2026004430</x:t>
  </x:si>
  <x:si>
    <x:t>AYUNTAMIENTO DE CERVERA (LLEIDA)</x:t>
  </x:si>
  <x:si>
    <x:t>Contratación de publicidad y comunicación del Festival de Pascua de Cervera. Festival de música clásica catalana 2026-2027. Gestión de la publicidad, gestión web, gestión redes sociales, rueda de prensa y atención a los medios</x:t>
  </x:si>
  <x:si>
    <x:t>1857/2025</x:t>
  </x:si>
  <x:si>
    <x:t/>
  </x:si>
  <x:si>
    <x:t>Lleida</x:t>
  </x:si>
  <x:si>
    <x:t>03/02/2026</x:t>
  </x:si>
  <x:si>
    <x:t>2026004431</x:t>
  </x:si>
  <x:si>
    <x:t>PRESIDENCIA DE LA MANCOMUNIDAD DE SERVICIOS DEL VALLE DEL NALÓN (ASTURIAS)</x:t>
  </x:si>
  <x:si>
    <x:t>Servicios de diseño, señalización y dinamización de una Ruta de Geoturismo para la puesta en valor del patrimonio geológico y minero del Valle del Nalón</x:t>
  </x:si>
  <x:si>
    <x:t>SCI/2025/204</x:t>
  </x:si>
  <x:si>
    <x:t/>
  </x:si>
  <x:si>
    <x:t>Asturias</x:t>
  </x:si>
  <x:si>
    <x:t>16/02/2026</x:t>
  </x:si>
  <x:si>
    <x:t>2026004446</x:t>
  </x:si>
  <x:si>
    <x:t>AYUNTAMIENTO DE TARRAGONA</x:t>
  </x:si>
  <x:si>
    <x:t>Implica la elaboración y gestión del proyecto de Mediación y desarrollar la coordinación de la producción artística y la planificación y coordinación de las acciones de comunicación. Lote 1 Elaborar y desarrollar el Plan Director y Proyecto Expositivo de Mèdol, Centro de Artes Contemporáneas, lote 2 Mediación y coordinación de la producción artística y de la comunicación: Implica la elaboración y gestión del proyecto de Mediación y desarrollar la coordinación de la producción artística y la planificación y coordinación de las acciones de comunicación.</x:t>
  </x:si>
  <x:si>
    <x:t>938/2025 G626</x:t>
  </x:si>
  <x:si>
    <x:t/>
  </x:si>
  <x:si>
    <x:t>Tarragona</x:t>
  </x:si>
  <x:si>
    <x:t>2026004629</x:t>
  </x:si>
  <x:si>
    <x:t>MINISTERIO DE ECONOMÍA, COMERCIO Y EMPRESA. COMISIÓN NACIONAL DEL MERCADO DE VALORES</x:t>
  </x:si>
  <x:si>
    <x:t>Servicio de seguimiento de la información de la Comisión Nacional del Mercado de Valores en los medios de comunicación</x:t>
  </x:si>
  <x:si>
    <x:t>40/25</x:t>
  </x:si>
  <x:si>
    <x:t/>
  </x:si>
  <x:si>
    <x:t>Madrid</x:t>
  </x:si>
  <x:si>
    <x:t>2026004674</x:t>
  </x:si>
  <x:si>
    <x:t>AYUNTAMIENTO DE SANT CUGAT DEL VALLÈS (BARCELONA)</x:t>
  </x:si>
  <x:si>
    <x:t>Servicios de estrategia turística, gestión, actualización, creación de contenidos y posicionamiento de la página web Visit Sant Cugat.cat, de la Oficina de Turismo de acuerdo con la Memoria justificativa y el pliego de prescripciones técnicas</x:t>
  </x:si>
  <x:si>
    <x:t>21914/2025</x:t>
  </x:si>
  <x:si>
    <x:t/>
  </x:si>
  <x:si>
    <x:t>24/02/2026</x:t>
  </x:si>
  <x:si>
    <x:t>2026004687</x:t>
  </x:si>
  <x:si>
    <x:t>AEROPORTS PÚBLICS DE CATALUNYA, SLU</x:t>
  </x:si>
  <x:si>
    <x:t>Servicio de promoción económica, turística y empresarial para el desarrollo de las comarcas leridanas en el entorno del Aeropuerto de Lleida-Alguaire a través de la publicidad y marketing. Lote 1 Ruta Lleida / Palma de Mallorca con 3 frecuencias semanales TODO el año y Plan de marketing vinculado. Lote 2 Ruta Lleida / Ibiza con 2 frecuencias semanales durante el pico del verano (6 semanas) y Plan de marketing vinculado. Lote 3 Ruta Lleida / Maó con 2 frecuencias semanales durante el pico del verano (6 semanas) y Plan de marketing vinculado</x:t>
  </x:si>
  <x:si>
    <x:t>2025 LEDA CPUB SER 10</x:t>
  </x:si>
  <x:si>
    <x:t/>
  </x:si>
  <x:si>
    <x:t>22/01/2026</x:t>
  </x:si>
  <x:si>
    <x:t>2026004839</x:t>
  </x:si>
  <x:si>
    <x:t>CONCEJAL DE CONTRATACIÓN DEL AYUNTAMIENTO DE TORREJÓN DE ARDOZ (MADRID)</x:t>
  </x:si>
  <x:si>
    <x:t>Campaña XI Ruta de la Cuchara</x:t>
  </x:si>
  <x:si>
    <x:t>23/2026</x:t>
  </x:si>
  <x:si>
    <x:t/>
  </x:si>
  <x:si>
    <x:t>Barcelona. Perfil del Contratante del Ayuntamiento</x:t>
  </x:si>
  <x:si>
    <x:t>23/01/2026</x:t>
  </x:si>
  <x:si>
    <x:t>2026004859</x:t>
  </x:si>
  <x:si>
    <x:t>INSTITUT BARCELONA ESPORTS</x:t>
  </x:si>
  <x:si>
    <x:t>Servicios de diseño, adaptación de originales y maquetación de elementos de publicidad para la 
difusión de la información de las campañas de comunicación del Institut Barcelona Esports.</x:t>
  </x:si>
  <x:si>
    <x:t>032_P2500229</x:t>
  </x:si>
  <x:si>
    <x:t/>
  </x:si>
  <x:si>
    <x:t/>
  </x:si>
  <x:si>
    <x:t>2026004937</x:t>
  </x:si>
  <x:si>
    <x:t>AYUNTAMIENTO DE CANET DE MAR (BARCELONA)</x:t>
  </x:si>
  <x:si>
    <x:t>El objeto del presente contrato consiste en la contratación del servicio de soporte audiovisual y comunicación institucional y corporativa (Lote 1), así como la impresión y la distribución del boletín de información municipal (Lote 2), del Ayuntamiento de Canet de Mar, bajo la dirección del Área de Comunicación y Gobierno abierto del consistorio</x:t>
  </x:si>
  <x:si>
    <x:t>1403/2025 4297</x:t>
  </x:si>
  <x:si>
    <x:t/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</x:si>
</x:sst>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5">
    <xf numFmtId="0" fontId="0" fillId="0" borderId="0" xfId="0"/>
    <xf numFmtId="0" fontId="1" fillId="0" borderId="0" xfId="0" applyFont="1" applyAlignment="1" applyProtection="1">
      <alignment vertical="center" wrapText="1"/>
    </xf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vertical="center" wrapText="1"/>
    </xf>
    <xf numFmtId="164" fontId="1" fillId="0" borderId="2" xfId="0" applyNumberFormat="1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</xf>
    <xf numFmtId="0" fontId="4" fillId="0" borderId="2" xfId="1" applyFont="1" applyBorder="1" applyAlignment="1" applyProtection="1">
      <alignment vertical="center" wrapText="1"/>
    </xf>
    <xf numFmtId="14" fontId="1" fillId="0" borderId="2" xfId="0" applyNumberFormat="1" applyFont="1" applyBorder="1" applyAlignment="1" applyProtection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8.5703125" style="1" customWidth="1"/>
    <x:col min="2" max="2" width="18.85546875" style="1" customWidth="1"/>
    <x:col min="3" max="3" width="19.140625" style="2" customWidth="1"/>
    <x:col min="4" max="4" width="11.140625" style="2" customWidth="1"/>
    <x:col min="5" max="5" width="14.85546875" style="1" hidden="1" customWidth="1"/>
    <x:col min="6" max="6" width="24.7109375" style="1" customWidth="1"/>
    <x:col min="7" max="7" width="57.42578125" style="1" customWidth="1"/>
    <x:col min="8" max="8" width="17.140625" style="1" customWidth="1"/>
    <x:col min="9" max="9" width="14.28515625" style="1" customWidth="1"/>
    <x:col min="10" max="10" width="16.85546875" style="1" hidden="1" customWidth="1"/>
    <x:col min="11" max="11" width="19.42578125" style="1" hidden="1" customWidth="1"/>
    <x:col min="12" max="12" width="33.85546875" style="1" customWidth="1"/>
    <x:col min="13" max="13" width="15.85546875" style="1" hidden="1" customWidth="1"/>
    <x:col min="14" max="14" width="13.85546875" style="1" hidden="1" customWidth="1"/>
    <x:col min="15" max="15" width="11.7109375" style="1" hidden="1" customWidth="1"/>
    <x:col min="16" max="16" width="17.140625" style="1" customWidth="1"/>
    <x:col min="17" max="17" width="29.7109375" style="1" customWidth="1"/>
    <x:col min="18" max="16384" width="11.5703125" style="3"/>
  </x:cols>
  <x:sheetData>
    <x:row r="1" spans="1:17" s="5" customFormat="1" ht="25.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</x:row>
    <x:row r="2" spans="1:17">
      <x:c r="A2" s="6" t="s">
        <x:v>17</x:v>
      </x:c>
      <x:c r="B2" s="6" t="s">
        <x:v>18</x:v>
      </x:c>
      <x:c r="C2" s="7" t="s">
        <x:v>19</x:v>
      </x:c>
      <x:c r="D2" s="8" t="s">
        <x:v>20</x:v>
      </x:c>
      <x:c r="E2" s="9" t="s">
        <x:v>21</x:v>
      </x:c>
      <x:c r="F2" s="6" t="s">
        <x:v>22</x:v>
      </x:c>
      <x:c r="G2" s="6" t="s">
        <x:v>23</x:v>
      </x:c>
      <x:c r="H2" s="6" t="s">
        <x:v>24</x:v>
      </x:c>
      <x:c r="I2" s="10" t="n">
        <x:v>59000.00</x:v>
      </x:c>
      <x:c r="J2" s="11" t="s">
        <x:v>25</x:v>
      </x:c>
      <x:c r="K2" s="11" t="s">
        <x:v>26</x:v>
      </x:c>
      <x:c r="L2" s="12" t="str">
        <x:f xml:space="preserve">HYPERLINK("https://contractaciopublica.cat/es/detall-publicacio/dd71d1d6-c781-4106-ba38-b2388a169199/300668942","contractaciopublica.cat/es/detall-publicacio/dd71d1d6-c781-4106-ba38-b2388a169199/300668942")</x:f>
        <x:v>contractaciopublica.cat/es/detall-publicacio/dd71d1d6-c781-4106-ba38-b2388a169199/300668942</x:v>
      </x:c>
      <x:c r="M2" s="11" t="s">
        <x:v>27</x:v>
      </x:c>
      <x:c r="N2" s="13" t="s">
        <x:v>28</x:v>
      </x:c>
      <x:c r="O2" s="11" t="s">
        <x:v>29</x:v>
      </x:c>
      <x:c r="P2" s="11" t="s">
        <x:v>30</x:v>
      </x:c>
      <x:c r="Q2" s="14" t="str">
        <x:f xml:space="preserve">HYPERLINK("https://www.infonalia.es/licitaciones0126/2026004422.pdf","www.infonalia.es/licitaciones0126/2026004422.pdf")</x:f>
        <x:v>www.infonalia.es/licitaciones0126/2026004422.pdf</x:v>
      </x:c>
    </x:row>
    <x:row r="3">
      <x:c r="A3" s="6" t="s">
        <x:v>17</x:v>
      </x:c>
      <x:c r="B3" s="6" t="s">
        <x:v>18</x:v>
      </x:c>
      <x:c r="C3" s="7" t="s">
        <x:v>19</x:v>
      </x:c>
      <x:c r="D3" s="8" t="s">
        <x:v>31</x:v>
      </x:c>
      <x:c r="E3" s="9" t="s">
        <x:v>21</x:v>
      </x:c>
      <x:c r="F3" s="6" t="s">
        <x:v>22</x:v>
      </x:c>
      <x:c r="G3" s="6" t="s">
        <x:v>32</x:v>
      </x:c>
      <x:c r="H3" s="6" t="s">
        <x:v>33</x:v>
      </x:c>
      <x:c r="I3" s="10" t="n">
        <x:v>54480.00</x:v>
      </x:c>
      <x:c r="J3" s="11" t="s">
        <x:v>25</x:v>
      </x:c>
      <x:c r="K3" s="11" t="s">
        <x:v>26</x:v>
      </x:c>
      <x:c r="L3" s="12" t="str">
        <x:f xml:space="preserve">HYPERLINK("https://contractaciopublica.cat/es/detall-publicacio/593e8e33-d1a1-4c1f-b65a-6afc388de138/300668936","contractaciopublica.cat/es/detall-publicacio/593e8e33-d1a1-4c1f-b65a-6afc388de138/300668936")</x:f>
        <x:v>contractaciopublica.cat/es/detall-publicacio/593e8e33-d1a1-4c1f-b65a-6afc388de138/300668936</x:v>
      </x:c>
      <x:c r="M3" s="11" t="s">
        <x:v>27</x:v>
      </x:c>
      <x:c r="N3" s="13" t="s">
        <x:v>28</x:v>
      </x:c>
      <x:c r="O3" s="11" t="s">
        <x:v>34</x:v>
      </x:c>
      <x:c r="P3" s="11" t="s">
        <x:v>30</x:v>
      </x:c>
      <x:c r="Q3" s="14" t="str">
        <x:f xml:space="preserve">HYPERLINK("https://www.infonalia.es/licitaciones0126/2026004423.pdf","www.infonalia.es/licitaciones0126/2026004423.pdf")</x:f>
        <x:v>www.infonalia.es/licitaciones0126/2026004423.pdf</x:v>
      </x:c>
    </x:row>
    <x:row r="4">
      <x:c r="A4" s="6" t="s">
        <x:v>17</x:v>
      </x:c>
      <x:c r="B4" s="6" t="s">
        <x:v>18</x:v>
      </x:c>
      <x:c r="C4" s="7" t="s">
        <x:v>35</x:v>
      </x:c>
      <x:c r="D4" s="8" t="s">
        <x:v>36</x:v>
      </x:c>
      <x:c r="E4" s="9" t="s">
        <x:v>21</x:v>
      </x:c>
      <x:c r="F4" s="6" t="s">
        <x:v>37</x:v>
      </x:c>
      <x:c r="G4" s="6" t="s">
        <x:v>38</x:v>
      </x:c>
      <x:c r="H4" s="6" t="s">
        <x:v>39</x:v>
      </x:c>
      <x:c r="I4" s="10" t="n">
        <x:v>8000.00</x:v>
      </x:c>
      <x:c r="J4" s="11" t="s">
        <x:v>25</x:v>
      </x:c>
      <x:c r="K4" s="11" t="s">
        <x:v>26</x:v>
      </x:c>
      <x:c r="L4" s="12" t="str">
        <x:f xml:space="preserve">HYPERLINK("https://contractaciopublica.cat/ca/detall-publicacio/fa545532-bed1-489f-adbb-1bb7bc84db3b/300668071","contractaciopublica.cat/ca/detall-publicacio/fa545532-bed1-489f-adbb-1bb7bc84db3b/300668071")</x:f>
        <x:v>contractaciopublica.cat/ca/detall-publicacio/fa545532-bed1-489f-adbb-1bb7bc84db3b/300668071</x:v>
      </x:c>
      <x:c r="M4" s="11" t="s">
        <x:v>27</x:v>
      </x:c>
      <x:c r="N4" s="13" t="s">
        <x:v>28</x:v>
      </x:c>
      <x:c r="O4" s="11" t="s">
        <x:v>40</x:v>
      </x:c>
      <x:c r="P4" s="11" t="s">
        <x:v>41</x:v>
      </x:c>
      <x:c r="Q4" s="14" t="str">
        <x:f xml:space="preserve">HYPERLINK("https://www.infonalia.es/licitaciones0126/2026004430.pdf","www.infonalia.es/licitaciones0126/2026004430.pdf")</x:f>
        <x:v>www.infonalia.es/licitaciones0126/2026004430.pdf</x:v>
      </x:c>
    </x:row>
    <x:row r="5">
      <x:c r="A5" s="6" t="s">
        <x:v>17</x:v>
      </x:c>
      <x:c r="B5" s="6" t="s">
        <x:v>18</x:v>
      </x:c>
      <x:c r="C5" s="7" t="s">
        <x:v>42</x:v>
      </x:c>
      <x:c r="D5" s="8" t="s">
        <x:v>43</x:v>
      </x:c>
      <x:c r="E5" s="9" t="s">
        <x:v>21</x:v>
      </x:c>
      <x:c r="F5" s="6" t="s">
        <x:v>44</x:v>
      </x:c>
      <x:c r="G5" s="6" t="s">
        <x:v>45</x:v>
      </x:c>
      <x:c r="H5" s="6" t="s">
        <x:v>46</x:v>
      </x:c>
      <x:c r="I5" s="10" t="n">
        <x:v>22810.00</x:v>
      </x:c>
      <x:c r="J5" s="11" t="s">
        <x:v>25</x:v>
      </x:c>
      <x:c r="K5" s="11" t="s">
        <x:v>26</x:v>
      </x:c>
      <x:c r="L5" s="12" t="str">
        <x:f xml:space="preserve">HYPERLINK("https://contrataciondelestado.es/wps/poc?uri=deeplink:detalle_licitacion&amp;idEvl=GdZkuo4A8%2F%2BS81gZFETWmA%3D%3D","contrataciondelestado.es/wps/poc?uri=deeplink:detalle_licitacion&amp;idEvl=GdZkuo4A8%2F%2BS81gZFETWmA%3D%3D")</x:f>
        <x:v>contrataciondelestado.es/wps/poc?uri=deeplink:detalle_licitacion&amp;idEvl=GdZkuo4A8%2F%2BS81gZFETWmA%3D%3D</x:v>
      </x:c>
      <x:c r="M5" s="11" t="s">
        <x:v>27</x:v>
      </x:c>
      <x:c r="N5" s="13" t="s">
        <x:v>28</x:v>
      </x:c>
      <x:c r="O5" s="11" t="s">
        <x:v>47</x:v>
      </x:c>
      <x:c r="P5" s="11" t="s">
        <x:v>48</x:v>
      </x:c>
      <x:c r="Q5" s="14" t="str">
        <x:f xml:space="preserve">HYPERLINK("https://www.infonalia.es/licitaciones0126/2026004431.pdf","www.infonalia.es/licitaciones0126/2026004431.pdf")</x:f>
        <x:v>www.infonalia.es/licitaciones0126/2026004431.pdf</x:v>
      </x:c>
    </x:row>
    <x:row r="6">
      <x:c r="A6" s="6" t="s">
        <x:v>17</x:v>
      </x:c>
      <x:c r="B6" s="6" t="s">
        <x:v>18</x:v>
      </x:c>
      <x:c r="C6" s="7" t="s">
        <x:v>49</x:v>
      </x:c>
      <x:c r="D6" s="8" t="s">
        <x:v>50</x:v>
      </x:c>
      <x:c r="E6" s="9" t="s">
        <x:v>21</x:v>
      </x:c>
      <x:c r="F6" s="6" t="s">
        <x:v>51</x:v>
      </x:c>
      <x:c r="G6" s="6" t="s">
        <x:v>52</x:v>
      </x:c>
      <x:c r="H6" s="6" t="s">
        <x:v>53</x:v>
      </x:c>
      <x:c r="I6" s="10" t="n">
        <x:v>197848.72</x:v>
      </x:c>
      <x:c r="J6" s="11" t="s">
        <x:v>25</x:v>
      </x:c>
      <x:c r="K6" s="11" t="s">
        <x:v>26</x:v>
      </x:c>
      <x:c r="L6" s="12" t="str">
        <x:f xml:space="preserve">HYPERLINK("https://contractaciopublica.cat/ca/detall-publicacio/6db6a7d0-7088-478c-874b-ace51de5097e/300668180","contractaciopublica.cat/ca/detall-publicacio/6db6a7d0-7088-478c-874b-ace51de5097e/300668180")</x:f>
        <x:v>contractaciopublica.cat/ca/detall-publicacio/6db6a7d0-7088-478c-874b-ace51de5097e/300668180</x:v>
      </x:c>
      <x:c r="M6" s="11" t="s">
        <x:v>27</x:v>
      </x:c>
      <x:c r="N6" s="13" t="s">
        <x:v>28</x:v>
      </x:c>
      <x:c r="O6" s="11" t="s">
        <x:v>54</x:v>
      </x:c>
      <x:c r="P6" s="11" t="s">
        <x:v>55</x:v>
      </x:c>
      <x:c r="Q6" s="14" t="str">
        <x:f xml:space="preserve">HYPERLINK("https://www.infonalia.es/licitaciones0126/2026004446.pdf","www.infonalia.es/licitaciones0126/2026004446.pdf")</x:f>
        <x:v>www.infonalia.es/licitaciones0126/2026004446.pdf</x:v>
      </x:c>
    </x:row>
    <x:row r="7">
      <x:c r="A7" s="6" t="s">
        <x:v>17</x:v>
      </x:c>
      <x:c r="B7" s="6" t="s">
        <x:v>18</x:v>
      </x:c>
      <x:c r="C7" s="7" t="s">
        <x:v>19</x:v>
      </x:c>
      <x:c r="D7" s="8" t="s">
        <x:v>56</x:v>
      </x:c>
      <x:c r="E7" s="9" t="s">
        <x:v>21</x:v>
      </x:c>
      <x:c r="F7" s="6" t="s">
        <x:v>57</x:v>
      </x:c>
      <x:c r="G7" s="6" t="s">
        <x:v>58</x:v>
      </x:c>
      <x:c r="H7" s="6" t="s">
        <x:v>59</x:v>
      </x:c>
      <x:c r="I7" s="10" t="n">
        <x:v>49000.00</x:v>
      </x:c>
      <x:c r="J7" s="11" t="s">
        <x:v>25</x:v>
      </x:c>
      <x:c r="K7" s="11" t="s">
        <x:v>26</x:v>
      </x:c>
      <x:c r="L7" s="12" t="str">
        <x:f xml:space="preserve">HYPERLINK("https://contrataciondelestado.es/wps/poc?uri=deeplink:detalle_licitacion&amp;idEvl=Ii00DEmfHqvkY6rls5tG9A%3D%3D","contrataciondelestado.es/wps/poc?uri=deeplink:detalle_licitacion&amp;idEvl=Ii00DEmfHqvkY6rls5tG9A%3D%3D")</x:f>
        <x:v>contrataciondelestado.es/wps/poc?uri=deeplink:detalle_licitacion&amp;idEvl=Ii00DEmfHqvkY6rls5tG9A%3D%3D</x:v>
      </x:c>
      <x:c r="M7" s="11" t="s">
        <x:v>27</x:v>
      </x:c>
      <x:c r="N7" s="13" t="s">
        <x:v>28</x:v>
      </x:c>
      <x:c r="O7" s="11" t="s">
        <x:v>60</x:v>
      </x:c>
      <x:c r="P7" s="11" t="s">
        <x:v>61</x:v>
      </x:c>
      <x:c r="Q7" s="14" t="str">
        <x:f xml:space="preserve">HYPERLINK("https://www.infonalia.es/licitaciones0126/2026004629.pdf","www.infonalia.es/licitaciones0126/2026004629.pdf")</x:f>
        <x:v>www.infonalia.es/licitaciones0126/2026004629.pdf</x:v>
      </x:c>
    </x:row>
    <x:row r="8">
      <x:c r="A8" s="6" t="s">
        <x:v>17</x:v>
      </x:c>
      <x:c r="B8" s="6" t="s">
        <x:v>18</x:v>
      </x:c>
      <x:c r="C8" s="7" t="s">
        <x:v>42</x:v>
      </x:c>
      <x:c r="D8" s="8" t="s">
        <x:v>62</x:v>
      </x:c>
      <x:c r="E8" s="9" t="s">
        <x:v>21</x:v>
      </x:c>
      <x:c r="F8" s="6" t="s">
        <x:v>63</x:v>
      </x:c>
      <x:c r="G8" s="6" t="s">
        <x:v>64</x:v>
      </x:c>
      <x:c r="H8" s="6" t="s">
        <x:v>65</x:v>
      </x:c>
      <x:c r="I8" s="10" t="n">
        <x:v>80133.72</x:v>
      </x:c>
      <x:c r="J8" s="11" t="s">
        <x:v>25</x:v>
      </x:c>
      <x:c r="K8" s="11" t="s">
        <x:v>26</x:v>
      </x:c>
      <x:c r="L8" s="12" t="str">
        <x:f xml:space="preserve">HYPERLINK("https://contractaciopublica.cat/ca/detall-publicacio/20170c8d-ad1e-41d2-9075-6e79af7fdc09/300667079","contractaciopublica.cat/ca/detall-publicacio/20170c8d-ad1e-41d2-9075-6e79af7fdc09/300667079")</x:f>
        <x:v>contractaciopublica.cat/ca/detall-publicacio/20170c8d-ad1e-41d2-9075-6e79af7fdc09/300667079</x:v>
      </x:c>
      <x:c r="M8" s="11" t="s">
        <x:v>27</x:v>
      </x:c>
      <x:c r="N8" s="13" t="s">
        <x:v>28</x:v>
      </x:c>
      <x:c r="O8" s="11" t="s">
        <x:v>66</x:v>
      </x:c>
      <x:c r="P8" s="11" t="s">
        <x:v>30</x:v>
      </x:c>
      <x:c r="Q8" s="14" t="str">
        <x:f xml:space="preserve">HYPERLINK("https://www.infonalia.es/licitaciones0126/2026004674.pdf","www.infonalia.es/licitaciones0126/2026004674.pdf")</x:f>
        <x:v>www.infonalia.es/licitaciones0126/2026004674.pdf</x:v>
      </x:c>
    </x:row>
    <x:row r="9">
      <x:c r="A9" s="6" t="s">
        <x:v>17</x:v>
      </x:c>
      <x:c r="B9" s="6" t="s">
        <x:v>18</x:v>
      </x:c>
      <x:c r="C9" s="7" t="s">
        <x:v>67</x:v>
      </x:c>
      <x:c r="D9" s="8" t="s">
        <x:v>68</x:v>
      </x:c>
      <x:c r="E9" s="9" t="s">
        <x:v>21</x:v>
      </x:c>
      <x:c r="F9" s="6" t="s">
        <x:v>69</x:v>
      </x:c>
      <x:c r="G9" s="6" t="s">
        <x:v>70</x:v>
      </x:c>
      <x:c r="H9" s="6" t="s">
        <x:v>71</x:v>
      </x:c>
      <x:c r="I9" s="10" t="n">
        <x:v>750000.00</x:v>
      </x:c>
      <x:c r="J9" s="11" t="s">
        <x:v>25</x:v>
      </x:c>
      <x:c r="K9" s="11" t="s">
        <x:v>26</x:v>
      </x:c>
      <x:c r="L9" s="12" t="str">
        <x:f xml:space="preserve">HYPERLINK("https://contractaciopublica.cat/ca/detall-publicacio/ac6b716c-ba2d-4ca4-8e57-60b11bad7647/300668061","contractaciopublica.cat/ca/detall-publicacio/ac6b716c-ba2d-4ca4-8e57-60b11bad7647/300668061")</x:f>
        <x:v>contractaciopublica.cat/ca/detall-publicacio/ac6b716c-ba2d-4ca4-8e57-60b11bad7647/300668061</x:v>
      </x:c>
      <x:c r="M9" s="11" t="s">
        <x:v>27</x:v>
      </x:c>
      <x:c r="N9" s="13" t="s">
        <x:v>28</x:v>
      </x:c>
      <x:c r="O9" s="11" t="s">
        <x:v>72</x:v>
      </x:c>
      <x:c r="P9" s="11" t="s">
        <x:v>41</x:v>
      </x:c>
      <x:c r="Q9" s="14" t="str">
        <x:f xml:space="preserve">HYPERLINK("https://www.infonalia.es/licitaciones0126/2026004687.pdf","www.infonalia.es/licitaciones0126/2026004687.pdf")</x:f>
        <x:v>www.infonalia.es/licitaciones0126/2026004687.pdf</x:v>
      </x:c>
    </x:row>
    <x:row r="10">
      <x:c r="A10" s="6" t="s">
        <x:v>17</x:v>
      </x:c>
      <x:c r="B10" s="6" t="s">
        <x:v>18</x:v>
      </x:c>
      <x:c r="C10" s="7" t="s">
        <x:v>73</x:v>
      </x:c>
      <x:c r="D10" s="8" t="s">
        <x:v>74</x:v>
      </x:c>
      <x:c r="E10" s="9" t="s">
        <x:v>21</x:v>
      </x:c>
      <x:c r="F10" s="6" t="s">
        <x:v>75</x:v>
      </x:c>
      <x:c r="G10" s="6" t="s">
        <x:v>76</x:v>
      </x:c>
      <x:c r="H10" s="6" t="s">
        <x:v>77</x:v>
      </x:c>
      <x:c r="I10" s="10" t="n">
        <x:v>1900.00</x:v>
      </x:c>
      <x:c r="J10" s="11" t="s">
        <x:v>25</x:v>
      </x:c>
      <x:c r="K10" s="11" t="s">
        <x:v>26</x:v>
      </x:c>
      <x:c r="L10" s="12" t="str">
        <x:f xml:space="preserve">HYPERLINK("https://contrataciondelestado.es/wps/poc?uri=deeplink:detalle_licitacion&amp;idEvl=u1OJnAdokkEadbH3CysQuQ%3D%3D","contrataciondelestado.es/wps/poc?uri=deeplink:detalle_licitacion&amp;idEvl=u1OJnAdokkEadbH3CysQuQ%3D%3D")</x:f>
        <x:v>contrataciondelestado.es/wps/poc?uri=deeplink:detalle_licitacion&amp;idEvl=u1OJnAdokkEadbH3CysQuQ%3D%3D</x:v>
      </x:c>
      <x:c r="M10" s="11" t="s">
        <x:v>27</x:v>
      </x:c>
      <x:c r="N10" s="13" t="s">
        <x:v>21</x:v>
      </x:c>
      <x:c r="O10" s="11" t="s">
        <x:v>78</x:v>
      </x:c>
      <x:c r="P10" s="11" t="s">
        <x:v>61</x:v>
      </x:c>
      <x:c r="Q10" s="14" t="str">
        <x:f xml:space="preserve">HYPERLINK("https://www.infonalia.es/licitaciones0126/2026004839.pdf","www.infonalia.es/licitaciones0126/2026004839.pdf")</x:f>
        <x:v>www.infonalia.es/licitaciones0126/2026004839.pdf</x:v>
      </x:c>
    </x:row>
    <x:row r="11">
      <x:c r="A11" s="6" t="s">
        <x:v>17</x:v>
      </x:c>
      <x:c r="B11" s="6" t="s">
        <x:v>79</x:v>
      </x:c>
      <x:c r="C11" s="7" t="s">
        <x:v>80</x:v>
      </x:c>
      <x:c r="D11" s="8" t="s">
        <x:v>81</x:v>
      </x:c>
      <x:c r="E11" s="9" t="s">
        <x:v>21</x:v>
      </x:c>
      <x:c r="F11" s="6" t="s">
        <x:v>82</x:v>
      </x:c>
      <x:c r="G11" s="6" t="s">
        <x:v>83</x:v>
      </x:c>
      <x:c r="H11" s="6" t="s">
        <x:v>84</x:v>
      </x:c>
      <x:c r="I11" s="10" t="n">
        <x:v>14900.00</x:v>
      </x:c>
      <x:c r="J11" s="11" t="s">
        <x:v>25</x:v>
      </x:c>
      <x:c r="K11" s="11" t="s">
        <x:v>85</x:v>
      </x:c>
      <x:c r="L11" s="12" t="str">
        <x:f xml:space="preserve">HYPERLINK("https://licitacions.bcn.cat/licitacion/licitaciones/detalle?id=14421341","licitacions.bcn.cat/licitacion/licitaciones/detalle?id=14421341")</x:f>
        <x:v>licitacions.bcn.cat/licitacion/licitaciones/detalle?id=14421341</x:v>
      </x:c>
      <x:c r="M11" s="11" t="s">
        <x:v>27</x:v>
      </x:c>
      <x:c r="N11" s="13" t="s">
        <x:v>28</x:v>
      </x:c>
      <x:c r="O11" s="11" t="s">
        <x:v>86</x:v>
      </x:c>
      <x:c r="P11" s="11" t="s">
        <x:v>30</x:v>
      </x:c>
      <x:c r="Q11" s="14" t="str">
        <x:f xml:space="preserve">HYPERLINK("https://www.infonalia.es/licitaciones0126/2026004859.pdf","www.infonalia.es/licitaciones0126/2026004859.pdf")</x:f>
        <x:v>www.infonalia.es/licitaciones0126/2026004859.pdf</x:v>
      </x:c>
    </x:row>
    <x:row r="12">
      <x:c r="A12" s="6" t="s">
        <x:v>17</x:v>
      </x:c>
      <x:c r="B12" s="6" t="s">
        <x:v>18</x:v>
      </x:c>
      <x:c r="C12" s="7" t="s">
        <x:v>42</x:v>
      </x:c>
      <x:c r="D12" s="8" t="s">
        <x:v>87</x:v>
      </x:c>
      <x:c r="E12" s="9" t="s">
        <x:v>21</x:v>
      </x:c>
      <x:c r="F12" s="6" t="s">
        <x:v>88</x:v>
      </x:c>
      <x:c r="G12" s="6" t="s">
        <x:v>89</x:v>
      </x:c>
      <x:c r="H12" s="6" t="s">
        <x:v>90</x:v>
      </x:c>
      <x:c r="I12" s="10" t="n">
        <x:v>65719.00</x:v>
      </x:c>
      <x:c r="J12" s="11" t="s">
        <x:v>25</x:v>
      </x:c>
      <x:c r="K12" s="11" t="s">
        <x:v>26</x:v>
      </x:c>
      <x:c r="L12" s="12" t="str">
        <x:f xml:space="preserve">HYPERLINK("https://contractaciopublica.cat/ca/detall-publicacio/68f6a1a7-ebac-45f1-98fe-5aab24b5def0/300666247","contractaciopublica.cat/ca/detall-publicacio/68f6a1a7-ebac-45f1-98fe-5aab24b5def0/300666247")</x:f>
        <x:v>contractaciopublica.cat/ca/detall-publicacio/68f6a1a7-ebac-45f1-98fe-5aab24b5def0/300666247</x:v>
      </x:c>
      <x:c r="M12" s="11" t="s">
        <x:v>27</x:v>
      </x:c>
      <x:c r="N12" s="13" t="s">
        <x:v>21</x:v>
      </x:c>
      <x:c r="O12" s="11" t="s">
        <x:v>91</x:v>
      </x:c>
      <x:c r="P12" s="11" t="s">
        <x:v>30</x:v>
      </x:c>
      <x:c r="Q12" s="14" t="str">
        <x:f xml:space="preserve">HYPERLINK("https://www.infonalia.es/licitaciones0126/2026004937.pdf","www.infonalia.es/licitaciones0126/2026004937.pdf")</x:f>
        <x:v>www.infonalia.es/licitaciones0126/2026004937.pdf</x:v>
      </x:c>
    </x:row>
  </x:sheetData>
  <x:autoFilter ref="A1:Q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Licitaciones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2</cp:revision>
  <dcterms:created xsi:type="dcterms:W3CDTF">2024-12-04T08:39:24Z</dcterms:created>
  <dcterms:modified xsi:type="dcterms:W3CDTF">2025-01-20T07:55:14Z</dcterms:modified>
  <dc:language>es-ES</dc:language>
</cp:coreProperties>
</file>