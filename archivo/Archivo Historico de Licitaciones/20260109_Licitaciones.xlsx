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loext="http://schemas.libreoffice.org/" xmlns:r="http://schemas.openxmlformats.org/officeDocument/2006/relationships" xmlns:x="http://schemas.openxmlformats.org/spreadsheetml/2006/main">
  <x:fileVersion appName="xl" lastEdited="4" lowestEdited="4" rupBuild="4506"/>
  <x:workbookPr/>
  <x:bookViews>
    <x:workbookView xWindow="0" yWindow="0" windowWidth="16380" windowHeight="8190" tabRatio="500"/>
  </x:bookViews>
  <x:sheets>
    <x:sheet name="Licitaciones" sheetId="1" r:id="rId1"/>
  </x:sheets>
  <x:definedNames>
    <x:definedName name="_xlnm._FilterDatabase" localSheetId="0" hidden="1">Licitaciones!$A$1:$Q$1</x:definedName>
  </x:definedNames>
  <x:calcPr calcId="125725" iterateDelta="1E-4"/>
  <x:extLst>
    <x:ext xmlns:loext="http://schemas.libreoffice.org/" uri="{7626C862-2A13-11E5-B345-FEFF819CDC9F}">
      <loext:extCalcPr stringRefSyntax="CalcA1ExcelA1"/>
    </x:ext>
  </x:extLst>
</x:workbook>
</file>

<file path=xl/sharedStrings.xml><?xml version="1.0" encoding="utf-8"?>
<x:sst xmlns:x="http://schemas.openxmlformats.org/spreadsheetml/2006/main" count="17" uniqueCount="17">
  <x:si>
    <x:t>TipoDato</x:t>
  </x:si>
  <x:si>
    <x:t>CodigoBoletin</x:t>
  </x:si>
  <x:si>
    <x:t>PlazoPresentacionFecha</x:t>
  </x:si>
  <x:si>
    <x:t>Referencia</x:t>
  </x:si>
  <x:si>
    <x:t>FechaIntroduccion</x:t>
  </x:si>
  <x:si>
    <x:t>OrganismoConvocante</x:t>
  </x:si>
  <x:si>
    <x:t>Objeto</x:t>
  </x:si>
  <x:si>
    <x:t>Nº Expediente</x:t>
  </x:si>
  <x:si>
    <x:t>Presupuesto</x:t>
  </x:si>
  <x:si>
    <x:t>PresupuestoVarios</x:t>
  </x:si>
  <x:si>
    <x:t>PlazoPresentacionVarios</x:t>
  </x:si>
  <x:si>
    <x:t>InformacionWeb</x:t>
  </x:si>
  <x:si>
    <x:t>PublicacionNumero</x:t>
  </x:si>
  <x:si>
    <x:t>PublicacionFecha</x:t>
  </x:si>
  <x:si>
    <x:t>Observaciones</x:t>
  </x:si>
  <x:si>
    <x:t>LugarEjecucion</x:t>
  </x:si>
  <x:si>
    <x:t>Anuncio</x:t>
  </x:si>
  <x:si>
    <x:t>Concurso</x:t>
  </x:si>
  <x:si>
    <x:t>Plataforma de Contratación del Estado</x:t>
  </x:si>
  <x:si>
    <x:t>06/02/2026</x:t>
  </x:si>
  <x:si>
    <x:t>2026001452</x:t>
  </x:si>
  <x:si>
    <x:t>09/01/2026</x:t>
  </x:si>
  <x:si>
    <x:t>GENERALITAT DE CATALUNYA. DEPARTAMENTO DE LA PRESIDENCIA</x:t>
  </x:si>
  <x:si>
    <x:t>Servicios y suministros para la conceptualización, planificación y realización técnica de los actos institucionales del consejero del Departamento la Presidencia en el Palau de la Generalitat y en el resto de espacios donde se lleven a cabo</x:t>
  </x:si>
  <x:si>
    <x:t>PR-2026-251</x:t>
  </x:si>
  <x:si>
    <x:t>Importe sin impuestos</x:t>
  </x:si>
  <x:si>
    <x:t/>
  </x:si>
  <x:si>
    <x:t>-----</x:t>
  </x:si>
  <x:si>
    <x:t>08/01/2026</x:t>
  </x:si>
  <x:si>
    <x:t/>
  </x:si>
  <x:si>
    <x:t>Catalunya</x:t>
  </x:si>
  <x:si>
    <x:t>22/01/2026</x:t>
  </x:si>
  <x:si>
    <x:t>2026001482</x:t>
  </x:si>
  <x:si>
    <x:t>ÀREA METROPOLITANA DE BARCELONA</x:t>
  </x:si>
  <x:si>
    <x:t>Contrato administrativo de servicios para el desarrollo de acciones de promoción de la bicicleta en el territorio metropolitano</x:t>
  </x:si>
  <x:si>
    <x:t>903904/25</x:t>
  </x:si>
  <x:si>
    <x:t/>
  </x:si>
  <x:si>
    <x:t>Barcelona</x:t>
  </x:si>
  <x:si>
    <x:t>23/01/2026</x:t>
  </x:si>
  <x:si>
    <x:t>2026001537</x:t>
  </x:si>
  <x:si>
    <x:t>JUNTA DE GOBIERNO DEL AYUNTAMIENTO DE GETAFE (MADRID)</x:t>
  </x:si>
  <x:si>
    <x:t>Servicio de desarrollo de actos, eventos y celebraciones para las personas mayores del municipio de Getafe</x:t>
  </x:si>
  <x:si>
    <x:t>2025000104</x:t>
  </x:si>
  <x:si>
    <x:t/>
  </x:si>
  <x:si>
    <x:t>Madrid</x:t>
  </x:si>
  <x:si>
    <x:t>2026001623</x:t>
  </x:si>
  <x:si>
    <x:t>MINISTERIO DE TRANSPORTES Y MOVILIDAD SOSTENIBLE. PRESIDENCIA DE LA AUTORIDAD PORTUARIA DE GIJÓN</x:t>
  </x:si>
  <x:si>
    <x:t>Asistencia técnica para la gestión de la imagen corporativa de la Autoridad Portuaria de Gijón</x:t>
  </x:si>
  <x:si>
    <x:t>SJ-ASE-CTR-MAY-2025-0020</x:t>
  </x:si>
  <x:si>
    <x:t/>
  </x:si>
  <x:si>
    <x:t>Asturias</x:t>
  </x:si>
  <x:si>
    <x:t>2026001624</x:t>
  </x:si>
  <x:si>
    <x:t>CONSEJERÍA DE MOVILIDAD, MEDIO AMBIENTE Y GESTIÓN DE EMERGENCIAS DEL PRINCIPADO DE ASTURIAS</x:t>
  </x:si>
  <x:si>
    <x:t>Suministro de fabricación y montaje de maqueta que recree elementos arquitectónicos así como procesos de la EDAR de Villapérez (Oviedo) dentro del proyecto ANDA enmarcado en el Plan de Recuperación, Transformación y Resiliencia financiado por la Unión Europea Next Generation EU</x:t>
  </x:si>
  <x:si>
    <x:t>2025001075</x:t>
  </x:si>
  <x:si>
    <x:t/>
  </x:si>
  <x:si>
    <x:t>19/01/2026</x:t>
  </x:si>
  <x:si>
    <x:t>2026001645</x:t>
  </x:si>
  <x:si>
    <x:t>JEFATURA DE UNIDAD DE MEDIOS INTERNOS -ÁREA DE COMPRAS DE LA COMPAÑÍA ESPAÑOLA DE SEGUROS DE CRÉDITO A LA EXPORTACIÓN S.A., S.M.E. (CESCE)</x:t>
  </x:si>
  <x:si>
    <x:t>Servicio de monitorización y clipping de noticias</x:t>
  </x:si>
  <x:si>
    <x:t>A02-0126</x:t>
  </x:si>
  <x:si>
    <x:t/>
  </x:si>
  <x:si>
    <x:t>2026001663</x:t>
  </x:si>
  <x:si>
    <x:t>FUNDACIÓ PRIVADA ANTONI TÀPIES</x:t>
  </x:si>
  <x:si>
    <x:t>El objeto del presente contrato es la prestación de los servicios de transporte de concentración y dispersión, así como las tareas de desembalaje, reembalaje, montaje y desmontaje de la exposición "Àngel Jové. De intactu", que se celebrará en la sede de la Fundación Privada Antoni Tàpies (Museo Tàpies) desde el 19 de marzo del 20. La descripción detallada de las prestaciones objeto del contrato se recoge en el Pliego de Prescripciones Técnicas</x:t>
  </x:si>
  <x:si>
    <x:t>01/2026</x:t>
  </x:si>
  <x:si>
    <x:t/>
  </x:si>
  <x:si>
    <x:t>09/02/2026</x:t>
  </x:si>
  <x:si>
    <x:t>2026001832</x:t>
  </x:si>
  <x:si>
    <x:t>RADIO TELEVISIÓN MADRID, S.A</x:t>
  </x:si>
  <x:si>
    <x:t>Contrato de Servicios para la Retransmisión de los Festejos Taurinos durante 2026 Contratación de los medios técnicos y profesionales necesarios para la retransmisión en HD, llave en mano de los eventos taurinos que se desarrollen dentro y fuera de la Comunidad de Madrid durante la temporada 2026 y que Radio Televisión Madrid seleccione para su programación</x:t>
  </x:si>
  <x:si>
    <x:t>2025-0710-PRO</x:t>
  </x:si>
  <x:si>
    <x:t/>
  </x:si>
  <x:si>
    <x:t>26/01/2026</x:t>
  </x:si>
  <x:si>
    <x:t>2026001855</x:t>
  </x:si>
  <x:si>
    <x:t>INSTITUTO PARA LA COMPETITIVIDAD EMPRESARIAL DE LA JUNTA DE CASTILLA Y LEÓN</x:t>
  </x:si>
  <x:si>
    <x:t>Diseño, decoración, montaje, desmontaje, mantenimiento, transporte y servicios asociados al stand del ICECYL en las ferias Sial Shanghái 2026, Vinexpo Asia 2026 y Thaifex 2026</x:t>
  </x:si>
  <x:si>
    <x:t>A2026/000359</x:t>
  </x:si>
  <x:si>
    <x:t/>
  </x:si>
  <x:si>
    <x:t>China y Tailandia</x:t>
  </x:si>
</x:sst>
</file>

<file path=xl/styles.xml><?xml version="1.0" encoding="utf-8"?>
<styleSheet xmlns="http://schemas.openxmlformats.org/spreadsheetml/2006/main">
  <numFmts count="1">
    <numFmt numFmtId="164" formatCode="#,##0.00&quot; €&quot;;[Red]\-#,##0.00&quot; €&quot;"/>
  </numFmts>
  <fonts count="5">
    <font>
      <sz val="11"/>
      <name val="Calibri"/>
      <charset val="1"/>
    </font>
    <font>
      <sz val="10"/>
      <name val="Calibri"/>
      <family val="2"/>
      <charset val="1"/>
    </font>
    <font>
      <b/>
      <sz val="10"/>
      <color theme="0"/>
      <name val="Calibri"/>
      <family val="2"/>
      <charset val="1"/>
    </font>
    <font>
      <u/>
      <sz val="11"/>
      <color theme="10"/>
      <name val="Calibri"/>
      <charset val="1"/>
    </font>
    <font>
      <u/>
      <sz val="10"/>
      <color theme="10"/>
      <name val="Calibri"/>
      <family val="2"/>
      <charset val="1"/>
    </font>
  </fonts>
  <fills count="3">
    <fill>
      <patternFill patternType="none"/>
    </fill>
    <fill>
      <patternFill patternType="gray125"/>
    </fill>
    <fill>
      <patternFill patternType="solid">
        <fgColor theme="3"/>
        <bgColor rgb="FF003366"/>
      </patternFill>
    </fill>
  </fills>
  <borders count="3">
    <border>
      <left/>
      <right/>
      <top/>
      <bottom/>
      <diagonal/>
    </border>
    <border>
      <left/>
      <right/>
      <top/>
      <bottom style="thin">
        <color auto="1"/>
      </bottom>
      <diagonal/>
    </border>
    <border>
      <left/>
      <right/>
      <top style="thin">
        <color auto="1"/>
      </top>
      <bottom style="thin">
        <color auto="1"/>
      </bottom>
      <diagonal/>
    </border>
  </borders>
  <cellStyleXfs count="2">
    <xf numFmtId="0" fontId="0" fillId="0" borderId="0"/>
    <xf numFmtId="0" fontId="3" fillId="0" borderId="0" applyBorder="0" applyProtection="0"/>
  </cellStyleXfs>
  <cellXfs count="15">
    <xf numFmtId="0" fontId="0" fillId="0" borderId="0" xfId="0"/>
    <xf numFmtId="0" fontId="1" fillId="0" borderId="0" xfId="0" applyFont="1" applyAlignment="1" applyProtection="1">
      <alignment vertical="center" wrapText="1"/>
    </xf>
    <xf numFmtId="0" fontId="1" fillId="0" borderId="0" xfId="0" applyFont="1" applyAlignment="1" applyProtection="1">
      <alignment horizontal="center" vertical="center" wrapText="1"/>
    </xf>
    <xf numFmtId="0" fontId="1" fillId="0" borderId="0" xfId="0" applyFont="1" applyAlignment="1" applyProtection="1">
      <alignment vertical="center"/>
    </xf>
    <xf numFmtId="0" fontId="2" fillId="2" borderId="1" xfId="0" applyFont="1" applyFill="1" applyBorder="1" applyAlignment="1" applyProtection="1">
      <alignment horizontal="center" vertical="center" wrapText="1"/>
    </xf>
    <xf numFmtId="0" fontId="1" fillId="0" borderId="0" xfId="0" applyFont="1" applyAlignment="1" applyProtection="1">
      <alignment horizontal="center" vertical="center"/>
    </xf>
    <xf numFmtId="0" fontId="1" fillId="0" borderId="1" xfId="0" applyFont="1" applyBorder="1" applyAlignment="1" applyProtection="1">
      <alignment vertical="center" wrapText="1"/>
    </xf>
    <xf numFmtId="14" fontId="1" fillId="0" borderId="1" xfId="0" applyNumberFormat="1" applyFont="1" applyBorder="1" applyAlignment="1" applyProtection="1">
      <alignment horizontal="center" vertical="center" wrapText="1"/>
    </xf>
    <xf numFmtId="0" fontId="1" fillId="0" borderId="1" xfId="0" applyFont="1" applyBorder="1" applyAlignment="1" applyProtection="1">
      <alignment horizontal="center" vertical="center" wrapText="1"/>
    </xf>
    <xf numFmtId="14" fontId="1" fillId="0" borderId="1" xfId="0" applyNumberFormat="1" applyFont="1" applyBorder="1" applyAlignment="1" applyProtection="1">
      <alignment vertical="center" wrapText="1"/>
    </xf>
    <xf numFmtId="164" fontId="1" fillId="0" borderId="2" xfId="0" applyNumberFormat="1" applyFont="1" applyBorder="1" applyAlignment="1" applyProtection="1">
      <alignment vertical="center" wrapText="1"/>
    </xf>
    <xf numFmtId="0" fontId="1" fillId="0" borderId="2" xfId="0" applyFont="1" applyBorder="1" applyAlignment="1" applyProtection="1">
      <alignment vertical="center" wrapText="1"/>
    </xf>
    <xf numFmtId="0" fontId="4" fillId="0" borderId="2" xfId="1" applyFont="1" applyBorder="1" applyAlignment="1" applyProtection="1">
      <alignment vertical="center" wrapText="1"/>
    </xf>
    <xf numFmtId="14" fontId="1" fillId="0" borderId="2" xfId="0" applyNumberFormat="1" applyFont="1" applyBorder="1" applyAlignment="1" applyProtection="1">
      <alignment vertical="center" wrapText="1"/>
    </xf>
    <xf numFmtId="0" fontId="4" fillId="0" borderId="1" xfId="1" applyFont="1" applyBorder="1" applyAlignment="1" applyProtection="1">
      <alignment vertical="center" wrapText="1"/>
    </xf>
  </cellXfs>
  <cellStyles count="2">
    <cellStyle name="Hipervínculo" xfId="1" builtinId="8"/>
    <cellStyle name="Normal" xfId="0" builtinId="0"/>
  </cellStyles>
  <dxfs count="0"/>
  <tableStyles count="0" defaultTableStyle="TableStyleMedium9"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97D"/>
      <rgbColor rgb="FF333333"/>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dimension ref="A1:Q2"/>
  <x:sheetViews>
    <x:sheetView showGridLines="0" tabSelected="1" zoomScaleNormal="100" workbookViewId="0">
      <x:selection sqref="A1:XFD1"/>
    </x:sheetView>
  </x:sheetViews>
  <x:sheetFormatPr baseColWidth="10" defaultColWidth="11.5703125" defaultRowHeight="12.75"/>
  <x:cols>
    <x:col min="1" max="1" width="8.5703125" style="1" customWidth="1"/>
    <x:col min="2" max="2" width="18.85546875" style="1" customWidth="1"/>
    <x:col min="3" max="3" width="19.140625" style="2" customWidth="1"/>
    <x:col min="4" max="4" width="11.140625" style="2" customWidth="1"/>
    <x:col min="5" max="5" width="14.85546875" style="1" hidden="1" customWidth="1"/>
    <x:col min="6" max="6" width="24.7109375" style="1" customWidth="1"/>
    <x:col min="7" max="7" width="57.42578125" style="1" customWidth="1"/>
    <x:col min="8" max="8" width="17.140625" style="1" customWidth="1"/>
    <x:col min="9" max="9" width="14.28515625" style="1" customWidth="1"/>
    <x:col min="10" max="10" width="16.85546875" style="1" hidden="1" customWidth="1"/>
    <x:col min="11" max="11" width="19.42578125" style="1" hidden="1" customWidth="1"/>
    <x:col min="12" max="12" width="33.85546875" style="1" customWidth="1"/>
    <x:col min="13" max="13" width="15.85546875" style="1" hidden="1" customWidth="1"/>
    <x:col min="14" max="14" width="13.85546875" style="1" hidden="1" customWidth="1"/>
    <x:col min="15" max="15" width="11.7109375" style="1" hidden="1" customWidth="1"/>
    <x:col min="16" max="16" width="17.140625" style="1" customWidth="1"/>
    <x:col min="17" max="17" width="29.7109375" style="1" customWidth="1"/>
    <x:col min="18" max="16384" width="11.5703125" style="3"/>
  </x:cols>
  <x:sheetData>
    <x:row r="1" spans="1:17" s="5" customFormat="1" ht="25.5">
      <x:c r="A1" s="4" t="s">
        <x:v>0</x:v>
      </x:c>
      <x:c r="B1" s="4" t="s">
        <x:v>1</x:v>
      </x:c>
      <x:c r="C1" s="4" t="s">
        <x:v>2</x:v>
      </x:c>
      <x:c r="D1" s="4" t="s">
        <x:v>3</x:v>
      </x:c>
      <x:c r="E1" s="4" t="s">
        <x:v>4</x:v>
      </x:c>
      <x:c r="F1" s="4" t="s">
        <x:v>5</x:v>
      </x:c>
      <x:c r="G1" s="4" t="s">
        <x:v>6</x:v>
      </x:c>
      <x:c r="H1" s="4" t="s">
        <x:v>7</x:v>
      </x:c>
      <x:c r="I1" s="4" t="s">
        <x:v>8</x:v>
      </x:c>
      <x:c r="J1" s="4" t="s">
        <x:v>9</x:v>
      </x:c>
      <x:c r="K1" s="4" t="s">
        <x:v>10</x:v>
      </x:c>
      <x:c r="L1" s="4" t="s">
        <x:v>11</x:v>
      </x:c>
      <x:c r="M1" s="4" t="s">
        <x:v>12</x:v>
      </x:c>
      <x:c r="N1" s="4" t="s">
        <x:v>13</x:v>
      </x:c>
      <x:c r="O1" s="4" t="s">
        <x:v>14</x:v>
      </x:c>
      <x:c r="P1" s="4" t="s">
        <x:v>15</x:v>
      </x:c>
      <x:c r="Q1" s="4" t="s">
        <x:v>16</x:v>
      </x:c>
    </x:row>
    <x:row r="2" spans="1:17">
      <x:c r="A2" s="6" t="s">
        <x:v>17</x:v>
      </x:c>
      <x:c r="B2" s="6" t="s">
        <x:v>18</x:v>
      </x:c>
      <x:c r="C2" s="7" t="s">
        <x:v>19</x:v>
      </x:c>
      <x:c r="D2" s="8" t="s">
        <x:v>20</x:v>
      </x:c>
      <x:c r="E2" s="9" t="s">
        <x:v>21</x:v>
      </x:c>
      <x:c r="F2" s="6" t="s">
        <x:v>22</x:v>
      </x:c>
      <x:c r="G2" s="6" t="s">
        <x:v>23</x:v>
      </x:c>
      <x:c r="H2" s="6" t="s">
        <x:v>24</x:v>
      </x:c>
      <x:c r="I2" s="10" t="n">
        <x:v>450000.00</x:v>
      </x:c>
      <x:c r="J2" s="11" t="s">
        <x:v>25</x:v>
      </x:c>
      <x:c r="K2" s="11" t="s">
        <x:v>26</x:v>
      </x:c>
      <x:c r="L2" s="12" t="str">
        <x:f xml:space="preserve">HYPERLINK("https://contractaciopublica.cat/ca/detall-publicacio/e492879a-dfc3-4c40-90de-c0e5f5d7829c/300660103","contractaciopublica.cat/ca/detall-publicacio/e492879a-dfc3-4c40-90de-c0e5f5d7829c/300660103")</x:f>
        <x:v>contractaciopublica.cat/ca/detall-publicacio/e492879a-dfc3-4c40-90de-c0e5f5d7829c/300660103</x:v>
      </x:c>
      <x:c r="M2" s="11" t="s">
        <x:v>27</x:v>
      </x:c>
      <x:c r="N2" s="13" t="s">
        <x:v>28</x:v>
      </x:c>
      <x:c r="O2" s="11" t="s">
        <x:v>29</x:v>
      </x:c>
      <x:c r="P2" s="11" t="s">
        <x:v>30</x:v>
      </x:c>
      <x:c r="Q2" s="14" t="str">
        <x:f xml:space="preserve">HYPERLINK("https://www.infonalia.es/licitaciones0126/2026001452.pdf","www.infonalia.es/licitaciones0126/2026001452.pdf")</x:f>
        <x:v>www.infonalia.es/licitaciones0126/2026001452.pdf</x:v>
      </x:c>
    </x:row>
    <x:row r="3">
      <x:c r="A3" s="6" t="s">
        <x:v>17</x:v>
      </x:c>
      <x:c r="B3" s="6" t="s">
        <x:v>18</x:v>
      </x:c>
      <x:c r="C3" s="7" t="s">
        <x:v>31</x:v>
      </x:c>
      <x:c r="D3" s="8" t="s">
        <x:v>32</x:v>
      </x:c>
      <x:c r="E3" s="9" t="s">
        <x:v>21</x:v>
      </x:c>
      <x:c r="F3" s="6" t="s">
        <x:v>33</x:v>
      </x:c>
      <x:c r="G3" s="6" t="s">
        <x:v>34</x:v>
      </x:c>
      <x:c r="H3" s="6" t="s">
        <x:v>35</x:v>
      </x:c>
      <x:c r="I3" s="10" t="n">
        <x:v>59000.00</x:v>
      </x:c>
      <x:c r="J3" s="11" t="s">
        <x:v>25</x:v>
      </x:c>
      <x:c r="K3" s="11" t="s">
        <x:v>26</x:v>
      </x:c>
      <x:c r="L3" s="12" t="str">
        <x:f xml:space="preserve">HYPERLINK("https://contractaciopublica.cat/ca/detall-publicacio/77259b9a-8c00-4b93-9f91-18ca909857d7/300659477","contractaciopublica.cat/ca/detall-publicacio/77259b9a-8c00-4b93-9f91-18ca909857d7/300659477")</x:f>
        <x:v>contractaciopublica.cat/ca/detall-publicacio/77259b9a-8c00-4b93-9f91-18ca909857d7/300659477</x:v>
      </x:c>
      <x:c r="M3" s="11" t="s">
        <x:v>27</x:v>
      </x:c>
      <x:c r="N3" s="13" t="s">
        <x:v>28</x:v>
      </x:c>
      <x:c r="O3" s="11" t="s">
        <x:v>36</x:v>
      </x:c>
      <x:c r="P3" s="11" t="s">
        <x:v>37</x:v>
      </x:c>
      <x:c r="Q3" s="14" t="str">
        <x:f xml:space="preserve">HYPERLINK("https://www.infonalia.es/licitaciones0126/2026001482.pdf","www.infonalia.es/licitaciones0126/2026001482.pdf")</x:f>
        <x:v>www.infonalia.es/licitaciones0126/2026001482.pdf</x:v>
      </x:c>
    </x:row>
    <x:row r="4">
      <x:c r="A4" s="6" t="s">
        <x:v>17</x:v>
      </x:c>
      <x:c r="B4" s="6" t="s">
        <x:v>18</x:v>
      </x:c>
      <x:c r="C4" s="7" t="s">
        <x:v>38</x:v>
      </x:c>
      <x:c r="D4" s="8" t="s">
        <x:v>39</x:v>
      </x:c>
      <x:c r="E4" s="9" t="s">
        <x:v>21</x:v>
      </x:c>
      <x:c r="F4" s="6" t="s">
        <x:v>40</x:v>
      </x:c>
      <x:c r="G4" s="6" t="s">
        <x:v>41</x:v>
      </x:c>
      <x:c r="H4" s="6" t="s">
        <x:v>42</x:v>
      </x:c>
      <x:c r="I4" s="10" t="n">
        <x:v>316115.70</x:v>
      </x:c>
      <x:c r="J4" s="11" t="s">
        <x:v>25</x:v>
      </x:c>
      <x:c r="K4" s="11" t="s">
        <x:v>26</x:v>
      </x:c>
      <x:c r="L4" s="12" t="str">
        <x:f xml:space="preserve">HYPERLINK("https://contrataciondelestado.es/wps/poc?uri=deeplink:detalle_licitacion&amp;idEvl=0iCMEN%2BywDkeC9GJQOEBkQ%3D%3D","contrataciondelestado.es/wps/poc?uri=deeplink:detalle_licitacion&amp;idEvl=0iCMEN%2BywDkeC9GJQOEBkQ%3D%3D")</x:f>
        <x:v>contrataciondelestado.es/wps/poc?uri=deeplink:detalle_licitacion&amp;idEvl=0iCMEN%2BywDkeC9GJQOEBkQ%3D%3D</x:v>
      </x:c>
      <x:c r="M4" s="11" t="s">
        <x:v>27</x:v>
      </x:c>
      <x:c r="N4" s="13" t="s">
        <x:v>28</x:v>
      </x:c>
      <x:c r="O4" s="11" t="s">
        <x:v>43</x:v>
      </x:c>
      <x:c r="P4" s="11" t="s">
        <x:v>44</x:v>
      </x:c>
      <x:c r="Q4" s="14" t="str">
        <x:f xml:space="preserve">HYPERLINK("https://www.infonalia.es/licitaciones0126/2026001537.pdf","www.infonalia.es/licitaciones0126/2026001537.pdf")</x:f>
        <x:v>www.infonalia.es/licitaciones0126/2026001537.pdf</x:v>
      </x:c>
    </x:row>
    <x:row r="5">
      <x:c r="A5" s="6" t="s">
        <x:v>17</x:v>
      </x:c>
      <x:c r="B5" s="6" t="s">
        <x:v>18</x:v>
      </x:c>
      <x:c r="C5" s="7" t="s">
        <x:v>38</x:v>
      </x:c>
      <x:c r="D5" s="8" t="s">
        <x:v>45</x:v>
      </x:c>
      <x:c r="E5" s="9" t="s">
        <x:v>21</x:v>
      </x:c>
      <x:c r="F5" s="6" t="s">
        <x:v>46</x:v>
      </x:c>
      <x:c r="G5" s="6" t="s">
        <x:v>47</x:v>
      </x:c>
      <x:c r="H5" s="6" t="s">
        <x:v>48</x:v>
      </x:c>
      <x:c r="I5" s="10" t="n">
        <x:v>71066.80</x:v>
      </x:c>
      <x:c r="J5" s="11" t="s">
        <x:v>25</x:v>
      </x:c>
      <x:c r="K5" s="11" t="s">
        <x:v>26</x:v>
      </x:c>
      <x:c r="L5" s="12" t="str">
        <x:f xml:space="preserve">HYPERLINK("https://contrataciondelestado.es/wps/poc?uri=deeplink:detalle_licitacion&amp;idEvl=N7ZJqdSYVHAtm4eBPtV6eQ%3D%3D","contrataciondelestado.es/wps/poc?uri=deeplink:detalle_licitacion&amp;idEvl=N7ZJqdSYVHAtm4eBPtV6eQ%3D%3D")</x:f>
        <x:v>contrataciondelestado.es/wps/poc?uri=deeplink:detalle_licitacion&amp;idEvl=N7ZJqdSYVHAtm4eBPtV6eQ%3D%3D</x:v>
      </x:c>
      <x:c r="M5" s="11" t="s">
        <x:v>27</x:v>
      </x:c>
      <x:c r="N5" s="13" t="s">
        <x:v>28</x:v>
      </x:c>
      <x:c r="O5" s="11" t="s">
        <x:v>49</x:v>
      </x:c>
      <x:c r="P5" s="11" t="s">
        <x:v>50</x:v>
      </x:c>
      <x:c r="Q5" s="14" t="str">
        <x:f xml:space="preserve">HYPERLINK("https://www.infonalia.es/licitaciones0126/2026001623.pdf","www.infonalia.es/licitaciones0126/2026001623.pdf")</x:f>
        <x:v>www.infonalia.es/licitaciones0126/2026001623.pdf</x:v>
      </x:c>
    </x:row>
    <x:row r="6">
      <x:c r="A6" s="6" t="s">
        <x:v>17</x:v>
      </x:c>
      <x:c r="B6" s="6" t="s">
        <x:v>18</x:v>
      </x:c>
      <x:c r="C6" s="7" t="s">
        <x:v>38</x:v>
      </x:c>
      <x:c r="D6" s="8" t="s">
        <x:v>51</x:v>
      </x:c>
      <x:c r="E6" s="9" t="s">
        <x:v>21</x:v>
      </x:c>
      <x:c r="F6" s="6" t="s">
        <x:v>52</x:v>
      </x:c>
      <x:c r="G6" s="6" t="s">
        <x:v>53</x:v>
      </x:c>
      <x:c r="H6" s="6" t="s">
        <x:v>54</x:v>
      </x:c>
      <x:c r="I6" s="10" t="n">
        <x:v>36160.34</x:v>
      </x:c>
      <x:c r="J6" s="11" t="s">
        <x:v>25</x:v>
      </x:c>
      <x:c r="K6" s="11" t="s">
        <x:v>26</x:v>
      </x:c>
      <x:c r="L6" s="12" t="str">
        <x:f xml:space="preserve">HYPERLINK("https://contrataciondelestado.es/wps/poc?uri=deeplink:detalle_licitacion&amp;idEvl=h%2FN2EMSE19GcCF8sV%2BqtYA%3D%3D","contrataciondelestado.es/wps/poc?uri=deeplink:detalle_licitacion&amp;idEvl=h%2FN2EMSE19GcCF8sV%2BqtYA%3D%3D")</x:f>
        <x:v>contrataciondelestado.es/wps/poc?uri=deeplink:detalle_licitacion&amp;idEvl=h%2FN2EMSE19GcCF8sV%2BqtYA%3D%3D</x:v>
      </x:c>
      <x:c r="M6" s="11" t="s">
        <x:v>27</x:v>
      </x:c>
      <x:c r="N6" s="13" t="s">
        <x:v>28</x:v>
      </x:c>
      <x:c r="O6" s="11" t="s">
        <x:v>55</x:v>
      </x:c>
      <x:c r="P6" s="11" t="s">
        <x:v>50</x:v>
      </x:c>
      <x:c r="Q6" s="14" t="str">
        <x:f xml:space="preserve">HYPERLINK("https://www.infonalia.es/licitaciones0126/2026001624.pdf","www.infonalia.es/licitaciones0126/2026001624.pdf")</x:f>
        <x:v>www.infonalia.es/licitaciones0126/2026001624.pdf</x:v>
      </x:c>
    </x:row>
    <x:row r="7">
      <x:c r="A7" s="6" t="s">
        <x:v>17</x:v>
      </x:c>
      <x:c r="B7" s="6" t="s">
        <x:v>18</x:v>
      </x:c>
      <x:c r="C7" s="7" t="s">
        <x:v>56</x:v>
      </x:c>
      <x:c r="D7" s="8" t="s">
        <x:v>57</x:v>
      </x:c>
      <x:c r="E7" s="9" t="s">
        <x:v>21</x:v>
      </x:c>
      <x:c r="F7" s="6" t="s">
        <x:v>58</x:v>
      </x:c>
      <x:c r="G7" s="6" t="s">
        <x:v>59</x:v>
      </x:c>
      <x:c r="H7" s="6" t="s">
        <x:v>60</x:v>
      </x:c>
      <x:c r="I7" s="10" t="n">
        <x:v>92000.00</x:v>
      </x:c>
      <x:c r="J7" s="11" t="s">
        <x:v>25</x:v>
      </x:c>
      <x:c r="K7" s="11" t="s">
        <x:v>26</x:v>
      </x:c>
      <x:c r="L7" s="12" t="str">
        <x:f xml:space="preserve">HYPERLINK("https://contrataciondelestado.es/wps/poc?uri=deeplink:detalle_licitacion&amp;idEvl=9dDCukJvlwd%2FR5QFTlaM4A%3D%3D","contrataciondelestado.es/wps/poc?uri=deeplink:detalle_licitacion&amp;idEvl=9dDCukJvlwd%2FR5QFTlaM4A%3D%3D")</x:f>
        <x:v>contrataciondelestado.es/wps/poc?uri=deeplink:detalle_licitacion&amp;idEvl=9dDCukJvlwd%2FR5QFTlaM4A%3D%3D</x:v>
      </x:c>
      <x:c r="M7" s="11" t="s">
        <x:v>27</x:v>
      </x:c>
      <x:c r="N7" s="13" t="s">
        <x:v>28</x:v>
      </x:c>
      <x:c r="O7" s="11" t="s">
        <x:v>61</x:v>
      </x:c>
      <x:c r="P7" s="11" t="s">
        <x:v>44</x:v>
      </x:c>
      <x:c r="Q7" s="14" t="str">
        <x:f xml:space="preserve">HYPERLINK("https://www.infonalia.es/licitaciones0126/2026001645.pdf","www.infonalia.es/licitaciones0126/2026001645.pdf")</x:f>
        <x:v>www.infonalia.es/licitaciones0126/2026001645.pdf</x:v>
      </x:c>
    </x:row>
    <x:row r="8">
      <x:c r="A8" s="6" t="s">
        <x:v>17</x:v>
      </x:c>
      <x:c r="B8" s="6" t="s">
        <x:v>18</x:v>
      </x:c>
      <x:c r="C8" s="7" t="s">
        <x:v>38</x:v>
      </x:c>
      <x:c r="D8" s="8" t="s">
        <x:v>62</x:v>
      </x:c>
      <x:c r="E8" s="9" t="s">
        <x:v>21</x:v>
      </x:c>
      <x:c r="F8" s="6" t="s">
        <x:v>63</x:v>
      </x:c>
      <x:c r="G8" s="6" t="s">
        <x:v>64</x:v>
      </x:c>
      <x:c r="H8" s="6" t="s">
        <x:v>65</x:v>
      </x:c>
      <x:c r="I8" s="10" t="n">
        <x:v>53518.30</x:v>
      </x:c>
      <x:c r="J8" s="11" t="s">
        <x:v>25</x:v>
      </x:c>
      <x:c r="K8" s="11" t="s">
        <x:v>26</x:v>
      </x:c>
      <x:c r="L8" s="12" t="str">
        <x:f xml:space="preserve">HYPERLINK("https://contractaciopublica.cat/ca/detall-publicacio/167420cd-381f-41c2-adbd-06b3d38b5865/300661281","contractaciopublica.cat/ca/detall-publicacio/167420cd-381f-41c2-adbd-06b3d38b5865/300661281")</x:f>
        <x:v>contractaciopublica.cat/ca/detall-publicacio/167420cd-381f-41c2-adbd-06b3d38b5865/300661281</x:v>
      </x:c>
      <x:c r="M8" s="11" t="s">
        <x:v>27</x:v>
      </x:c>
      <x:c r="N8" s="13" t="s">
        <x:v>28</x:v>
      </x:c>
      <x:c r="O8" s="11" t="s">
        <x:v>66</x:v>
      </x:c>
      <x:c r="P8" s="11" t="s">
        <x:v>37</x:v>
      </x:c>
      <x:c r="Q8" s="14" t="str">
        <x:f xml:space="preserve">HYPERLINK("https://www.infonalia.es/licitaciones0126/2026001663.pdf","www.infonalia.es/licitaciones0126/2026001663.pdf")</x:f>
        <x:v>www.infonalia.es/licitaciones0126/2026001663.pdf</x:v>
      </x:c>
    </x:row>
    <x:row r="9">
      <x:c r="A9" s="6" t="s">
        <x:v>17</x:v>
      </x:c>
      <x:c r="B9" s="6" t="s">
        <x:v>18</x:v>
      </x:c>
      <x:c r="C9" s="7" t="s">
        <x:v>67</x:v>
      </x:c>
      <x:c r="D9" s="8" t="s">
        <x:v>68</x:v>
      </x:c>
      <x:c r="E9" s="9" t="s">
        <x:v>21</x:v>
      </x:c>
      <x:c r="F9" s="6" t="s">
        <x:v>69</x:v>
      </x:c>
      <x:c r="G9" s="6" t="s">
        <x:v>70</x:v>
      </x:c>
      <x:c r="H9" s="6" t="s">
        <x:v>71</x:v>
      </x:c>
      <x:c r="I9" s="10" t="n">
        <x:v>590907.91</x:v>
      </x:c>
      <x:c r="J9" s="11" t="s">
        <x:v>25</x:v>
      </x:c>
      <x:c r="K9" s="11" t="s">
        <x:v>26</x:v>
      </x:c>
      <x:c r="L9" s="12" t="str">
        <x:f xml:space="preserve">HYPERLINK("https://contratos-publicos.comunidad.madrid/contrato-publico/contrato-servicios-retransmision-festejos-taurinos-2026","contratos-publicos.comunidad.madrid/contrato-publico/contrato-servicios-retransmision-festejos-taurinos-2026")</x:f>
        <x:v>contratos-publicos.comunidad.madrid/contrato-publico/contrato-servicios-retransmision-festejos-taurinos-2026</x:v>
      </x:c>
      <x:c r="M9" s="11" t="s">
        <x:v>27</x:v>
      </x:c>
      <x:c r="N9" s="13" t="s">
        <x:v>21</x:v>
      </x:c>
      <x:c r="O9" s="11" t="s">
        <x:v>72</x:v>
      </x:c>
      <x:c r="P9" s="11" t="s">
        <x:v>44</x:v>
      </x:c>
      <x:c r="Q9" s="14" t="str">
        <x:f xml:space="preserve">HYPERLINK("https://www.infonalia.es/licitaciones0126/2026001832.pdf","www.infonalia.es/licitaciones0126/2026001832.pdf")</x:f>
        <x:v>www.infonalia.es/licitaciones0126/2026001832.pdf</x:v>
      </x:c>
    </x:row>
    <x:row r="10">
      <x:c r="A10" s="6" t="s">
        <x:v>17</x:v>
      </x:c>
      <x:c r="B10" s="6" t="s">
        <x:v>18</x:v>
      </x:c>
      <x:c r="C10" s="7" t="s">
        <x:v>73</x:v>
      </x:c>
      <x:c r="D10" s="8" t="s">
        <x:v>74</x:v>
      </x:c>
      <x:c r="E10" s="9" t="s">
        <x:v>21</x:v>
      </x:c>
      <x:c r="F10" s="6" t="s">
        <x:v>75</x:v>
      </x:c>
      <x:c r="G10" s="6" t="s">
        <x:v>76</x:v>
      </x:c>
      <x:c r="H10" s="6" t="s">
        <x:v>77</x:v>
      </x:c>
      <x:c r="I10" s="10" t="n">
        <x:v>362407.62</x:v>
      </x:c>
      <x:c r="J10" s="11" t="s">
        <x:v>25</x:v>
      </x:c>
      <x:c r="K10" s="11" t="s">
        <x:v>26</x:v>
      </x:c>
      <x:c r="L10" s="12" t="str">
        <x:f xml:space="preserve">HYPERLINK("https://contrataciondelestado.es/wps/poc?uri=deeplink:detalle_licitacion&amp;idEvl=dqk1mc%2FIIz%2BopEMYCmrbmw%3D%3D","contrataciondelestado.es/wps/poc?uri=deeplink:detalle_licitacion&amp;idEvl=dqk1mc%2FIIz%2BopEMYCmrbmw%3D%3D")</x:f>
        <x:v>contrataciondelestado.es/wps/poc?uri=deeplink:detalle_licitacion&amp;idEvl=dqk1mc%2FIIz%2BopEMYCmrbmw%3D%3D</x:v>
      </x:c>
      <x:c r="M10" s="11" t="s">
        <x:v>27</x:v>
      </x:c>
      <x:c r="N10" s="13" t="s">
        <x:v>21</x:v>
      </x:c>
      <x:c r="O10" s="11" t="s">
        <x:v>78</x:v>
      </x:c>
      <x:c r="P10" s="11" t="s">
        <x:v>79</x:v>
      </x:c>
      <x:c r="Q10" s="14" t="str">
        <x:f xml:space="preserve">HYPERLINK("https://www.infonalia.es/licitaciones0126/2026001855.pdf","www.infonalia.es/licitaciones0126/2026001855.pdf")</x:f>
        <x:v>www.infonalia.es/licitaciones0126/2026001855.pdf</x:v>
      </x:c>
    </x:row>
  </x:sheetData>
  <x:autoFilter ref="A1:Q1"/>
  <x:pageMargins left="0.7" right="0.7" top="0.75" bottom="0.75" header="0.511811023622047" footer="0.511811023622047"/>
  <x:pageSetup paperSize="9" orientation="portrait" horizontalDpi="300" verticalDpi="300"/>
</x: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Licitaciones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direc</dc:creator>
  <dc:description/>
  <cp:lastModifiedBy>.</cp:lastModifiedBy>
  <cp:revision>2</cp:revision>
  <dcterms:created xsi:type="dcterms:W3CDTF">2024-12-04T08:39:24Z</dcterms:created>
  <dcterms:modified xsi:type="dcterms:W3CDTF">2025-01-20T07:55:14Z</dcterms:modified>
  <dc:language>es-ES</dc:language>
</cp:coreProperties>
</file>