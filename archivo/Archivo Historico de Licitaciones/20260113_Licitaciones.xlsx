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<x:sst xmlns:x="http://schemas.openxmlformats.org/spreadsheetml/2006/main" count="17" uniqueCount="17">
  <x:si>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</x:si>
  <x:si>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</x:si>
  <x:si>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</x:si>
  <x:si>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</x:si>
  <x:si>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</x:si>
  <x:si>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</x:si>
  <x:si>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</x:si>
  <x:si>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</x:si>
  <x:si>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</x:si>
  <x:si>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</x:si>
  <x:si>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</x:si>
  <x:si>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</x:si>
  <x:si>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</x:si>
  <x:si>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</x:si>
  <x:si>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</x:si>
  <x:si>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</x:si>
  <x:si>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</x:si>
  <x:si>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</x:si>
  <x:si>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</x:si>
  <x:si>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29/01/2026</x:t>
  </x:si>
  <x:si>
    <x:t>2026002500</x:t>
  </x:si>
  <x:si>
    <x:t>13/01/2026</x:t>
  </x:si>
  <x:si>
    <x:t>MINISTERIO DE VIVIENDA Y AGENDA URBANA</x:t>
  </x:si>
  <x:si>
    <x:t>Pas - Servicio De Producción Y Realización De Eventos Públicos Institucionales Con Cobertura Informativa Promovidos Por El Ministerio De Vivienda Y Agenda Urbana. 2026</x:t>
  </x:si>
  <x:si>
    <x:t>2501CTRGA014</x:t>
  </x:si>
  <x:si>
    <x:t>Importe sin impuestos</x:t>
  </x:si>
  <x:si>
    <x:t/>
  </x:si>
  <x:si>
    <x:t>-----</x:t>
  </x:si>
  <x:si>
    <x:t>12/01/2026</x:t>
  </x:si>
  <x:si>
    <x:t/>
  </x:si>
  <x:si>
    <x:t>Madrid</x:t>
  </x:si>
  <x:si>
    <x:t>27/01/2026</x:t>
  </x:si>
  <x:si>
    <x:t>2026002522</x:t>
  </x:si>
  <x:si>
    <x:t>PRESIDENCIA DE LA MANCOMUNIDAD INTERMUNICIPAL DE SERVICIOS SOCIALES DEL ESTE DE MADRID (MISSEM)</x:t>
  </x:si>
  <x:si>
    <x:t>Servicio de videoactas, grabación y retransmisión en streaming de las sesiones del Pleno y Comisiones Informnativas de la Mancomunidad Intermunicipal de Servicios sociales del Este de Madrid, (MISSEM)</x:t>
  </x:si>
  <x:si>
    <x:t>1720/2025</x:t>
  </x:si>
  <x:si>
    <x:t/>
  </x:si>
  <x:si>
    <x:t>30/01/2026</x:t>
  </x:si>
  <x:si>
    <x:t>2026002580</x:t>
  </x:si>
  <x:si>
    <x:t>AGÈNCIA DE RESIDUS DE CATALUNYA</x:t>
  </x:si>
  <x:si>
    <x:t>Contratación de los servicios de asistencia técnica para la comunicación corporativa de 2026, es decir el desarrollo y mantenimiento de la página web (www.medwaves-centre.org), el diseño y maquetación de diferentes materiales de comunicación, la gestión y edición de las redes sociales así como el asesoramiento de la estrategia de comunicación por las campañas del Centro. Lote 1 Creación, desarrollo y mantenimiento de páginas web para MedWaves. Lote 2 Diseño, maquetación de contenidos visuales y otros materiales de comunicación y marketing. Lote 3 Gestión de redes sociales, análisis de marketing y gestión de herramientas online por el MedWaves. Lote 4 Gestión de campañas: desarrollo de un plan de estrategia de campañas, de creación de contenidos e implementación de la estrategia de actuación.</x:t>
  </x:si>
  <x:si>
    <x:t>ARC-2026-95</x:t>
  </x:si>
  <x:si>
    <x:t/>
  </x:si>
  <x:si>
    <x:t>Catalunya</x:t>
  </x:si>
  <x:si>
    <x:t>11/02/2026</x:t>
  </x:si>
  <x:si>
    <x:t>2026002581</x:t>
  </x:si>
  <x:si>
    <x:t>CONSORCI DE PROMOCIÓ ENOTURÍSTICA DEL TERRITORI DO ALELLA</x:t>
  </x:si>
  <x:si>
    <x:t>Servicios de apoyo a la promoción del territorio DO Alella y de los servicios complementarios de promoción de los entes adheridos al Consorcio de Promoción Enoturística del Territorio DO Alella</x:t>
  </x:si>
  <x:si>
    <x:t>1/2025</x:t>
  </x:si>
  <x:si>
    <x:t/>
  </x:si>
  <x:si>
    <x:t>Barcelona</x:t>
  </x:si>
  <x:si>
    <x:t>28/01/2026</x:t>
  </x:si>
  <x:si>
    <x:t>2026002682</x:t>
  </x:si>
  <x:si>
    <x:t>MINISTERIO DE HACIENDA. PRESIDENCIA EJECUTIVA DE LA AGENCIA E.F.E. S.A.U., S.M.E.</x:t>
  </x:si>
  <x:si>
    <x:t>Diseño, ingeniería y dirección de obra del sistema de distribución de contenidos de tv sobre IP</x:t>
  </x:si>
  <x:si>
    <x:t>S-25100148</x:t>
  </x:si>
  <x:si>
    <x:t/>
  </x:si>
  <x:si>
    <x:t>Community.Vortal</x:t>
  </x:si>
  <x:si>
    <x:t>21/01/2026</x:t>
  </x:si>
  <x:si>
    <x:t>2026002743</x:t>
  </x:si>
  <x:si>
    <x:t>FMCEYUP - FUNDACIÓN MUNICIPAL DE CULTURA, EDUCACIÓN Y UNIVERSIDAD POPULAR DE GIJÓN</x:t>
  </x:si>
  <x:si>
    <x:t>Feten 2026 - servicio de alquiler, transporte, montaje y desmontaje de gradas y sillas para los espacios escenicos de la feria</x:t>
  </x:si>
  <x:si>
    <x:t>3138T/2026</x:t>
  </x:si>
  <x:si>
    <x:t/>
  </x:si>
  <x:si>
    <x:t/>
  </x:si>
  <x:si>
    <x:t>Asturias</x:t>
  </x:si>
  <x:si>
    <x:t>Catalunya - Plataforma de Contratación</x:t>
  </x:si>
  <x:si>
    <x:t>19/01/2026</x:t>
  </x:si>
  <x:si>
    <x:t>2026002746</x:t>
  </x:si>
  <x:si>
    <x:t>AYUNTAMIENTO DE TARRAGONA. DEPARTAMENTO DE CULTURA</x:t>
  </x:si>
  <x:si>
    <x:t>Servicio de comunicación y gestión de las redes sociales del Centro de Arte Contemporáneo de Tarragona</x:t>
  </x:si>
  <x:si>
    <x:t>2026/46-G626_1</x:t>
  </x:si>
  <x:si>
    <x:t>IVA excuido</x:t>
  </x:si>
  <x:si>
    <x:t/>
  </x:si>
  <x:si>
    <x:t/>
  </x:si>
  <x:si>
    <x:t>Tarragona</x:t>
  </x:si>
  <x:si>
    <x:t>2026002763</x:t>
  </x:si>
  <x:si>
    <x:t>DIRECCIÓN GENERAL DE RADIOTELEVISIÓN DEL PRINCIPADO DE ASTURIAS, S.A. UNIPERSONAL</x:t>
  </x:si>
  <x:si>
    <x:t>Servicio de unidad móvil y su operación para RTPA</x:t>
  </x:si>
  <x:si>
    <x:t>08/26 RTPA ANUNCIO PREVIO</x:t>
  </x:si>
  <x:si>
    <x:t>Valor estimado</x:t>
  </x:si>
  <x:si>
    <x:t>No consta</x:t>
  </x:si>
  <x:si>
    <x:t/>
  </x:si>
  <x:si>
    <x:t>02/02/2026</x:t>
  </x:si>
  <x:si>
    <x:t>2026002792</x:t>
  </x:si>
  <x:si>
    <x:t>DIRECCIÓN GERENCIA DE LA FUNDACIÓN JÓVENES Y DEPORTE</x:t>
  </x:si>
  <x:si>
    <x:t>Patrocinio publicitario de la imagen de la FJyD y de Marca Extremadura a través del Kazajoz Cycling Team en su participación en el Campeonato de España XCO durante el año 2026</x:t>
  </x:si>
  <x:si>
    <x:t>P10-26</x:t>
  </x:si>
  <x:si>
    <x:t/>
  </x:si>
  <x:si>
    <x:t>Extremadura</x:t>
  </x:si>
  <x:si>
    <x:t>2026002793</x:t>
  </x:si>
  <x:si>
    <x:t>Patrocinio publicitario de la imagen de la FJyD y de Marca Extremadura en la prueba “Vuelta Ciclista a Extremadura féminas” del año 2026</x:t>
  </x:si>
  <x:si>
    <x:t>P9/26</x:t>
  </x:si>
  <x:si>
    <x:t/>
  </x:si>
  <x:si>
    <x:t>16/02/2026</x:t>
  </x:si>
  <x:si>
    <x:t>2026002871</x:t>
  </x:si>
  <x:si>
    <x:t>CONSEJERO DELEGADO DE INGENIERÍA DE SISTEMAS PARA LA DEFENSA DE ESPAÑA S.A., S.M.E. Y M.P</x:t>
  </x:si>
  <x:si>
    <x:t>Contratación de un servicio de apoyo en el área de esquema nacional de seguridad a la sección de sistemas de información y telecomunicaciones (cis) j6 del cuartel general de la UME</x:t>
  </x:si>
  <x:si>
    <x:t>2025-01956</x:t>
  </x:si>
  <x:si>
    <x:t/>
  </x:si>
  <x:si>
    <x:t>DOUE - Diario Oficial de la Unión Europea (S)</x:t>
  </x:si>
  <x:si>
    <x:t>26/01/2026</x:t>
  </x:si>
  <x:si>
    <x:t>2026002922</x:t>
  </x:si>
  <x:si>
    <x:t>AXENCIA GALEGA DA CALIDADE ALIMENTARIA</x:t>
  </x:si>
  <x:si>
    <x:t>Servicio de asistencia en ferias. Servicio de diseño, organización, montaje, desmontaje y atención de los puestos de la Agencia Gallega de la Calidad Alimentaria en las ferias Prowein, Alimentaria y Salón Gourmets durante el 2026.</x:t>
  </x:si>
  <x:si>
    <x:t/>
  </x:si>
  <x:si>
    <x:t>7</x:t>
  </x:si>
  <x:si>
    <x:t/>
  </x:si>
  <x:si>
    <x:t>Ver pliegos</x:t>
  </x:si>
  <x:si>
    <x:t>15/01/2026</x:t>
  </x:si>
  <x:si>
    <x:t>2026002926</x:t>
  </x:si>
  <x:si>
    <x:t>DEPARTAMENTO DE AGRICULTURA, GANADERÍA, PESCA Y ALIMENTACIÓN DE LA GENERALIDAD DE CATALUÑA</x:t>
  </x:si>
  <x:si>
    <x:t>Organización, realización y comunicación de la campaña de sensibilización para prevenir y reducir pérdidas y el desperdicio alimentario. Lote 1 Coordinación y ejecución de la comunicación de la campaña. Lote 2 Organización Gastrorecup. Lote 3 Organización Gran Comida de Aprovechamiento</x:t>
  </x:si>
  <x:si>
    <x:t>AG-2026-14</x:t>
  </x:si>
  <x:si>
    <x:t>IVA Excluido.</x:t>
  </x:si>
  <x:si>
    <x:t/>
  </x:si>
  <x:si>
    <x:t/>
  </x:si>
  <x:si>
    <x:t>2026002928</x:t>
  </x:si>
  <x:si>
    <x:t>FERROCARRIL METROPOLITA DE BARCELONA, SA</x:t>
  </x:si>
  <x:si>
    <x:t>Servicio para la gestión, ejecución y optimización del programa de marqueting de afiliación para los productos Hola Barcelona</x:t>
  </x:si>
  <x:si>
    <x:t>16097206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</x:si>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</x:sst>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99065.07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HYPERLINK("https://contrataciondelestado.es/wps/poc?uri=deeplink:detalle_licitacion&amp;idEvl=ASxOy%2F72o1eFlFRHfEzEaw%3D%3D","contrataciondelestado.es/wps/poc?uri=deeplink:detalle_licitacion&amp;idEvl=ASxOy%2F72o1eFlFRHfEzEaw%3D%3D")</x:f>
        <x:v>contrataciondelestado.es/wps/poc?uri=deeplink:detalle_licitacion&amp;idEvl=ASxOy%2F72o1eFlFRHfEzEaw%3D%3D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HYPERLINK("https://www.infonalia.es/licitaciones0126/2026002500.pdf","www.infonalia.es/licitaciones0126/2026002500.pdf")</x:f>
        <x:v>www.infonalia.es/licitaciones0126/2026002500.pdf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2450.00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HYPERLINK("https://contrataciondelestado.es/wps/poc?uri=deeplink:detalle_licitacion&amp;idEvl=zAu4Yzjyq4V9PLkba5eRog%3D%3D","contrataciondelestado.es/wps/poc?uri=deeplink:detalle_licitacion&amp;idEvl=zAu4Yzjyq4V9PLkba5eRog%3D%3D")</x:f>
        <x:v>contrataciondelestado.es/wps/poc?uri=deeplink:detalle_licitacion&amp;idEvl=zAu4Yzjyq4V9PLkba5eRog%3D%3D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HYPERLINK("https://www.infonalia.es/licitaciones0126/2026002522.pdf","www.infonalia.es/licitaciones0126/2026002522.pdf")</x:f>
        <x:v>www.infonalia.es/licitaciones0126/2026002522.pdf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93100.00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HYPERLINK("https://contractaciopublica.cat/ca/detall-publicacio/d64e94cb-e879-4f10-820e-34d77d5e4520/300661930","contractaciopublica.cat/ca/detall-publicacio/d64e94cb-e879-4f10-820e-34d77d5e4520/300661930")</x:f>
        <x:v>contractaciopublica.cat/ca/detall-publicacio/d64e94cb-e879-4f10-820e-34d77d5e4520/300661930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HYPERLINK("https://www.infonalia.es/licitaciones0126/2026002580.pdf","www.infonalia.es/licitaciones0126/2026002580.pdf")</x:f>
        <x:v>www.infonalia.es/licitaciones0126/2026002580.pdf</x:v>
      </x:c>
    </x:row>
    <x:row r="5">
      <x:c r="A5" s="6" t="s">
        <x:v>17</x:v>
      </x:c>
      <x:c r="B5" s="6" t="s">
        <x:v>18</x:v>
      </x:c>
      <x:c r="C5" s="7" t="s">
        <x:v>44</x:v>
      </x:c>
      <x:c r="D5" s="8" t="s">
        <x:v>45</x:v>
      </x:c>
      <x:c r="E5" s="9" t="s">
        <x:v>21</x:v>
      </x:c>
      <x:c r="F5" s="6" t="s">
        <x:v>46</x:v>
      </x:c>
      <x:c r="G5" s="6" t="s">
        <x:v>47</x:v>
      </x:c>
      <x:c r="H5" s="6" t="s">
        <x:v>48</x:v>
      </x:c>
      <x:c r="I5" s="10" t="n">
        <x:v>140495.87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HYPERLINK("https://contractaciopublica.cat/ca/detall-publicacio/d16b57f0-4978-48fe-bd52-ab1e010a15f5/300661305","contractaciopublica.cat/ca/detall-publicacio/d16b57f0-4978-48fe-bd52-ab1e010a15f5/300661305")</x:f>
        <x:v>contractaciopublica.cat/ca/detall-publicacio/d16b57f0-4978-48fe-bd52-ab1e010a15f5/300661305</x:v>
      </x:c>
      <x:c r="M5" s="11" t="s">
        <x:v>27</x:v>
      </x:c>
      <x:c r="N5" s="13" t="s">
        <x:v>28</x:v>
      </x:c>
      <x:c r="O5" s="11" t="s">
        <x:v>49</x:v>
      </x:c>
      <x:c r="P5" s="11" t="s">
        <x:v>50</x:v>
      </x:c>
      <x:c r="Q5" s="14" t="str">
        <x:f xml:space="preserve">HYPERLINK("https://www.infonalia.es/licitaciones0126/2026002581.pdf","www.infonalia.es/licitaciones0126/2026002581.pdf")</x:f>
        <x:v>www.infonalia.es/licitaciones0126/2026002581.pdf</x:v>
      </x:c>
    </x:row>
    <x:row r="6">
      <x:c r="A6" s="6" t="s">
        <x:v>17</x:v>
      </x:c>
      <x:c r="B6" s="6" t="s">
        <x:v>18</x:v>
      </x:c>
      <x:c r="C6" s="7" t="s">
        <x:v>51</x:v>
      </x:c>
      <x:c r="D6" s="8" t="s">
        <x:v>52</x:v>
      </x:c>
      <x:c r="E6" s="9" t="s">
        <x:v>21</x:v>
      </x:c>
      <x:c r="F6" s="6" t="s">
        <x:v>53</x:v>
      </x:c>
      <x:c r="G6" s="6" t="s">
        <x:v>54</x:v>
      </x:c>
      <x:c r="H6" s="6" t="s">
        <x:v>55</x:v>
      </x:c>
      <x:c r="I6" s="10" t="n">
        <x:v>58384.00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HYPERLINK("https://contrataciondelestado.es/wps/poc?uri=deeplink:detalle_licitacion&amp;idEvl=4uaVKXeL8jrI8aL3PRS10Q%3D%3D","contrataciondelestado.es/wps/poc?uri=deeplink:detalle_licitacion&amp;idEvl=4uaVKXeL8jrI8aL3PRS10Q%3D%3D")</x:f>
        <x:v>contrataciondelestado.es/wps/poc?uri=deeplink:detalle_licitacion&amp;idEvl=4uaVKXeL8jrI8aL3PRS10Q%3D%3D</x:v>
      </x:c>
      <x:c r="M6" s="11" t="s">
        <x:v>27</x:v>
      </x:c>
      <x:c r="N6" s="13" t="s">
        <x:v>28</x:v>
      </x:c>
      <x:c r="O6" s="11" t="s">
        <x:v>56</x:v>
      </x:c>
      <x:c r="P6" s="11" t="s">
        <x:v>30</x:v>
      </x:c>
      <x:c r="Q6" s="14" t="str">
        <x:f xml:space="preserve">HYPERLINK("https://www.infonalia.es/licitaciones0126/2026002682.pdf","www.infonalia.es/licitaciones0126/2026002682.pdf")</x:f>
        <x:v>www.infonalia.es/licitaciones0126/2026002682.pdf</x:v>
      </x:c>
    </x:row>
    <x:row r="7">
      <x:c r="A7" s="6" t="s">
        <x:v>17</x:v>
      </x:c>
      <x:c r="B7" s="6" t="s">
        <x:v>57</x:v>
      </x:c>
      <x:c r="C7" s="7" t="s">
        <x:v>58</x:v>
      </x:c>
      <x:c r="D7" s="8" t="s">
        <x:v>59</x:v>
      </x:c>
      <x:c r="E7" s="9" t="s">
        <x:v>21</x:v>
      </x:c>
      <x:c r="F7" s="6" t="s">
        <x:v>60</x:v>
      </x:c>
      <x:c r="G7" s="6" t="s">
        <x:v>61</x:v>
      </x:c>
      <x:c r="H7" s="6" t="s">
        <x:v>62</x:v>
      </x:c>
      <x:c r="I7" s="10" t="n">
        <x:v>12000.00</x:v>
      </x:c>
      <x:c r="J7" s="11" t="s">
        <x:v>25</x:v>
      </x:c>
      <x:c r="K7" s="11" t="s">
        <x:v>63</x:v>
      </x:c>
      <x:c r="L7" s="12" t="str">
        <x:f xml:space="preserve">HYPERLINK("https://community.vortal.biz/public/?currentLanguage=es","community.vortal.biz/public/?currentLanguage=es")</x:f>
        <x:v>community.vortal.biz/public/?currentLanguage=es</x:v>
      </x:c>
      <x:c r="M7" s="11" t="s">
        <x:v>27</x:v>
      </x:c>
      <x:c r="N7" s="13" t="s">
        <x:v>28</x:v>
      </x:c>
      <x:c r="O7" s="11" t="s">
        <x:v>64</x:v>
      </x:c>
      <x:c r="P7" s="11" t="s">
        <x:v>65</x:v>
      </x:c>
      <x:c r="Q7" s="14" t="str">
        <x:f xml:space="preserve">HYPERLINK("https://www.infonalia.es/licitaciones0126/2026002743.pdf","www.infonalia.es/licitaciones0126/2026002743.pdf")</x:f>
        <x:v>www.infonalia.es/licitaciones0126/2026002743.pdf</x:v>
      </x:c>
    </x:row>
    <x:row r="8">
      <x:c r="A8" s="6" t="s">
        <x:v>17</x:v>
      </x:c>
      <x:c r="B8" s="6" t="s">
        <x:v>66</x:v>
      </x:c>
      <x:c r="C8" s="7" t="s">
        <x:v>67</x:v>
      </x:c>
      <x:c r="D8" s="8" t="s">
        <x:v>68</x:v>
      </x:c>
      <x:c r="E8" s="9" t="s">
        <x:v>21</x:v>
      </x:c>
      <x:c r="F8" s="6" t="s">
        <x:v>69</x:v>
      </x:c>
      <x:c r="G8" s="6" t="s">
        <x:v>70</x:v>
      </x:c>
      <x:c r="H8" s="6" t="s">
        <x:v>71</x:v>
      </x:c>
      <x:c r="I8" s="10" t="n">
        <x:v>14985.00</x:v>
      </x:c>
      <x:c r="J8" s="11" t="s">
        <x:v>72</x:v>
      </x:c>
      <x:c r="K8" s="11" t="s">
        <x:v>73</x:v>
      </x:c>
      <x:c r="L8" s="12" t="str">
        <x:f xml:space="preserve">HYPERLINK("https://contractaciopublica.cat/es/detall-publicacio/300662972","contractaciopublica.cat/es/detall-publicacio/300662972")</x:f>
        <x:v>contractaciopublica.cat/es/detall-publicacio/300662972</x:v>
      </x:c>
      <x:c r="M8" s="11" t="s">
        <x:v>27</x:v>
      </x:c>
      <x:c r="N8" s="13" t="s">
        <x:v>28</x:v>
      </x:c>
      <x:c r="O8" s="11" t="s">
        <x:v>74</x:v>
      </x:c>
      <x:c r="P8" s="11" t="s">
        <x:v>75</x:v>
      </x:c>
      <x:c r="Q8" s="14" t="str">
        <x:f xml:space="preserve">HYPERLINK("https://www.infonalia.es/licitaciones0126/2026002746.pdf","www.infonalia.es/licitaciones0126/2026002746.pdf")</x:f>
        <x:v>www.infonalia.es/licitaciones0126/2026002746.pdf</x:v>
      </x:c>
    </x:row>
    <x:row r="9">
      <x:c r="A9" s="6" t="s">
        <x:v>17</x:v>
      </x:c>
      <x:c r="B9" s="6" t="s">
        <x:v>18</x:v>
      </x:c>
      <x:c r="C9" s="7" t="s">
        <x:v>26</x:v>
      </x:c>
      <x:c r="D9" s="8" t="s">
        <x:v>76</x:v>
      </x:c>
      <x:c r="E9" s="9" t="s">
        <x:v>21</x:v>
      </x:c>
      <x:c r="F9" s="6" t="s">
        <x:v>77</x:v>
      </x:c>
      <x:c r="G9" s="6" t="s">
        <x:v>78</x:v>
      </x:c>
      <x:c r="H9" s="6" t="s">
        <x:v>79</x:v>
      </x:c>
      <x:c r="I9" s="10" t="n">
        <x:v>1477449.75</x:v>
      </x:c>
      <x:c r="J9" s="11" t="s">
        <x:v>80</x:v>
      </x:c>
      <x:c r="K9" s="11" t="s">
        <x:v>81</x:v>
      </x:c>
      <x:c r="L9" s="12" t="str">
        <x:f xml:space="preserve">HYPERLINK("https://contrataciondelestado.es/wps/poc?uri=deeplink:detalle_licitacion&amp;idEvl=wxOS%2BzKfx%2Fxq1DdmE7eaXg%3D%3D","contrataciondelestado.es/wps/poc?uri=deeplink:detalle_licitacion&amp;idEvl=wxOS%2BzKfx%2Fxq1DdmE7eaXg%3D%3D")</x:f>
        <x:v>contrataciondelestado.es/wps/poc?uri=deeplink:detalle_licitacion&amp;idEvl=wxOS%2BzKfx%2Fxq1DdmE7eaXg%3D%3D</x:v>
      </x:c>
      <x:c r="M9" s="11" t="s">
        <x:v>27</x:v>
      </x:c>
      <x:c r="N9" s="13" t="s">
        <x:v>28</x:v>
      </x:c>
      <x:c r="O9" s="11" t="s">
        <x:v>82</x:v>
      </x:c>
      <x:c r="P9" s="11" t="s">
        <x:v>65</x:v>
      </x:c>
      <x:c r="Q9" s="14" t="str">
        <x:f xml:space="preserve">HYPERLINK("https://www.infonalia.es/licitaciones0126/2026002763.pdf","www.infonalia.es/licitaciones0126/2026002763.pdf")</x:f>
        <x:v>www.infonalia.es/licitaciones0126/2026002763.pdf</x:v>
      </x:c>
    </x:row>
    <x:row r="10">
      <x:c r="A10" s="6" t="s">
        <x:v>17</x:v>
      </x:c>
      <x:c r="B10" s="6" t="s">
        <x:v>18</x:v>
      </x:c>
      <x:c r="C10" s="7" t="s">
        <x:v>83</x:v>
      </x:c>
      <x:c r="D10" s="8" t="s">
        <x:v>84</x:v>
      </x:c>
      <x:c r="E10" s="9" t="s">
        <x:v>21</x:v>
      </x:c>
      <x:c r="F10" s="6" t="s">
        <x:v>85</x:v>
      </x:c>
      <x:c r="G10" s="6" t="s">
        <x:v>86</x:v>
      </x:c>
      <x:c r="H10" s="6" t="s">
        <x:v>87</x:v>
      </x:c>
      <x:c r="I10" s="10" t="n">
        <x:v>14049.59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HYPERLINK("https://contrataciondelestado.es/wps/poc?uri=deeplink:detalle_licitacion&amp;idEvl=N2mRiPN79y9rhBlEHQFSKA%3D%3D","contrataciondelestado.es/wps/poc?uri=deeplink:detalle_licitacion&amp;idEvl=N2mRiPN79y9rhBlEHQFSKA%3D%3D")</x:f>
        <x:v>contrataciondelestado.es/wps/poc?uri=deeplink:detalle_licitacion&amp;idEvl=N2mRiPN79y9rhBlEHQFSKA%3D%3D</x:v>
      </x:c>
      <x:c r="M10" s="11" t="s">
        <x:v>27</x:v>
      </x:c>
      <x:c r="N10" s="13" t="s">
        <x:v>28</x:v>
      </x:c>
      <x:c r="O10" s="11" t="s">
        <x:v>88</x:v>
      </x:c>
      <x:c r="P10" s="11" t="s">
        <x:v>89</x:v>
      </x:c>
      <x:c r="Q10" s="14" t="str">
        <x:f xml:space="preserve">HYPERLINK("https://www.infonalia.es/licitaciones0126/2026002792.pdf","www.infonalia.es/licitaciones0126/2026002792.pdf")</x:f>
        <x:v>www.infonalia.es/licitaciones0126/2026002792.pdf</x:v>
      </x:c>
    </x:row>
    <x:row r="11">
      <x:c r="A11" s="6" t="s">
        <x:v>17</x:v>
      </x:c>
      <x:c r="B11" s="6" t="s">
        <x:v>18</x:v>
      </x:c>
      <x:c r="C11" s="7" t="s">
        <x:v>83</x:v>
      </x:c>
      <x:c r="D11" s="8" t="s">
        <x:v>90</x:v>
      </x:c>
      <x:c r="E11" s="9" t="s">
        <x:v>21</x:v>
      </x:c>
      <x:c r="F11" s="6" t="s">
        <x:v>85</x:v>
      </x:c>
      <x:c r="G11" s="6" t="s">
        <x:v>91</x:v>
      </x:c>
      <x:c r="H11" s="6" t="s">
        <x:v>92</x:v>
      </x:c>
      <x:c r="I11" s="10" t="n">
        <x:v>107438.02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HYPERLINK("https://contrataciondelestado.es/wps/poc?uri=deeplink:detalle_licitacion&amp;idEvl=57M9BGJBB6e7JOCXkOhcDg%3D%3D","contrataciondelestado.es/wps/poc?uri=deeplink:detalle_licitacion&amp;idEvl=57M9BGJBB6e7JOCXkOhcDg%3D%3D")</x:f>
        <x:v>contrataciondelestado.es/wps/poc?uri=deeplink:detalle_licitacion&amp;idEvl=57M9BGJBB6e7JOCXkOhcDg%3D%3D</x:v>
      </x:c>
      <x:c r="M11" s="11" t="s">
        <x:v>27</x:v>
      </x:c>
      <x:c r="N11" s="13" t="s">
        <x:v>28</x:v>
      </x:c>
      <x:c r="O11" s="11" t="s">
        <x:v>93</x:v>
      </x:c>
      <x:c r="P11" s="11" t="s">
        <x:v>89</x:v>
      </x:c>
      <x:c r="Q11" s="14" t="str">
        <x:f xml:space="preserve">HYPERLINK("https://www.infonalia.es/licitaciones0126/2026002793.pdf","www.infonalia.es/licitaciones0126/2026002793.pdf")</x:f>
        <x:v>www.infonalia.es/licitaciones0126/2026002793.pdf</x:v>
      </x:c>
    </x:row>
    <x:row r="12">
      <x:c r="A12" s="6" t="s">
        <x:v>17</x:v>
      </x:c>
      <x:c r="B12" s="6" t="s">
        <x:v>18</x:v>
      </x:c>
      <x:c r="C12" s="7" t="s">
        <x:v>94</x:v>
      </x:c>
      <x:c r="D12" s="8" t="s">
        <x:v>95</x:v>
      </x:c>
      <x:c r="E12" s="9" t="s">
        <x:v>21</x:v>
      </x:c>
      <x:c r="F12" s="6" t="s">
        <x:v>96</x:v>
      </x:c>
      <x:c r="G12" s="6" t="s">
        <x:v>97</x:v>
      </x:c>
      <x:c r="H12" s="6" t="s">
        <x:v>98</x:v>
      </x:c>
      <x:c r="I12" s="10" t="n">
        <x:v>102877.50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HYPERLINK("https://contrataciondelestado.es/wps/poc?uri=deeplink:detalle_licitacion&amp;idEvl=uwgiwx2tqEkXhk1FZxEyvw%3D%3D","contrataciondelestado.es/wps/poc?uri=deeplink:detalle_licitacion&amp;idEvl=uwgiwx2tqEkXhk1FZxEyvw%3D%3D")</x:f>
        <x:v>contrataciondelestado.es/wps/poc?uri=deeplink:detalle_licitacion&amp;idEvl=uwgiwx2tqEkXhk1FZxEyvw%3D%3D</x:v>
      </x:c>
      <x:c r="M12" s="11" t="s">
        <x:v>27</x:v>
      </x:c>
      <x:c r="N12" s="13" t="s">
        <x:v>21</x:v>
      </x:c>
      <x:c r="O12" s="11" t="s">
        <x:v>99</x:v>
      </x:c>
      <x:c r="P12" s="11" t="s">
        <x:v>30</x:v>
      </x:c>
      <x:c r="Q12" s="14" t="str">
        <x:f xml:space="preserve">HYPERLINK("https://www.infonalia.es/licitaciones0126/2026002871.pdf","www.infonalia.es/licitaciones0126/2026002871.pdf")</x:f>
        <x:v>www.infonalia.es/licitaciones0126/2026002871.pdf</x:v>
      </x:c>
    </x:row>
    <x:row r="13">
      <x:c r="A13" s="6" t="s">
        <x:v>17</x:v>
      </x:c>
      <x:c r="B13" s="6" t="s">
        <x:v>100</x:v>
      </x:c>
      <x:c r="C13" s="7" t="s">
        <x:v>101</x:v>
      </x:c>
      <x:c r="D13" s="8" t="s">
        <x:v>102</x:v>
      </x:c>
      <x:c r="E13" s="9" t="s">
        <x:v>21</x:v>
      </x:c>
      <x:c r="F13" s="6" t="s">
        <x:v>103</x:v>
      </x:c>
      <x:c r="G13" s="6" t="s">
        <x:v>104</x:v>
      </x:c>
      <x:c r="H13" s="6" t="s">
        <x:v>81</x:v>
      </x:c>
      <x:c r="I13" s="10"/>
      <x:c r="J13" s="11" t="s">
        <x:v>81</x:v>
      </x:c>
      <x:c r="K13" s="11" t="s">
        <x:v>105</x:v>
      </x:c>
      <x:c r="L13" s="12" t="str">
        <x:f xml:space="preserve">HYPERLINK("https://www.contratosdegalicia.gal/consultaOrganismo.jsp?lang=gl&amp;ID=800&amp;N=66&amp;OR=66&amp;SORT=2&amp;ORDER=2","www.contratosdegalicia.gal/consultaOrganismo.jsp?lang=gl&amp;ID=800&amp;N=66&amp;OR=66&amp;SORT=2&amp;ORDER=2")</x:f>
        <x:v>www.contratosdegalicia.gal/consultaOrganismo.jsp?lang=gl&amp;ID=800&amp;N=66&amp;OR=66&amp;SORT=2&amp;ORDER=2</x:v>
      </x:c>
      <x:c r="M13" s="11" t="s">
        <x:v>106</x:v>
      </x:c>
      <x:c r="N13" s="13" t="s">
        <x:v>28</x:v>
      </x:c>
      <x:c r="O13" s="11" t="s">
        <x:v>107</x:v>
      </x:c>
      <x:c r="P13" s="11" t="s">
        <x:v>108</x:v>
      </x:c>
      <x:c r="Q13" s="14" t="str">
        <x:f xml:space="preserve">HYPERLINK("https://www.infonalia.es/licitaciones0126/2026002922.pdf","www.infonalia.es/licitaciones0126/2026002922.pdf")</x:f>
        <x:v>www.infonalia.es/licitaciones0126/2026002922.pdf</x:v>
      </x:c>
    </x:row>
    <x:row r="14">
      <x:c r="A14" s="6" t="s">
        <x:v>17</x:v>
      </x:c>
      <x:c r="B14" s="6" t="s">
        <x:v>100</x:v>
      </x:c>
      <x:c r="C14" s="7" t="s">
        <x:v>109</x:v>
      </x:c>
      <x:c r="D14" s="8" t="s">
        <x:v>110</x:v>
      </x:c>
      <x:c r="E14" s="9" t="s">
        <x:v>21</x:v>
      </x:c>
      <x:c r="F14" s="6" t="s">
        <x:v>111</x:v>
      </x:c>
      <x:c r="G14" s="6" t="s">
        <x:v>112</x:v>
      </x:c>
      <x:c r="H14" s="6" t="s">
        <x:v>113</x:v>
      </x:c>
      <x:c r="I14" s="10" t="n">
        <x:v>643720.75</x:v>
      </x:c>
      <x:c r="J14" s="11" t="s">
        <x:v>114</x:v>
      </x:c>
      <x:c r="K14" s="11" t="s">
        <x:v>115</x:v>
      </x:c>
      <x:c r="L14" s="12" t="str">
        <x:f xml:space="preserve">HYPERLINK("https://contractaciopublica.cat/ca/perfils-contractant/detall/202191?categoria=0","contractaciopublica.cat/ca/perfils-contractant/detall/202191?categoria=0")</x:f>
        <x:v>contractaciopublica.cat/ca/perfils-contractant/detall/202191?categoria=0</x:v>
      </x:c>
      <x:c r="M14" s="11" t="s">
        <x:v>106</x:v>
      </x:c>
      <x:c r="N14" s="13" t="s">
        <x:v>28</x:v>
      </x:c>
      <x:c r="O14" s="11" t="s">
        <x:v>116</x:v>
      </x:c>
      <x:c r="P14" s="11" t="s">
        <x:v>50</x:v>
      </x:c>
      <x:c r="Q14" s="14" t="str">
        <x:f xml:space="preserve">HYPERLINK("https://www.infonalia.es/licitaciones0126/2026002926.pdf","www.infonalia.es/licitaciones0126/2026002926.pdf")</x:f>
        <x:v>www.infonalia.es/licitaciones0126/2026002926.pdf</x:v>
      </x:c>
    </x:row>
    <x:row r="15">
      <x:c r="A15" s="6" t="s">
        <x:v>17</x:v>
      </x:c>
      <x:c r="B15" s="6" t="s">
        <x:v>100</x:v>
      </x:c>
      <x:c r="C15" s="7" t="s">
        <x:v>44</x:v>
      </x:c>
      <x:c r="D15" s="8" t="s">
        <x:v>117</x:v>
      </x:c>
      <x:c r="E15" s="9" t="s">
        <x:v>21</x:v>
      </x:c>
      <x:c r="F15" s="6" t="s">
        <x:v>118</x:v>
      </x:c>
      <x:c r="G15" s="6" t="s">
        <x:v>119</x:v>
      </x:c>
      <x:c r="H15" s="6" t="s">
        <x:v>120</x:v>
      </x:c>
      <x:c r="I15" s="10"/>
      <x:c r="J15" s="11" t="s">
        <x:v>81</x:v>
      </x:c>
      <x:c r="K15" s="11" t="s">
        <x:v>121</x:v>
      </x:c>
      <x:c r="L15" s="12" t="str">
        <x:f xml:space="preserve">HYPERLINK("https://contractaciopublica.gencat.cat/perfil/FMB","contractaciopublica.gencat.cat/perfil/FMB")</x:f>
        <x:v>contractaciopublica.gencat.cat/perfil/FMB</x:v>
      </x:c>
      <x:c r="M15" s="11" t="s">
        <x:v>106</x:v>
      </x:c>
      <x:c r="N15" s="13" t="s">
        <x:v>28</x:v>
      </x:c>
      <x:c r="O15" s="11" t="s">
        <x:v>122</x:v>
      </x:c>
      <x:c r="P15" s="11" t="s">
        <x:v>50</x:v>
      </x:c>
      <x:c r="Q15" s="14" t="str">
        <x:f xml:space="preserve">HYPERLINK("https://www.infonalia.es/licitaciones0126/2026002928.pdf","www.infonalia.es/licitaciones0126/2026002928.pdf")</x:f>
        <x:v>www.infonalia.es/licitaciones0126/2026002928.pdf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