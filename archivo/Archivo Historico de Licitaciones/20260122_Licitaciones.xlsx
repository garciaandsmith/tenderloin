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<x:sst xmlns:x="http://schemas.openxmlformats.org/spreadsheetml/2006/main" count="17" uniqueCount="17">
  <x:si>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</x:si>
  <x:si>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</x:si>
  <x:si>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</x:si>
  <x:si>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</x:si>
  <x:si>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</x:si>
  <x:si>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</x:si>
  <x:si>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</x:si>
  <x:si>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</x:si>
  <x:si>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</x:si>
  <x:si>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</x:si>
  <x:si>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</x:si>
  <x:si>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</x:si>
  <x:si>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</x:si>
  <x:si>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</x:si>
  <x:si>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</x:si>
  <x:si>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</x:si>
  <x:si>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</x:si>
  <x:si>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</x:si>
  <x:si>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</x:si>
  <x:si>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04/02/2026</x:t>
  </x:si>
  <x:si>
    <x:t>2026006092</x:t>
  </x:si>
  <x:si>
    <x:t>22/01/2026</x:t>
  </x:si>
  <x:si>
    <x:t>ALCALDÍA DEL AYUNTAMIENTO DE COLUNGA (ASTURIAS)</x:t>
  </x:si>
  <x:si>
    <x:t>Contratación del servicio de grabación y streaming de las sesiones de los órganos colegiados del Ayuntamiento de Colunga</x:t>
  </x:si>
  <x:si>
    <x:t>36498R</x:t>
  </x:si>
  <x:si>
    <x:t>Importe sin impuestos</x:t>
  </x:si>
  <x:si>
    <x:t/>
  </x:si>
  <x:si>
    <x:t>-----</x:t>
  </x:si>
  <x:si>
    <x:t>21/01/2026</x:t>
  </x:si>
  <x:si>
    <x:t/>
  </x:si>
  <x:si>
    <x:t>Asturias</x:t>
  </x:si>
  <x:si>
    <x:t>20/02/2026</x:t>
  </x:si>
  <x:si>
    <x:t>2026006130</x:t>
  </x:si>
  <x:si>
    <x:t>DIPUTACIÓN DE LLEIDA. PATRONATO INTERCOMARCAL TURISMO TIERRAS DE LLEIDA</x:t>
  </x:si>
  <x:si>
    <x:t>Configuración del Acuerdo Marco para la selección de empresas para el suministro y producción de material audiovisual (fotografías y vídeos) profesional para cubrir las necesidades comunicativas del Patronato de Turismo de la Diputación de Lleida de los diferentes productos y categorías promocionales. Lote 1 Suministro de fotografías profesionales, lote 2 Suministro vídeos profesionales, lote 3 Producción sesiones fotográficas, lote 4 Producción vídeos profesionales.</x:t>
  </x:si>
  <x:si>
    <x:t>2025/99-199</x:t>
  </x:si>
  <x:si>
    <x:t/>
  </x:si>
  <x:si>
    <x:t>Lleida</x:t>
  </x:si>
  <x:si>
    <x:t>06/02/2026</x:t>
  </x:si>
  <x:si>
    <x:t>2026006234</x:t>
  </x:si>
  <x:si>
    <x:t>JUNTA DE GOBIERNO LOCAL DEL AYUNTAMIENTO DE COLMENAR VIEJO (MADRID)</x:t>
  </x:si>
  <x:si>
    <x:t>Servicio de asistencia para la organización de actividades en el marco de las jornadas de medio ambiente del Ayuntamiento de Colmenar Viejo</x:t>
  </x:si>
  <x:si>
    <x:t>23526/2025</x:t>
  </x:si>
  <x:si>
    <x:t/>
  </x:si>
  <x:si>
    <x:t>Madrid</x:t>
  </x:si>
  <x:si>
    <x:t>Barcelona. Perfil del Contratante del Ayuntamiento</x:t>
  </x:si>
  <x:si>
    <x:t>26/01/2026</x:t>
  </x:si>
  <x:si>
    <x:t>2026006354</x:t>
  </x:si>
  <x:si>
    <x:t>INSTITUTO DE CULTURA DE BARCELONA</x:t>
  </x:si>
  <x:si>
    <x:t>Producción y edición de materiales audiovisuales y reportajes fotográficos para el departamento de 
Comunicación del DHUB.</x:t>
  </x:si>
  <x:si>
    <x:t>006_P2600117</x:t>
  </x:si>
  <x:si>
    <x:t/>
  </x:si>
  <x:si>
    <x:t/>
  </x:si>
  <x:si>
    <x:t>Barcelona</x:t>
  </x:si>
  <x:si>
    <x:t>Community.Vortal</x:t>
  </x:si>
  <x:si>
    <x:t>28/01/2026</x:t>
  </x:si>
  <x:si>
    <x:t>2026006363</x:t>
  </x:si>
  <x:si>
    <x:t>FMCEYUP - FUNDACIÓN MUNICIPAL DE CULTURA, EDUCACIÓN Y UNIVERSIDAD POPULAR DE GIJÓN</x:t>
  </x:si>
  <x:si>
    <x:t>Contratación del servicio de impresión de diversos materiales de promoción y uso del asturiano.</x:t>
  </x:si>
  <x:si>
    <x:t>4220R/2026</x:t>
  </x:si>
  <x:si>
    <x:t/>
  </x:si>
  <x:si>
    <x:t/>
  </x:si>
  <x:si>
    <x:t>Catalunya - Plataforma de Contratación</x:t>
  </x:si>
  <x:si>
    <x:t>29/01/2026</x:t>
  </x:si>
  <x:si>
    <x:t>2026006380</x:t>
  </x:si>
  <x:si>
    <x:t>GENERALITAT DE CATALUNYA. DEPARTAMENTO DE EDUCACIÓN Y FORMACIÓN PROFESIONAL SERVICIOS CENTRALES </x:t>
  </x:si>
  <x:si>
    <x:t>Servicio de manipulación y distribución de carteles y otro material impreso de carácter transversal del Departamento de Educación y Formación Profesional</x:t>
  </x:si>
  <x:si>
    <x:t>ED-2026-198</x:t>
  </x:si>
  <x:si>
    <x:t>IVA excluido</x:t>
  </x:si>
  <x:si>
    <x:t/>
  </x:si>
  <x:si>
    <x:t/>
  </x:si>
  <x:si>
    <x:t>Catalunya</x:t>
  </x:si>
  <x:si>
    <x:t>2026006381</x:t>
  </x:si>
  <x:si>
    <x:t>AYUNTAMIENTO DE CALAFELL (TARRAGONA)</x:t>
  </x:si>
  <x:si>
    <x:t>Contratación relativa al suministro de pantalla led, grupo electrógeno, equipos de sonido e iluminación y personal técnico, con motivo del concurso de comparsas y carrozas del carnaval churigué de Calafell, a celebrar el domingo 15 de febrero de 2026</x:t>
  </x:si>
  <x:si>
    <x:t>01_2026-CNT(M)</x:t>
  </x:si>
  <x:si>
    <x:t/>
  </x:si>
  <x:si>
    <x:t/>
  </x:si>
  <x:si>
    <x:t>Tarragona</x:t>
  </x:si>
  <x:si>
    <x:t>2026006382</x:t>
  </x:si>
  <x:si>
    <x:t>Contratación relativa al suministro de estructuras truss, cañones de confeti, equipos de sonido e iluminación y personal técnico, con motivo de la fiesta del cuerpo blanco de Calafell, a celebrar el sábado 28 de febrero de 2026</x:t>
  </x:si>
  <x:si>
    <x:t>02_2026-CNT(M)</x:t>
  </x:si>
  <x:si>
    <x:t/>
  </x:si>
  <x:si>
    <x:t/>
  </x:si>
  <x:si>
    <x:t>2026006454</x:t>
  </x:si>
  <x:si>
    <x:t>JUNTA DE GOBIERNO DEL AYUNTAMIENTO DE ALCOBENDAS (MADRID)</x:t>
  </x:si>
  <x:si>
    <x:t>Suministro, instalación, montaje y desmontaje de stands</x:t>
  </x:si>
  <x:si>
    <x:t>CM/2026/101/005</x:t>
  </x:si>
  <x:si>
    <x:t/>
  </x:si>
  <x:si>
    <x:t>19/02/2026</x:t>
  </x:si>
  <x:si>
    <x:t>2026006472</x:t>
  </x:si>
  <x:si>
    <x:t>JUNTA DE GOBIERNO DEL AYUNTAMIENTO DE TORREJÓN DE ARDOZ (MADRID)</x:t>
  </x:si>
  <x:si>
    <x:t>Servicio de impresión y edición de la revista municipal Plaza Mayor</x:t>
  </x:si>
  <x:si>
    <x:t>PA 22/2026</x:t>
  </x:si>
  <x:si>
    <x:t/>
  </x:si>
  <x:si>
    <x:t>2026006552</x:t>
  </x:si>
  <x:si>
    <x:t>CONSEJERÍA DELEGADA DE EXTREMADURA AVANTE SERVICIOS AVANZADOS A PYMES, S.L.U</x:t>
  </x:si>
  <x:si>
    <x:t>Contratación del servicio de diseño, montaje, aportación de material, mantenimiento y desmontaje del stand accesible para la promoción de productos extremeños en la FERIA FOODEX 2026</x:t>
  </x:si>
  <x:si>
    <x:t>EASP26 001</x:t>
  </x:si>
  <x:si>
    <x:t/>
  </x:si>
  <x:si>
    <x:t>Japón</x:t>
  </x:si>
  <x:si>
    <x:t>DOUE - Diario Oficial de la Unión Europea (S)</x:t>
  </x:si>
  <x:si>
    <x:t>2026006618</x:t>
  </x:si>
  <x:si>
    <x:t>AYUNTAMIENTO DE BARCELONA</x:t>
  </x:si>
  <x:si>
    <x:t>Dinamización de actividades en redes relacionadas con salud</x:t>
  </x:si>
  <x:si>
    <x:t>Anuncio de información previa</x:t>
  </x:si>
  <x:si>
    <x:t>No consta</x:t>
  </x:si>
  <x:si>
    <x:t>14</x:t>
  </x:si>
  <x:si>
    <x:t/>
  </x:si>
  <x:si>
    <x:t>2026006633</x:t>
  </x:si>
  <x:si>
    <x:t>CANAL SUR RADIO Y TELEVISION, S.A.</x:t>
  </x:si>
  <x:si>
    <x:t>Servicios de ENG y edición de noticias para la delegación de Canal Sur Radio y Televisión, S.A. en Madrid</x:t>
  </x:si>
  <x:si>
    <x:t>Anuncio de información previa Servicios de ENG y edición de noticias para la delegación de Canal Sur Radio y Televisión, S.A. en Madrid</x:t>
  </x:si>
  <x:si>
    <x:t>IVA Excluido.</x:t>
  </x:si>
  <x:si>
    <x:t/>
  </x:si>
  <x:si>
    <x:t>Ver pliegos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</x:si>
</x:sst>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4800.00</x:v>
      </x:c>
      <x:c r="J2" s="11" t="s">
        <x:v>25</x:v>
      </x:c>
      <x:c r="K2" s="11" t="s">
        <x:v>26</x:v>
      </x:c>
      <x:c r="L2" s="12" t="str">
        <x:f xml:space="preserve">HYPERLINK("https://contrataciondelestado.es/wps/poc?uri=deeplink:detalle_licitacion&amp;idEvl=KzJpCWCOBOfE6P%2FuLemXRw%3D%3D","contrataciondelestado.es/wps/poc?uri=deeplink:detalle_licitacion&amp;idEvl=KzJpCWCOBOfE6P%2FuLemXRw%3D%3D")</x:f>
        <x:v>contrataciondelestado.es/wps/poc?uri=deeplink:detalle_licitacion&amp;idEvl=KzJpCWCOBOfE6P%2FuLemXRw%3D%3D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HYPERLINK("https://www.infonalia.es/licitaciones0126/2026006092.pdf","www.infonalia.es/licitaciones0126/2026006092.pdf")</x:f>
        <x:v>www.infonalia.es/licitaciones0126/2026006092.pdf</x:v>
      </x:c>
    </x:row>
    <x:row r="3">
      <x:c r="A3" s="6" t="s">
        <x:v>17</x:v>
      </x:c>
      <x:c r="B3" s="6" t="s">
        <x:v>18</x:v>
      </x:c>
      <x:c r="C3" s="7" t="s">
        <x:v>31</x:v>
      </x:c>
      <x:c r="D3" s="8" t="s">
        <x:v>32</x:v>
      </x:c>
      <x:c r="E3" s="9" t="s">
        <x:v>21</x:v>
      </x:c>
      <x:c r="F3" s="6" t="s">
        <x:v>33</x:v>
      </x:c>
      <x:c r="G3" s="6" t="s">
        <x:v>34</x:v>
      </x:c>
      <x:c r="H3" s="6" t="s">
        <x:v>35</x:v>
      </x:c>
      <x:c r="I3" s="10" t="n">
        <x:v>1024000.00</x:v>
      </x:c>
      <x:c r="J3" s="11" t="s">
        <x:v>25</x:v>
      </x:c>
      <x:c r="K3" s="11" t="s">
        <x:v>26</x:v>
      </x:c>
      <x:c r="L3" s="12" t="str">
        <x:f xml:space="preserve">HYPERLINK("https://contractaciopublica.cat/ca/detall-publicacio/2f45fd48-d5ff-44aa-bdac-85f524ab872d/300525427","contractaciopublica.cat/ca/detall-publicacio/2f45fd48-d5ff-44aa-bdac-85f524ab872d/300525427")</x:f>
        <x:v>contractaciopublica.cat/ca/detall-publicacio/2f45fd48-d5ff-44aa-bdac-85f524ab872d/300525427</x:v>
      </x:c>
      <x:c r="M3" s="11" t="s">
        <x:v>27</x:v>
      </x:c>
      <x:c r="N3" s="13" t="s">
        <x:v>28</x:v>
      </x:c>
      <x:c r="O3" s="11" t="s">
        <x:v>36</x:v>
      </x:c>
      <x:c r="P3" s="11" t="s">
        <x:v>37</x:v>
      </x:c>
      <x:c r="Q3" s="14" t="str">
        <x:f xml:space="preserve">HYPERLINK("https://www.infonalia.es/licitaciones0126/2026006130.pdf","www.infonalia.es/licitaciones0126/2026006130.pdf")</x:f>
        <x:v>www.infonalia.es/licitaciones0126/2026006130.pdf</x:v>
      </x:c>
    </x:row>
    <x:row r="4">
      <x:c r="A4" s="6" t="s">
        <x:v>17</x:v>
      </x:c>
      <x:c r="B4" s="6" t="s">
        <x:v>18</x:v>
      </x:c>
      <x:c r="C4" s="7" t="s">
        <x:v>38</x:v>
      </x:c>
      <x:c r="D4" s="8" t="s">
        <x:v>39</x:v>
      </x:c>
      <x:c r="E4" s="9" t="s">
        <x:v>21</x:v>
      </x:c>
      <x:c r="F4" s="6" t="s">
        <x:v>40</x:v>
      </x:c>
      <x:c r="G4" s="6" t="s">
        <x:v>41</x:v>
      </x:c>
      <x:c r="H4" s="6" t="s">
        <x:v>42</x:v>
      </x:c>
      <x:c r="I4" s="10" t="n">
        <x:v>20601.65</x:v>
      </x:c>
      <x:c r="J4" s="11" t="s">
        <x:v>25</x:v>
      </x:c>
      <x:c r="K4" s="11" t="s">
        <x:v>26</x:v>
      </x:c>
      <x:c r="L4" s="12" t="str">
        <x:f xml:space="preserve">HYPERLINK("https://contrataciondelestado.es/wps/poc?uri=deeplink:detalle_licitacion&amp;idEvl=valTMQkjDXk7u6%2B%2FR7DUoA%3D%3D","contrataciondelestado.es/wps/poc?uri=deeplink:detalle_licitacion&amp;idEvl=valTMQkjDXk7u6%2B%2FR7DUoA%3D%3D")</x:f>
        <x:v>contrataciondelestado.es/wps/poc?uri=deeplink:detalle_licitacion&amp;idEvl=valTMQkjDXk7u6%2B%2FR7DUoA%3D%3D</x:v>
      </x:c>
      <x:c r="M4" s="11" t="s">
        <x:v>27</x:v>
      </x:c>
      <x:c r="N4" s="13" t="s">
        <x:v>28</x:v>
      </x:c>
      <x:c r="O4" s="11" t="s">
        <x:v>43</x:v>
      </x:c>
      <x:c r="P4" s="11" t="s">
        <x:v>44</x:v>
      </x:c>
      <x:c r="Q4" s="14" t="str">
        <x:f xml:space="preserve">HYPERLINK("https://www.infonalia.es/licitaciones0126/2026006234.pdf","www.infonalia.es/licitaciones0126/2026006234.pdf")</x:f>
        <x:v>www.infonalia.es/licitaciones0126/2026006234.pdf</x:v>
      </x:c>
    </x:row>
    <x:row r="5">
      <x:c r="A5" s="6" t="s">
        <x:v>17</x:v>
      </x:c>
      <x:c r="B5" s="6" t="s">
        <x:v>45</x:v>
      </x:c>
      <x:c r="C5" s="7" t="s">
        <x:v>46</x:v>
      </x:c>
      <x:c r="D5" s="8" t="s">
        <x:v>47</x:v>
      </x:c>
      <x:c r="E5" s="9" t="s">
        <x:v>21</x:v>
      </x:c>
      <x:c r="F5" s="6" t="s">
        <x:v>48</x:v>
      </x:c>
      <x:c r="G5" s="6" t="s">
        <x:v>49</x:v>
      </x:c>
      <x:c r="H5" s="6" t="s">
        <x:v>50</x:v>
      </x:c>
      <x:c r="I5" s="10" t="n">
        <x:v>14680.00</x:v>
      </x:c>
      <x:c r="J5" s="11" t="s">
        <x:v>25</x:v>
      </x:c>
      <x:c r="K5" s="11" t="s">
        <x:v>51</x:v>
      </x:c>
      <x:c r="L5" s="12" t="str">
        <x:f xml:space="preserve">HYPERLINK("https://licitacions.bcn.cat/licitacion/licitaciones/detalle?id=14494108","licitacions.bcn.cat/licitacion/licitaciones/detalle?id=14494108")</x:f>
        <x:v>licitacions.bcn.cat/licitacion/licitaciones/detalle?id=14494108</x:v>
      </x:c>
      <x:c r="M5" s="11" t="s">
        <x:v>27</x:v>
      </x:c>
      <x:c r="N5" s="13" t="s">
        <x:v>28</x:v>
      </x:c>
      <x:c r="O5" s="11" t="s">
        <x:v>52</x:v>
      </x:c>
      <x:c r="P5" s="11" t="s">
        <x:v>53</x:v>
      </x:c>
      <x:c r="Q5" s="14" t="str">
        <x:f xml:space="preserve">HYPERLINK("https://www.infonalia.es/licitaciones0126/2026006354.pdf","www.infonalia.es/licitaciones0126/2026006354.pdf")</x:f>
        <x:v>www.infonalia.es/licitaciones0126/2026006354.pdf</x:v>
      </x:c>
    </x:row>
    <x:row r="6">
      <x:c r="A6" s="6" t="s">
        <x:v>17</x:v>
      </x:c>
      <x:c r="B6" s="6" t="s">
        <x:v>54</x:v>
      </x:c>
      <x:c r="C6" s="7" t="s">
        <x:v>55</x:v>
      </x:c>
      <x:c r="D6" s="8" t="s">
        <x:v>56</x:v>
      </x:c>
      <x:c r="E6" s="9" t="s">
        <x:v>21</x:v>
      </x:c>
      <x:c r="F6" s="6" t="s">
        <x:v>57</x:v>
      </x:c>
      <x:c r="G6" s="6" t="s">
        <x:v>58</x:v>
      </x:c>
      <x:c r="H6" s="6" t="s">
        <x:v>59</x:v>
      </x:c>
      <x:c r="I6" s="10" t="n">
        <x:v>11960.00</x:v>
      </x:c>
      <x:c r="J6" s="11" t="s">
        <x:v>25</x:v>
      </x:c>
      <x:c r="K6" s="11" t="s">
        <x:v>60</x:v>
      </x:c>
      <x:c r="L6" s="12" t="str">
        <x:f xml:space="preserve">HYPERLINK("https://community.vortal.biz/public/?currentLanguage=es","community.vortal.biz/public/?currentLanguage=es")</x:f>
        <x:v>community.vortal.biz/public/?currentLanguage=es</x:v>
      </x:c>
      <x:c r="M6" s="11" t="s">
        <x:v>27</x:v>
      </x:c>
      <x:c r="N6" s="13" t="s">
        <x:v>28</x:v>
      </x:c>
      <x:c r="O6" s="11" t="s">
        <x:v>61</x:v>
      </x:c>
      <x:c r="P6" s="11" t="s">
        <x:v>30</x:v>
      </x:c>
      <x:c r="Q6" s="14" t="str">
        <x:f xml:space="preserve">HYPERLINK("https://www.infonalia.es/licitaciones0126/2026006363.pdf","www.infonalia.es/licitaciones0126/2026006363.pdf")</x:f>
        <x:v>www.infonalia.es/licitaciones0126/2026006363.pdf</x:v>
      </x:c>
    </x:row>
    <x:row r="7">
      <x:c r="A7" s="6" t="s">
        <x:v>17</x:v>
      </x:c>
      <x:c r="B7" s="6" t="s">
        <x:v>62</x:v>
      </x:c>
      <x:c r="C7" s="7" t="s">
        <x:v>63</x:v>
      </x:c>
      <x:c r="D7" s="8" t="s">
        <x:v>64</x:v>
      </x:c>
      <x:c r="E7" s="9" t="s">
        <x:v>21</x:v>
      </x:c>
      <x:c r="F7" s="6" t="s">
        <x:v>65</x:v>
      </x:c>
      <x:c r="G7" s="6" t="s">
        <x:v>66</x:v>
      </x:c>
      <x:c r="H7" s="6" t="s">
        <x:v>67</x:v>
      </x:c>
      <x:c r="I7" s="10" t="n">
        <x:v>11420.00</x:v>
      </x:c>
      <x:c r="J7" s="11" t="s">
        <x:v>68</x:v>
      </x:c>
      <x:c r="K7" s="11" t="s">
        <x:v>69</x:v>
      </x:c>
      <x:c r="L7" s="12" t="str">
        <x:f xml:space="preserve">HYPERLINK("https://contractaciopublica.cat/es/detall-publicacio/300669423","contractaciopublica.cat/es/detall-publicacio/300669423")</x:f>
        <x:v>contractaciopublica.cat/es/detall-publicacio/300669423</x:v>
      </x:c>
      <x:c r="M7" s="11" t="s">
        <x:v>27</x:v>
      </x:c>
      <x:c r="N7" s="13" t="s">
        <x:v>28</x:v>
      </x:c>
      <x:c r="O7" s="11" t="s">
        <x:v>70</x:v>
      </x:c>
      <x:c r="P7" s="11" t="s">
        <x:v>71</x:v>
      </x:c>
      <x:c r="Q7" s="14" t="str">
        <x:f xml:space="preserve">HYPERLINK("https://www.infonalia.es/licitaciones0126/2026006380.pdf","www.infonalia.es/licitaciones0126/2026006380.pdf")</x:f>
        <x:v>www.infonalia.es/licitaciones0126/2026006380.pdf</x:v>
      </x:c>
    </x:row>
    <x:row r="8">
      <x:c r="A8" s="6" t="s">
        <x:v>17</x:v>
      </x:c>
      <x:c r="B8" s="6" t="s">
        <x:v>62</x:v>
      </x:c>
      <x:c r="C8" s="7" t="s">
        <x:v>46</x:v>
      </x:c>
      <x:c r="D8" s="8" t="s">
        <x:v>72</x:v>
      </x:c>
      <x:c r="E8" s="9" t="s">
        <x:v>21</x:v>
      </x:c>
      <x:c r="F8" s="6" t="s">
        <x:v>73</x:v>
      </x:c>
      <x:c r="G8" s="6" t="s">
        <x:v>74</x:v>
      </x:c>
      <x:c r="H8" s="6" t="s">
        <x:v>75</x:v>
      </x:c>
      <x:c r="I8" s="10" t="n">
        <x:v>12829.60</x:v>
      </x:c>
      <x:c r="J8" s="11" t="s">
        <x:v>68</x:v>
      </x:c>
      <x:c r="K8" s="11" t="s">
        <x:v>76</x:v>
      </x:c>
      <x:c r="L8" s="12" t="str">
        <x:f xml:space="preserve">HYPERLINK("https://contractaciopublica.cat/es/detall-publicacio/300671536","contractaciopublica.cat/es/detall-publicacio/300671536")</x:f>
        <x:v>contractaciopublica.cat/es/detall-publicacio/300671536</x:v>
      </x:c>
      <x:c r="M8" s="11" t="s">
        <x:v>27</x:v>
      </x:c>
      <x:c r="N8" s="13" t="s">
        <x:v>28</x:v>
      </x:c>
      <x:c r="O8" s="11" t="s">
        <x:v>77</x:v>
      </x:c>
      <x:c r="P8" s="11" t="s">
        <x:v>78</x:v>
      </x:c>
      <x:c r="Q8" s="14" t="str">
        <x:f xml:space="preserve">HYPERLINK("https://www.infonalia.es/licitaciones0126/2026006381.pdf","www.infonalia.es/licitaciones0126/2026006381.pdf")</x:f>
        <x:v>www.infonalia.es/licitaciones0126/2026006381.pdf</x:v>
      </x:c>
    </x:row>
    <x:row r="9">
      <x:c r="A9" s="6" t="s">
        <x:v>17</x:v>
      </x:c>
      <x:c r="B9" s="6" t="s">
        <x:v>62</x:v>
      </x:c>
      <x:c r="C9" s="7" t="s">
        <x:v>46</x:v>
      </x:c>
      <x:c r="D9" s="8" t="s">
        <x:v>79</x:v>
      </x:c>
      <x:c r="E9" s="9" t="s">
        <x:v>21</x:v>
      </x:c>
      <x:c r="F9" s="6" t="s">
        <x:v>73</x:v>
      </x:c>
      <x:c r="G9" s="6" t="s">
        <x:v>80</x:v>
      </x:c>
      <x:c r="H9" s="6" t="s">
        <x:v>81</x:v>
      </x:c>
      <x:c r="I9" s="10" t="n">
        <x:v>12126.00</x:v>
      </x:c>
      <x:c r="J9" s="11" t="s">
        <x:v>68</x:v>
      </x:c>
      <x:c r="K9" s="11" t="s">
        <x:v>82</x:v>
      </x:c>
      <x:c r="L9" s="12" t="str">
        <x:f xml:space="preserve">HYPERLINK("https://contractaciopublica.cat/es/detall-publicacio/300671521","contractaciopublica.cat/es/detall-publicacio/300671521")</x:f>
        <x:v>contractaciopublica.cat/es/detall-publicacio/300671521</x:v>
      </x:c>
      <x:c r="M9" s="11" t="s">
        <x:v>27</x:v>
      </x:c>
      <x:c r="N9" s="13" t="s">
        <x:v>28</x:v>
      </x:c>
      <x:c r="O9" s="11" t="s">
        <x:v>83</x:v>
      </x:c>
      <x:c r="P9" s="11" t="s">
        <x:v>78</x:v>
      </x:c>
      <x:c r="Q9" s="14" t="str">
        <x:f xml:space="preserve">HYPERLINK("https://www.infonalia.es/licitaciones0126/2026006382.pdf","www.infonalia.es/licitaciones0126/2026006382.pdf")</x:f>
        <x:v>www.infonalia.es/licitaciones0126/2026006382.pdf</x:v>
      </x:c>
    </x:row>
    <x:row r="10">
      <x:c r="A10" s="6" t="s">
        <x:v>17</x:v>
      </x:c>
      <x:c r="B10" s="6" t="s">
        <x:v>18</x:v>
      </x:c>
      <x:c r="C10" s="7" t="s">
        <x:v>55</x:v>
      </x:c>
      <x:c r="D10" s="8" t="s">
        <x:v>84</x:v>
      </x:c>
      <x:c r="E10" s="9" t="s">
        <x:v>21</x:v>
      </x:c>
      <x:c r="F10" s="6" t="s">
        <x:v>85</x:v>
      </x:c>
      <x:c r="G10" s="6" t="s">
        <x:v>86</x:v>
      </x:c>
      <x:c r="H10" s="6" t="s">
        <x:v>87</x:v>
      </x:c>
      <x:c r="I10" s="10" t="n">
        <x:v>7500.00</x:v>
      </x:c>
      <x:c r="J10" s="11" t="s">
        <x:v>25</x:v>
      </x:c>
      <x:c r="K10" s="11" t="s">
        <x:v>26</x:v>
      </x:c>
      <x:c r="L10" s="12" t="str">
        <x:f xml:space="preserve">HYPERLINK("https://contrataciondelestado.es/wps/poc?uri=deeplink:detalle_licitacion&amp;idEvl=onzYQ2vZueFeKgd8LfVV9g%3D%3D","contrataciondelestado.es/wps/poc?uri=deeplink:detalle_licitacion&amp;idEvl=onzYQ2vZueFeKgd8LfVV9g%3D%3D")</x:f>
        <x:v>contrataciondelestado.es/wps/poc?uri=deeplink:detalle_licitacion&amp;idEvl=onzYQ2vZueFeKgd8LfVV9g%3D%3D</x:v>
      </x:c>
      <x:c r="M10" s="11" t="s">
        <x:v>27</x:v>
      </x:c>
      <x:c r="N10" s="13" t="s">
        <x:v>28</x:v>
      </x:c>
      <x:c r="O10" s="11" t="s">
        <x:v>88</x:v>
      </x:c>
      <x:c r="P10" s="11" t="s">
        <x:v>44</x:v>
      </x:c>
      <x:c r="Q10" s="14" t="str">
        <x:f xml:space="preserve">HYPERLINK("https://www.infonalia.es/licitaciones0126/2026006454.pdf","www.infonalia.es/licitaciones0126/2026006454.pdf")</x:f>
        <x:v>www.infonalia.es/licitaciones0126/2026006454.pdf</x:v>
      </x:c>
    </x:row>
    <x:row r="11">
      <x:c r="A11" s="6" t="s">
        <x:v>17</x:v>
      </x:c>
      <x:c r="B11" s="6" t="s">
        <x:v>18</x:v>
      </x:c>
      <x:c r="C11" s="7" t="s">
        <x:v>89</x:v>
      </x:c>
      <x:c r="D11" s="8" t="s">
        <x:v>90</x:v>
      </x:c>
      <x:c r="E11" s="9" t="s">
        <x:v>21</x:v>
      </x:c>
      <x:c r="F11" s="6" t="s">
        <x:v>91</x:v>
      </x:c>
      <x:c r="G11" s="6" t="s">
        <x:v>92</x:v>
      </x:c>
      <x:c r="H11" s="6" t="s">
        <x:v>93</x:v>
      </x:c>
      <x:c r="I11" s="10" t="n">
        <x:v>182788.50</x:v>
      </x:c>
      <x:c r="J11" s="11" t="s">
        <x:v>25</x:v>
      </x:c>
      <x:c r="K11" s="11" t="s">
        <x:v>26</x:v>
      </x:c>
      <x:c r="L11" s="12" t="str">
        <x:f xml:space="preserve">HYPERLINK("https://contrataciondelestado.es/wps/poc?uri=deeplink:detalle_licitacion&amp;idEvl=AO07GcMrxtk%2B1TMyIiZmzw%3D%3D","contrataciondelestado.es/wps/poc?uri=deeplink:detalle_licitacion&amp;idEvl=AO07GcMrxtk%2B1TMyIiZmzw%3D%3D")</x:f>
        <x:v>contrataciondelestado.es/wps/poc?uri=deeplink:detalle_licitacion&amp;idEvl=AO07GcMrxtk%2B1TMyIiZmzw%3D%3D</x:v>
      </x:c>
      <x:c r="M11" s="11" t="s">
        <x:v>27</x:v>
      </x:c>
      <x:c r="N11" s="13" t="s">
        <x:v>21</x:v>
      </x:c>
      <x:c r="O11" s="11" t="s">
        <x:v>94</x:v>
      </x:c>
      <x:c r="P11" s="11" t="s">
        <x:v>44</x:v>
      </x:c>
      <x:c r="Q11" s="14" t="str">
        <x:f xml:space="preserve">HYPERLINK("https://www.infonalia.es/licitaciones0126/2026006472.pdf","www.infonalia.es/licitaciones0126/2026006472.pdf")</x:f>
        <x:v>www.infonalia.es/licitaciones0126/2026006472.pdf</x:v>
      </x:c>
    </x:row>
    <x:row r="12">
      <x:c r="A12" s="6" t="s">
        <x:v>17</x:v>
      </x:c>
      <x:c r="B12" s="6" t="s">
        <x:v>18</x:v>
      </x:c>
      <x:c r="C12" s="7" t="s">
        <x:v>38</x:v>
      </x:c>
      <x:c r="D12" s="8" t="s">
        <x:v>95</x:v>
      </x:c>
      <x:c r="E12" s="9" t="s">
        <x:v>21</x:v>
      </x:c>
      <x:c r="F12" s="6" t="s">
        <x:v>96</x:v>
      </x:c>
      <x:c r="G12" s="6" t="s">
        <x:v>97</x:v>
      </x:c>
      <x:c r="H12" s="6" t="s">
        <x:v>98</x:v>
      </x:c>
      <x:c r="I12" s="10" t="n">
        <x:v>26446.28</x:v>
      </x:c>
      <x:c r="J12" s="11" t="s">
        <x:v>25</x:v>
      </x:c>
      <x:c r="K12" s="11" t="s">
        <x:v>26</x:v>
      </x:c>
      <x:c r="L12" s="12" t="str">
        <x:f xml:space="preserve">HYPERLINK("https://contrataciondelestado.es/wps/poc?uri=deeplink:detalle_licitacion&amp;idEvl=11erMMRtSS79pbnDwlaUlg%3D%3D","contrataciondelestado.es/wps/poc?uri=deeplink:detalle_licitacion&amp;idEvl=11erMMRtSS79pbnDwlaUlg%3D%3D")</x:f>
        <x:v>contrataciondelestado.es/wps/poc?uri=deeplink:detalle_licitacion&amp;idEvl=11erMMRtSS79pbnDwlaUlg%3D%3D</x:v>
      </x:c>
      <x:c r="M12" s="11" t="s">
        <x:v>27</x:v>
      </x:c>
      <x:c r="N12" s="13" t="s">
        <x:v>21</x:v>
      </x:c>
      <x:c r="O12" s="11" t="s">
        <x:v>99</x:v>
      </x:c>
      <x:c r="P12" s="11" t="s">
        <x:v>100</x:v>
      </x:c>
      <x:c r="Q12" s="14" t="str">
        <x:f xml:space="preserve">HYPERLINK("https://www.infonalia.es/licitaciones0126/2026006552.pdf","www.infonalia.es/licitaciones0126/2026006552.pdf")</x:f>
        <x:v>www.infonalia.es/licitaciones0126/2026006552.pdf</x:v>
      </x:c>
    </x:row>
    <x:row r="13">
      <x:c r="A13" s="6" t="s">
        <x:v>17</x:v>
      </x:c>
      <x:c r="B13" s="6" t="s">
        <x:v>101</x:v>
      </x:c>
      <x:c r="C13" s="7" t="s">
        <x:v>26</x:v>
      </x:c>
      <x:c r="D13" s="8" t="s">
        <x:v>102</x:v>
      </x:c>
      <x:c r="E13" s="9" t="s">
        <x:v>21</x:v>
      </x:c>
      <x:c r="F13" s="6" t="s">
        <x:v>103</x:v>
      </x:c>
      <x:c r="G13" s="6" t="s">
        <x:v>104</x:v>
      </x:c>
      <x:c r="H13" s="6" t="s">
        <x:v>105</x:v>
      </x:c>
      <x:c r="I13" s="10"/>
      <x:c r="J13" s="11" t="s">
        <x:v>106</x:v>
      </x:c>
      <x:c r="K13" s="11" t="s">
        <x:v>106</x:v>
      </x:c>
      <x:c r="L13" s="12" t="str">
        <x:f xml:space="preserve">HYPERLINK("https://","")</x:f>
        <x:v/>
      </x:c>
      <x:c r="M13" s="11" t="s">
        <x:v>107</x:v>
      </x:c>
      <x:c r="N13" s="13" t="s">
        <x:v>28</x:v>
      </x:c>
      <x:c r="O13" s="11" t="s">
        <x:v>108</x:v>
      </x:c>
      <x:c r="P13" s="11" t="s">
        <x:v>53</x:v>
      </x:c>
      <x:c r="Q13" s="14" t="str">
        <x:f xml:space="preserve">HYPERLINK("https://www.infonalia.es/licitaciones0126/2026006618.pdf","www.infonalia.es/licitaciones0126/2026006618.pdf")</x:f>
        <x:v>www.infonalia.es/licitaciones0126/2026006618.pdf</x:v>
      </x:c>
    </x:row>
    <x:row r="14">
      <x:c r="A14" s="6" t="s">
        <x:v>17</x:v>
      </x:c>
      <x:c r="B14" s="6" t="s">
        <x:v>101</x:v>
      </x:c>
      <x:c r="C14" s="7" t="s">
        <x:v>26</x:v>
      </x:c>
      <x:c r="D14" s="8" t="s">
        <x:v>109</x:v>
      </x:c>
      <x:c r="E14" s="9" t="s">
        <x:v>21</x:v>
      </x:c>
      <x:c r="F14" s="6" t="s">
        <x:v>110</x:v>
      </x:c>
      <x:c r="G14" s="6" t="s">
        <x:v>111</x:v>
      </x:c>
      <x:c r="H14" s="6" t="s">
        <x:v>112</x:v>
      </x:c>
      <x:c r="I14" s="10" t="n">
        <x:v>774000.00</x:v>
      </x:c>
      <x:c r="J14" s="11" t="s">
        <x:v>113</x:v>
      </x:c>
      <x:c r="K14" s="11" t="s">
        <x:v>106</x:v>
      </x:c>
      <x:c r="L14" s="12" t="str">
        <x:f xml:space="preserve">HYPERLINK("https://www.juntadeandalucia.es/contratacion","www.juntadeandalucia.es/contratacion")</x:f>
        <x:v>www.juntadeandalucia.es/contratacion</x:v>
      </x:c>
      <x:c r="M14" s="11" t="s">
        <x:v>107</x:v>
      </x:c>
      <x:c r="N14" s="13" t="s">
        <x:v>28</x:v>
      </x:c>
      <x:c r="O14" s="11" t="s">
        <x:v>114</x:v>
      </x:c>
      <x:c r="P14" s="11" t="s">
        <x:v>115</x:v>
      </x:c>
      <x:c r="Q14" s="14" t="str">
        <x:f xml:space="preserve">HYPERLINK("https://www.infonalia.es/licitaciones0126/2026006633.pdf","www.infonalia.es/licitaciones0126/2026006633.pdf")</x:f>
        <x:v>www.infonalia.es/licitaciones0126/2026006633.pdf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