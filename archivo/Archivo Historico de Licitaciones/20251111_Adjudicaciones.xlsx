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<x:sst xmlns:x="http://schemas.openxmlformats.org/spreadsheetml/2006/main" count="11" uniqueCount="11">
  <x:si>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</x:si>
  <x:si>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</x:si>
  <x:si>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</x:si>
  <x:si>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</x:si>
  <x:si>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</x:si>
  <x:si>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</x:si>
  <x:si>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</x:si>
  <x:si>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</x:si>
  <x:si>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</x:si>
  <x:si>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</x:si>
  <x:si>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</x:si>
  <x:si>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</x:si>
  <x:si>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KOSMO JOY EVENTUS S.L</x:t>
  </x:si>
  <x:si>
    <x:t>11/11/2025 0:00:00</x:t>
  </x:si>
  <x:si>
    <x:t>25220736</x:t>
  </x:si>
  <x:si>
    <x:t>AYUNTAMIENTO DE PALS (GIRONA)</x:t>
  </x:si>
  <x:si>
    <x:t>Servicio de coordinación, asesoramiento y gestión de la «Muestra anual del Vino en Pals»</x:t>
  </x:si>
  <x:si>
    <x:t>1243/2025</x:t>
  </x:si>
  <x:si>
    <x:t>Girona</x:t>
  </x:si>
  <x:si>
    <x:t>Ver detalle de la adjudicación</x:t>
  </x:si>
  <x:si>
    <x:t>SOLUCIONES CREATIVAS DIGITALES, S.L</x:t>
  </x:si>
  <x:si>
    <x:t>25220754</x:t>
  </x:si>
  <x:si>
    <x:t>MINISTERIO PARA LA TRANSICIÓN ECOLÓGICA Y EL RETO DEMOGRÁFICO. PRESIDENCIA DE LA CONFEDERACIÓN HIDROGRÁFICA DEL EBRO</x:t>
  </x:si>
  <x:si>
    <x:t>Contratación de los servicios de fabricación, transporte, montaje, desmontaje y mantenimiento para la exposición temporal itinerante del Centenario de la Confederación Hidrográfica del Ebro. 2025-2027</x:t>
  </x:si>
  <x:si>
    <x:t>096/25-S</x:t>
  </x:si>
  <x:si>
    <x:t>Cantabria, Burgos, La Rioja, Álava, Navarra, Lleida, Huesca y Tarragona</x:t>
  </x:si>
  <x:si>
    <x:t>TANDEM PROJECTS SL</x:t>
  </x:si>
  <x:si>
    <x:t>25220773</x:t>
  </x:si>
  <x:si>
    <x:t>REACTIVACIÓ BADALONA, SA.</x:t>
  </x:si>
  <x:si>
    <x:t>Diseño, producción, construcción, montaje, mantenimiento, desmontaje, producción de los contenidos audiovisuales, comunicación y programa de actividades del stand ferial de Badalona en la feria internacional de Turismo que se celebra en Madrid para la edición de 2026” de REACTIVACIÓN BADALONA, S.A.,Diseño, producción, construcción, montaje, mantenimiento, desmontaje ferial de Badalona en la feria internacional de Turismo que se celebra en Madrid para la edición de 2026” de REACTIVACIÓN BADALONA, S.A.,Diseño, producción, construcción, montaje, mantenimiento, desmontaje, producción de los contenidos audiovisuales, comunicación y programa de actividades del stand ferial de Badalona en la feria internacional de Tur2 que se celebra BADALONA, S.A.,Diseño, producción, construcción, montaje, mantenimiento, desmontaje, producción de los contenidos audiovisuales, comunicación y programa de actividades del stand ferial de Badalona en la feria internacional de Turismo que se celebra en Madrid para la edición de 2026” de REACTIVACIÓN BADALONA, S.A.,Diseño, producción, programa de actividades del stand ferial de Badalona en la feria internacional de Turismo que se celebra en Madrid para la edición de 2026” de REACTIVACIÓN BADALONA, S.A.,Diseño, producción, construcción, montaje, mantenimiento, desmontaje, producción de los contenidos audiovisuales, comunicación y programa de actividades del stand ferial de Madrid 2026” de REACTIVACIÓN BADALONA, S.A.,Diseño, producción, construcción, montaje, mantenimiento, desmontaje, producción de los contenidos audiovisuales, comunicación y programa de actividades del stand ferial de Badalona en la feria internacional de Turismo que se celebra en Madrid para la edición de 2026” de REACTIVACIÓN</x:t>
  </x:si>
  <x:si>
    <x:t>PE193-25</x:t>
  </x:si>
  <x:si>
    <x:t>Madrid</x:t>
  </x:si>
  <x:si>
    <x:t>NIVELL PUBLICITARI DIGITAL S.L</x:t>
  </x:si>
  <x:si>
    <x:t>25220780</x:t>
  </x:si>
  <x:si>
    <x:t>FUNDACIÓ LA MARATÓ DE TV3</x:t>
  </x:si>
  <x:si>
    <x:t>Contratación del servicio de producción, instalación y retirada de banderolas publicitarias en ciudades y pueblos de Catalunya de la edición 2025 de la Marató de 3Cat. En caso de que las empresas licitadoras quieran solicitar las muestras de creatividad para presentar su oferta, tendrán que hacer una petición expresa a la dirección de correo electrónico administracioiserveiscompres@3cat.cat adjuntando una declaración de confidencialidad y la fotocopia del DNI de la persona que la firma, antes del día 21 de octubre de 2025.</x:t>
  </x:si>
  <x:si>
    <x:t>2510MS05</x:t>
  </x:si>
  <x:si>
    <x:t>Catalunya</x:t>
  </x:si>
  <x:si>
    <x:t>SHEILA DOBÓN STUDIO</x:t>
  </x:si>
  <x:si>
    <x:t>25220784</x:t>
  </x:si>
  <x:si>
    <x:t>GENERALITAT DE CATALUNYA. DEPARTAMENTO DE EDUCACIÓN Y FORMACIÓN PROFESIONAL</x:t>
  </x:si>
  <x:si>
    <x:t>Tareas de diseño y maquetación y diferentes tareas de edición y accesibilidad de las pruebas libres para la obtención del título de graduado/a en educación secundaria obligatoria y del certificado de formación instrumental para personas mayores de 18 años, para el año 2026, que se aplicarán a las dos convocatorias, marzo y noviembre de 2026.</x:t>
  </x:si>
  <x:si>
    <x:t>ED-2026-4</x:t>
  </x:si>
  <x:si>
    <x:t>VISUAL IT NETWORKS S.L</x:t>
  </x:si>
  <x:si>
    <x:t>25221127</x:t>
  </x:si>
  <x:si>
    <x:t>JUNTA DE GOBIERNO LOCAL DEL AYUNTAMIENTO DE LAS REGUERAS (ASTURIAS)</x:t>
  </x:si>
  <x:si>
    <x:t>Servicio de producción y entrega de los contenidos digitales que formarán parte de la experiencia museográfica del proyecto de virtualización de hallazgos arqueológicos del yacimiento de la Villa Romana de La Estaca, en el concejo de Las Regueras.</x:t>
  </x:si>
  <x:si>
    <x:t>CNT/2025/43</x:t>
  </x:si>
  <x:si>
    <x:t>Asturias</x:t>
  </x:si>
  <x:si>
    <x:t>LOTE 2 INICIATIVES EVENTS SL</x:t>
  </x:si>
  <x:si>
    <x:t>25221220</x:t>
  </x:si>
  <x:si>
    <x:t>GENERALITAT DE CATALUNYA. DEPARTAMENTO DE UNIÓN EUROPEA Y ACCIÓN EXTERIOR</x:t>
  </x:si>
  <x:si>
    <x:t>Servicio de apoyo a la comunicación (Lote 1) y gestión técnica de eventos (Lote 2) del Departamento de Unión Europea y Acción Exterior</x:t>
  </x:si>
  <x:si>
    <x:t>EXI-2026-5</x:t>
  </x:si>
  <x:si>
    <x:t>ELOI BURRIEL AUMEDES</x:t>
  </x:si>
  <x:si>
    <x:t>25221221</x:t>
  </x:si>
  <x:si>
    <x:t>AYUNTAMIENTO DE GRANOLLERS (BARCELONA)</x:t>
  </x:si>
  <x:si>
    <x:t>Servicio de ideación y desarrollo de las campañas para promover el ahorro energético y la confortabilidad térmica en los equipamientos municipales de Granollers. Idear y desarrollar las campañas para promover el ahorro energético y la confortabilidad térmica en los equipamientos municipales, de acuerdo con la metodología detallada en el pliego de prescripciones técnicas</x:t>
  </x:si>
  <x:si>
    <x:t>2025/041 (60/2025/CONT)</x:t>
  </x:si>
  <x:si>
    <x:t>Barcelona</x:t>
  </x:si>
  <x:si>
    <x:t>FUNDACIO PAU CASALS</x:t>
  </x:si>
  <x:si>
    <x:t>25221317</x:t>
  </x:si>
  <x:si>
    <x:t>MINISTERIO DE TRANSPORTES Y MOVILIDAD SOSTENIBLE. PRESIDENCIA DE LA AUTORIDAD PORTUARIA DE TARRAGONA</x:t>
  </x:si>
  <x:si>
    <x:t>Servicio de Patrocinio de la Fundacio Pau Casals</x:t>
  </x:si>
  <x:si>
    <x:t>2025_042SE</x:t>
  </x:si>
  <x:si>
    <x:t>Tarragona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</x:si>
</x:sst>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HYPERLINK("https://www.infonalia.es/adjudicaciones1125/25220736.pdf","www.infonalia.es/adjudicaciones1125/25220736.pdf")</x:f>
        <x:v>www.infonalia.es/adjudicaciones1125/25220736.pdf</x:v>
      </x:c>
      <x:c r="E2" s="8" t="s">
        <x:v>14</x:v>
      </x:c>
      <x:c r="F2" s="6" t="s">
        <x:v>15</x:v>
      </x:c>
      <x:c r="G2" s="6" t="s">
        <x:v>16</x:v>
      </x:c>
      <x:c r="H2" s="6" t="s">
        <x:v>17</x:v>
      </x:c>
      <x:c r="I2" s="6" t="s">
        <x:v>18</x:v>
      </x:c>
      <x:c r="J2" s="9" t="s">
        <x:v>19</x:v>
      </x:c>
      <x:c r="K2" s="9" t="n">
        <x:v>2000.00</x:v>
      </x:c>
    </x:row>
    <x:row r="3">
      <x:c r="A3" s="6" t="s">
        <x:v>11</x:v>
      </x:c>
      <x:c r="B3" s="6" t="s">
        <x:v>20</x:v>
      </x:c>
      <x:c r="C3" s="6" t="s">
        <x:v>13</x:v>
      </x:c>
      <x:c r="D3" s="7" t="str">
        <x:f xml:space="preserve">HYPERLINK("https://www.infonalia.es/adjudicaciones1125/25220754.pdf","www.infonalia.es/adjudicaciones1125/25220754.pdf")</x:f>
        <x:v>www.infonalia.es/adjudicaciones1125/25220754.pdf</x:v>
      </x:c>
      <x:c r="E3" s="8" t="s">
        <x:v>21</x:v>
      </x:c>
      <x:c r="F3" s="6" t="s">
        <x:v>22</x:v>
      </x:c>
      <x:c r="G3" s="6" t="s">
        <x:v>23</x:v>
      </x:c>
      <x:c r="H3" s="6" t="s">
        <x:v>24</x:v>
      </x:c>
      <x:c r="I3" s="6" t="s">
        <x:v>25</x:v>
      </x:c>
      <x:c r="J3" s="9" t="n">
        <x:v>87837.80</x:v>
      </x:c>
      <x:c r="K3" s="9" t="n">
        <x:v>107644.07</x:v>
      </x:c>
    </x:row>
    <x:row r="4">
      <x:c r="A4" s="6" t="s">
        <x:v>11</x:v>
      </x:c>
      <x:c r="B4" s="6" t="s">
        <x:v>26</x:v>
      </x:c>
      <x:c r="C4" s="6" t="s">
        <x:v>13</x:v>
      </x:c>
      <x:c r="D4" s="7" t="str">
        <x:f xml:space="preserve">HYPERLINK("https://www.infonalia.es/adjudicaciones1125/25220773.pdf","www.infonalia.es/adjudicaciones1125/25220773.pdf")</x:f>
        <x:v>www.infonalia.es/adjudicaciones1125/25220773.pdf</x:v>
      </x:c>
      <x:c r="E4" s="8" t="s">
        <x:v>27</x:v>
      </x:c>
      <x:c r="F4" s="6" t="s">
        <x:v>28</x:v>
      </x:c>
      <x:c r="G4" s="6" t="s">
        <x:v>29</x:v>
      </x:c>
      <x:c r="H4" s="6" t="s">
        <x:v>30</x:v>
      </x:c>
      <x:c r="I4" s="6" t="s">
        <x:v>31</x:v>
      </x:c>
      <x:c r="J4" s="9" t="s">
        <x:v>19</x:v>
      </x:c>
      <x:c r="K4" s="9" t="n">
        <x:v>220500.51</x:v>
      </x:c>
    </x:row>
    <x:row r="5">
      <x:c r="A5" s="6" t="s">
        <x:v>11</x:v>
      </x:c>
      <x:c r="B5" s="6" t="s">
        <x:v>32</x:v>
      </x:c>
      <x:c r="C5" s="6" t="s">
        <x:v>13</x:v>
      </x:c>
      <x:c r="D5" s="7" t="str">
        <x:f xml:space="preserve">HYPERLINK("https://www.infonalia.es/adjudicaciones1125/25220780.pdf","www.infonalia.es/adjudicaciones1125/25220780.pdf")</x:f>
        <x:v>www.infonalia.es/adjudicaciones1125/25220780.pdf</x:v>
      </x:c>
      <x:c r="E5" s="8" t="s">
        <x:v>33</x:v>
      </x:c>
      <x:c r="F5" s="6" t="s">
        <x:v>34</x:v>
      </x:c>
      <x:c r="G5" s="6" t="s">
        <x:v>35</x:v>
      </x:c>
      <x:c r="H5" s="6" t="s">
        <x:v>36</x:v>
      </x:c>
      <x:c r="I5" s="6" t="s">
        <x:v>37</x:v>
      </x:c>
      <x:c r="J5" s="9" t="s">
        <x:v>19</x:v>
      </x:c>
      <x:c r="K5" s="9" t="n">
        <x:v>45000.00</x:v>
      </x:c>
    </x:row>
    <x:row r="6">
      <x:c r="A6" s="6" t="s">
        <x:v>11</x:v>
      </x:c>
      <x:c r="B6" s="6" t="s">
        <x:v>38</x:v>
      </x:c>
      <x:c r="C6" s="6" t="s">
        <x:v>13</x:v>
      </x:c>
      <x:c r="D6" s="7" t="str">
        <x:f xml:space="preserve">HYPERLINK("https://www.infonalia.es/adjudicaciones1125/25220784.pdf","www.infonalia.es/adjudicaciones1125/25220784.pdf")</x:f>
        <x:v>www.infonalia.es/adjudicaciones1125/25220784.pdf</x:v>
      </x:c>
      <x:c r="E6" s="8" t="s">
        <x:v>39</x:v>
      </x:c>
      <x:c r="F6" s="6" t="s">
        <x:v>40</x:v>
      </x:c>
      <x:c r="G6" s="6" t="s">
        <x:v>41</x:v>
      </x:c>
      <x:c r="H6" s="6" t="s">
        <x:v>42</x:v>
      </x:c>
      <x:c r="I6" s="6" t="s">
        <x:v>37</x:v>
      </x:c>
      <x:c r="J6" s="9" t="s">
        <x:v>19</x:v>
      </x:c>
      <x:c r="K6" s="9" t="n">
        <x:v>15833.00</x:v>
      </x:c>
    </x:row>
    <x:row r="7">
      <x:c r="A7" s="6" t="s">
        <x:v>11</x:v>
      </x:c>
      <x:c r="B7" s="6" t="s">
        <x:v>43</x:v>
      </x:c>
      <x:c r="C7" s="6" t="s">
        <x:v>13</x:v>
      </x:c>
      <x:c r="D7" s="7" t="str">
        <x:f xml:space="preserve">HYPERLINK("https://www.infonalia.es/adjudicaciones1125/25221127.pdf","www.infonalia.es/adjudicaciones1125/25221127.pdf")</x:f>
        <x:v>www.infonalia.es/adjudicaciones1125/25221127.pdf</x:v>
      </x:c>
      <x:c r="E7" s="8" t="s">
        <x:v>44</x:v>
      </x:c>
      <x:c r="F7" s="6" t="s">
        <x:v>45</x:v>
      </x:c>
      <x:c r="G7" s="6" t="s">
        <x:v>46</x:v>
      </x:c>
      <x:c r="H7" s="6" t="s">
        <x:v>47</x:v>
      </x:c>
      <x:c r="I7" s="6" t="s">
        <x:v>48</x:v>
      </x:c>
      <x:c r="J7" s="9" t="n">
        <x:v>49000.00</x:v>
      </x:c>
      <x:c r="K7" s="9" t="n">
        <x:v>56000.00</x:v>
      </x:c>
    </x:row>
    <x:row r="8">
      <x:c r="A8" s="6" t="s">
        <x:v>11</x:v>
      </x:c>
      <x:c r="B8" s="6" t="s">
        <x:v>49</x:v>
      </x:c>
      <x:c r="C8" s="6" t="s">
        <x:v>13</x:v>
      </x:c>
      <x:c r="D8" s="7" t="str">
        <x:f xml:space="preserve">HYPERLINK("https://www.infonalia.es/adjudicaciones1125/25221220.pdf","www.infonalia.es/adjudicaciones1125/25221220.pdf")</x:f>
        <x:v>www.infonalia.es/adjudicaciones1125/25221220.pdf</x:v>
      </x:c>
      <x:c r="E8" s="8" t="s">
        <x:v>50</x:v>
      </x:c>
      <x:c r="F8" s="6" t="s">
        <x:v>51</x:v>
      </x:c>
      <x:c r="G8" s="6" t="s">
        <x:v>52</x:v>
      </x:c>
      <x:c r="H8" s="6" t="s">
        <x:v>53</x:v>
      </x:c>
      <x:c r="I8" s="6" t="s">
        <x:v>37</x:v>
      </x:c>
      <x:c r="J8" s="9" t="n">
        <x:v>100000.00</x:v>
      </x:c>
      <x:c r="K8" s="9" t="n">
        <x:v>100000.00</x:v>
      </x:c>
    </x:row>
    <x:row r="9">
      <x:c r="A9" s="6" t="s">
        <x:v>11</x:v>
      </x:c>
      <x:c r="B9" s="6" t="s">
        <x:v>54</x:v>
      </x:c>
      <x:c r="C9" s="6" t="s">
        <x:v>13</x:v>
      </x:c>
      <x:c r="D9" s="7" t="str">
        <x:f xml:space="preserve">HYPERLINK("https://www.infonalia.es/adjudicaciones1125/25221221.pdf","www.infonalia.es/adjudicaciones1125/25221221.pdf")</x:f>
        <x:v>www.infonalia.es/adjudicaciones1125/25221221.pdf</x:v>
      </x:c>
      <x:c r="E9" s="8" t="s">
        <x:v>55</x:v>
      </x:c>
      <x:c r="F9" s="6" t="s">
        <x:v>56</x:v>
      </x:c>
      <x:c r="G9" s="6" t="s">
        <x:v>57</x:v>
      </x:c>
      <x:c r="H9" s="6" t="s">
        <x:v>58</x:v>
      </x:c>
      <x:c r="I9" s="6" t="s">
        <x:v>59</x:v>
      </x:c>
      <x:c r="J9" s="9" t="n">
        <x:v>15000.00</x:v>
      </x:c>
      <x:c r="K9" s="9" t="n">
        <x:v>15000.00</x:v>
      </x:c>
    </x:row>
    <x:row r="10">
      <x:c r="A10" s="6" t="s">
        <x:v>11</x:v>
      </x:c>
      <x:c r="B10" s="6" t="s">
        <x:v>60</x:v>
      </x:c>
      <x:c r="C10" s="6" t="s">
        <x:v>13</x:v>
      </x:c>
      <x:c r="D10" s="7" t="str">
        <x:f xml:space="preserve">HYPERLINK("https://www.infonalia.es/adjudicaciones1125/25221317.pdf","www.infonalia.es/adjudicaciones1125/25221317.pdf")</x:f>
        <x:v>www.infonalia.es/adjudicaciones1125/25221317.pdf</x:v>
      </x:c>
      <x:c r="E10" s="8" t="s">
        <x:v>61</x:v>
      </x:c>
      <x:c r="F10" s="6" t="s">
        <x:v>62</x:v>
      </x:c>
      <x:c r="G10" s="6" t="s">
        <x:v>63</x:v>
      </x:c>
      <x:c r="H10" s="6" t="s">
        <x:v>64</x:v>
      </x:c>
      <x:c r="I10" s="6" t="s">
        <x:v>65</x:v>
      </x:c>
      <x:c r="J10" s="9" t="n">
        <x:v>19834.71</x:v>
      </x:c>
      <x:c r="K10" s="9" t="n">
        <x:v>24000.00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