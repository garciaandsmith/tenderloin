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<x:sst xmlns:x="http://schemas.openxmlformats.org/spreadsheetml/2006/main" count="17" uniqueCount="17">
  <x:si>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</x:si>
  <x:si>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</x:si>
  <x:si>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</x:si>
  <x:si>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</x:si>
  <x:si>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</x:si>
  <x:si>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</x:si>
  <x:si>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</x:si>
  <x:si>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</x:si>
  <x:si>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</x:si>
  <x:si>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</x:si>
  <x:si>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</x:si>
  <x:si>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</x:si>
  <x:si>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</x:si>
  <x:si>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</x:si>
  <x:si>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</x:si>
  <x:si>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</x:si>
  <x:si>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</x:si>
  <x:si>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</x:si>
  <x:si>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IFEMA - Institución Ferial de Madrid</x:t>
  </x:si>
  <x:si>
    <x:t>14/01/2026</x:t>
  </x:si>
  <x:si>
    <x:t>2025181757</x:t>
  </x:si>
  <x:si>
    <x:t>24/12/2025</x:t>
  </x:si>
  <x:si>
    <x:t>IFEMA - INSTITUCIÓN FERIAL DE MADRID</x:t>
  </x:si>
  <x:si>
    <x:t>Servicio de mantenimiento de los ascensores, montacargas, escaleras mecánicas y atención a eventos
 del palacio municipal de Ifema Madrid
</x:t>
  </x:si>
  <x:si>
    <x:t>25/233</x:t>
  </x:si>
  <x:si>
    <x:t>Importe sin impuestos</x:t>
  </x:si>
  <x:si>
    <x:t/>
  </x:si>
  <x:si>
    <x:t>-----</x:t>
  </x:si>
  <x:si>
    <x:t>23/12/2025</x:t>
  </x:si>
  <x:si>
    <x:t/>
  </x:si>
  <x:si>
    <x:t>Madrid</x:t>
  </x:si>
  <x:si>
    <x:t>2025181758</x:t>
  </x:si>
  <x:si>
    <x:t>Servicio de agencia creativa para el desarrollo de posicionamiento y la plataforma creativa que sitúe a Madrid como destino turístico
 de alto valor en mercado de largo radio.</x:t>
  </x:si>
  <x:si>
    <x:t>25/234</x:t>
  </x:si>
  <x:si>
    <x:t/>
  </x:si>
  <x:si>
    <x:t>22/12/2025</x:t>
  </x:si>
  <x:si>
    <x:t/>
  </x:si>
  <x:si>
    <x:t>2025181759</x:t>
  </x:si>
  <x:si>
    <x:t>Servicio de agencia de medios para el diseño e Implementación de un plan de medios internacional en
 Los mercados prioritarios: Asia, Estados Unidos y
 Canadá, Latinoamérica y Oriente Medio.
</x:t>
  </x:si>
  <x:si>
    <x:t>25/235</x:t>
  </x:si>
  <x:si>
    <x:t/>
  </x:si>
  <x:si>
    <x:t/>
  </x:si>
  <x:si>
    <x:t>2025181765</x:t>
  </x:si>
  <x:si>
    <x:t>Grabación y producción de audiovisual para MERCEDES BENZ FASHION WEEK MADRID</x:t>
  </x:si>
  <x:si>
    <x:t>25/188</x:t>
  </x:si>
  <x:si>
    <x:t/>
  </x:si>
  <x:si>
    <x:t/>
  </x:si>
  <x:si>
    <x:t>Catalunya - Plataforma de Contratación</x:t>
  </x:si>
  <x:si>
    <x:t>16/01/2026</x:t>
  </x:si>
  <x:si>
    <x:t>2025181886</x:t>
  </x:si>
  <x:si>
    <x:t>AGÈNCIA CATALANA DE TURISME</x:t>
  </x:si>
  <x:si>
    <x:t>Servicio de promoción del enoturismo a través de las Rutas del Vino de Cataluña, en el marco del Plan de Recuperación, Transformación y Resiliencia, financiado por la Unión Europea con los fondos Next Generation EU. Lote 1 Estructuración de producto Rutas del Vino a nivel de Cataluña, lote 2 Elaboración de contenidos sobre las Rutas del Vino de Cataluña para poder promocionarlas, lote 3 Puesta en valor de las Rutas del Vino de Cataluña para sensibilizar a residentes y turistas.</x:t>
  </x:si>
  <x:si>
    <x:t>ACT-2026-8</x:t>
  </x:si>
  <x:si>
    <x:t>IVA excuido</x:t>
  </x:si>
  <x:si>
    <x:t/>
  </x:si>
  <x:si>
    <x:t/>
  </x:si>
  <x:si>
    <x:t>Catalunya</x:t>
  </x:si>
  <x:si>
    <x:t>21/01/2026</x:t>
  </x:si>
  <x:si>
    <x:t>2025181918</x:t>
  </x:si>
  <x:si>
    <x:t>AYUNTAMIENTO DE BARCELONA. GERENCIA DE ÁREA DE ECONOMÍA, RECURSOS Y TRANSFORMACIÓN DIGITAL</x:t>
  </x:si>
  <x:si>
    <x:t>Acuerdo marco inserciones publicitarias</x:t>
  </x:si>
  <x:si>
    <x:t>001/25001249</x:t>
  </x:si>
  <x:si>
    <x:t/>
  </x:si>
  <x:si>
    <x:t/>
  </x:si>
  <x:si>
    <x:t>Barcelona</x:t>
  </x:si>
  <x:si>
    <x:t>Plataforma de Contratación del Estado</x:t>
  </x:si>
  <x:si>
    <x:t>2025181954</x:t>
  </x:si>
  <x:si>
    <x:t>DIRECCIÓN DEL INSTITUTO NACIONAL DE GESTIÓN SANITARIA (INGESA)</x:t>
  </x:si>
  <x:si>
    <x:t>Implementación integral de un sistema de información económico-financiera y logística con destino a los centros del Instituto Nacional de Gestión Sanitaria (INGESA) [Lote 01: Servicios de Implantación, Gestión, Soporte y Mantenimiento - Lote 02: Oficina Técnica]
</x:t>
  </x:si>
  <x:si>
    <x:t>PA 2026/001 ANUNCIO PREVIO</x:t>
  </x:si>
  <x:si>
    <x:t>No consta</x:t>
  </x:si>
  <x:si>
    <x:t/>
  </x:si>
  <x:si>
    <x:t>30/12/2025</x:t>
  </x:si>
  <x:si>
    <x:t>2025181968</x:t>
  </x:si>
  <x:si>
    <x:t>COMISIÓN DELEGADA DE LA FUNDACIÓN PARA LA INVESTIGACIÓN BIOMÉDICA DEL HOSPITAL UNIVERSITARIO PUERTA DE HIERRO - MAJADAHONDA</x:t>
  </x:si>
  <x:si>
    <x:t>Servicios de promoción, comercialización, realización, diseño, producción y personalización para congreso</x:t>
  </x:si>
  <x:si>
    <x:t>011-2025/11</x:t>
  </x:si>
  <x:si>
    <x:t/>
  </x:si>
  <x:si>
    <x:t>2025181983</x:t>
  </x:si>
  <x:si>
    <x:t>CONSEJERÍA DE PRESIDENCIA, RETO DEMOGRÁFICO, IGUALDAD Y TURISMO DEL PRINCIPADO DE ASTURIAS</x:t>
  </x:si>
  <x:si>
    <x:t>Servicios de creatividad y planificación de medios para una campaña de publicidad sobre las deducciones fiscales autonómicas a las que se pueden acoger los ciudadanos de la Comunidad Autónoma durante las campañas de la renta 2025 y 2026. Lote 1: Creatividad, producción y estrategia de despliegue. Lote 2: Plan de medios.</x:t>
  </x:si>
  <x:si>
    <x:t>2025001022</x:t>
  </x:si>
  <x:si>
    <x:t/>
  </x:si>
  <x:si>
    <x:t>Asturias</x:t>
  </x:si>
  <x:si>
    <x:t>19/01/2026</x:t>
  </x:si>
  <x:si>
    <x:t>2025182008</x:t>
  </x:si>
  <x:si>
    <x:t>MINISTERIO DE DEFENSA. CONSEJERO DELEGADO DE INGENIERÍA DE SISTEMAS PARA LA DEFENSA DE ESPAÑA S.A., S.M.E. Y M.P.</x:t>
  </x:si>
  <x:si>
    <x:t>Contratación de servicios de apoyo a la comunicación audiovisual del área de información y captación del Ministerios de Defensa</x:t>
  </x:si>
  <x:si>
    <x:t>2025-01934</x:t>
  </x:si>
  <x:si>
    <x:t/>
  </x:si>
  <x:si>
    <x:t>DOUE - Diario Oficial de la Unión Europea (S)</x:t>
  </x:si>
  <x:si>
    <x:t>2025182057</x:t>
  </x:si>
  <x:si>
    <x:t>EIT URBAN MOBILITY</x:t>
  </x:si>
  <x:si>
    <x:t>Convocatoria de propuestas para Agencia de Marketing Digital para Medios de Pago y Apoyo a la Visibilidad Orgánica 26-28
. Mediante el presente procedimiento de contratación, EIT Urban Mobility KIC LE (en adelante, “EIT Urban Mobility” o “EIT UM”) busca una agencia o profesional independiente de marketing digital para mejorar nuestra presencia online y promocionar nuestra diversa gama de servicios y actividades mediante publicidad digital de pago. El procedimiento de contratación se estructura en dos lotes distintos e independientes, cada uno con un alcance de trabajo y un presupuesto asignado diferentes: Lote 1 – Apoyo a marketing digital corporativo de pago: cubre los servicios de marketing digital de pago que respaldan la marca corporativa, los servicios transversales y las actividades organizativas de EIT Urban Mobility. Lote 2 – Movilidad Urbana Explicada (en adelante, “UMX”):</x:t>
  </x:si>
  <x:si>
    <x:t>247</x:t>
  </x:si>
  <x:si>
    <x:t/>
  </x:si>
  <x:si>
    <x:t>2025182063</x:t>
  </x:si>
  <x:si>
    <x:t>AYUNTAMIENTO DE BARCELONA</x:t>
  </x:si>
  <x:si>
    <x:t>Contratación de los servicios y suministros (en régimen de alquiler) para la realización técnica de los actos y eventos institucionales del departamento de Comunicación de Economia y Recursos</x:t>
  </x:si>
  <x:si>
    <x:t>001_P2502368 Anuncio de información previa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</x:si>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</x:sst>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947197.33</x:v>
      </x:c>
      <x:c r="J2" s="11" t="s">
        <x:v>25</x:v>
      </x:c>
      <x:c r="K2" s="11" t="s">
        <x:v>26</x:v>
      </x:c>
      <x:c r="L2" s="12" t="str">
        <x:f xml:space="preserve">HYPERLINK("https://licitaciones2.ifema.es/licitacion/licitaciones/detalle?id=3139818","licitaciones2.ifema.es/licitacion/licitaciones/detalle?id=3139818")</x:f>
        <x:v>licitaciones2.ifema.es/licitacion/licitaciones/detalle?id=3139818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HYPERLINK("https://www.infonalia.es/licitaciones1225/2025181757.pdf","www.infonalia.es/licitaciones1225/2025181757.pdf")</x:f>
        <x:v>www.infonalia.es/licitaciones1225/2025181757.pdf</x:v>
      </x:c>
    </x:row>
    <x:row r="3">
      <x:c r="A3" s="6" t="s">
        <x:v>17</x:v>
      </x:c>
      <x:c r="B3" s="6" t="s">
        <x:v>18</x:v>
      </x:c>
      <x:c r="C3" s="7" t="s">
        <x:v>19</x:v>
      </x:c>
      <x:c r="D3" s="8" t="s">
        <x:v>31</x:v>
      </x:c>
      <x:c r="E3" s="9" t="s">
        <x:v>21</x:v>
      </x:c>
      <x:c r="F3" s="6" t="s">
        <x:v>22</x:v>
      </x:c>
      <x:c r="G3" s="6" t="s">
        <x:v>32</x:v>
      </x:c>
      <x:c r="H3" s="6" t="s">
        <x:v>33</x:v>
      </x:c>
      <x:c r="I3" s="10" t="n">
        <x:v>3482602.53</x:v>
      </x:c>
      <x:c r="J3" s="11" t="s">
        <x:v>25</x:v>
      </x:c>
      <x:c r="K3" s="11" t="s">
        <x:v>34</x:v>
      </x:c>
      <x:c r="L3" s="12" t="str">
        <x:f xml:space="preserve">HYPERLINK("https://licitaciones2.ifema.es/licitacion/licitaciones/detalle?id=3125451","licitaciones2.ifema.es/licitacion/licitaciones/detalle?id=3125451")</x:f>
        <x:v>licitaciones2.ifema.es/licitacion/licitaciones/detalle?id=3125451</x:v>
      </x:c>
      <x:c r="M3" s="11" t="s">
        <x:v>27</x:v>
      </x:c>
      <x:c r="N3" s="13" t="s">
        <x:v>35</x:v>
      </x:c>
      <x:c r="O3" s="11" t="s">
        <x:v>36</x:v>
      </x:c>
      <x:c r="P3" s="11" t="s">
        <x:v>30</x:v>
      </x:c>
      <x:c r="Q3" s="14" t="str">
        <x:f xml:space="preserve">HYPERLINK("https://www.infonalia.es/licitaciones1225/2025181758.pdf","www.infonalia.es/licitaciones1225/2025181758.pdf")</x:f>
        <x:v>www.infonalia.es/licitaciones1225/2025181758.pdf</x:v>
      </x:c>
    </x:row>
    <x:row r="4">
      <x:c r="A4" s="6" t="s">
        <x:v>17</x:v>
      </x:c>
      <x:c r="B4" s="6" t="s">
        <x:v>18</x:v>
      </x:c>
      <x:c r="C4" s="7" t="s">
        <x:v>19</x:v>
      </x:c>
      <x:c r="D4" s="8" t="s">
        <x:v>37</x:v>
      </x:c>
      <x:c r="E4" s="9" t="s">
        <x:v>21</x:v>
      </x:c>
      <x:c r="F4" s="6" t="s">
        <x:v>22</x:v>
      </x:c>
      <x:c r="G4" s="6" t="s">
        <x:v>38</x:v>
      </x:c>
      <x:c r="H4" s="6" t="s">
        <x:v>39</x:v>
      </x:c>
      <x:c r="I4" s="10" t="n">
        <x:v>15169578.52</x:v>
      </x:c>
      <x:c r="J4" s="11" t="s">
        <x:v>25</x:v>
      </x:c>
      <x:c r="K4" s="11" t="s">
        <x:v>40</x:v>
      </x:c>
      <x:c r="L4" s="12" t="str">
        <x:f xml:space="preserve">HYPERLINK("https://licitaciones2.ifema.es/licitacion/licitaciones/detalle?id=3125655","licitaciones2.ifema.es/licitacion/licitaciones/detalle?id=3125655")</x:f>
        <x:v>licitaciones2.ifema.es/licitacion/licitaciones/detalle?id=3125655</x:v>
      </x:c>
      <x:c r="M4" s="11" t="s">
        <x:v>27</x:v>
      </x:c>
      <x:c r="N4" s="13" t="s">
        <x:v>35</x:v>
      </x:c>
      <x:c r="O4" s="11" t="s">
        <x:v>41</x:v>
      </x:c>
      <x:c r="P4" s="11" t="s">
        <x:v>30</x:v>
      </x:c>
      <x:c r="Q4" s="14" t="str">
        <x:f xml:space="preserve">HYPERLINK("https://www.infonalia.es/licitaciones1225/2025181759.pdf","www.infonalia.es/licitaciones1225/2025181759.pdf")</x:f>
        <x:v>www.infonalia.es/licitaciones1225/2025181759.pdf</x:v>
      </x:c>
    </x:row>
    <x:row r="5">
      <x:c r="A5" s="6" t="s">
        <x:v>17</x:v>
      </x:c>
      <x:c r="B5" s="6" t="s">
        <x:v>18</x:v>
      </x:c>
      <x:c r="C5" s="7" t="s">
        <x:v>19</x:v>
      </x:c>
      <x:c r="D5" s="8" t="s">
        <x:v>42</x:v>
      </x:c>
      <x:c r="E5" s="9" t="s">
        <x:v>21</x:v>
      </x:c>
      <x:c r="F5" s="6" t="s">
        <x:v>22</x:v>
      </x:c>
      <x:c r="G5" s="6" t="s">
        <x:v>43</x:v>
      </x:c>
      <x:c r="H5" s="6" t="s">
        <x:v>44</x:v>
      </x:c>
      <x:c r="I5" s="10" t="n">
        <x:v>340454.40</x:v>
      </x:c>
      <x:c r="J5" s="11" t="s">
        <x:v>25</x:v>
      </x:c>
      <x:c r="K5" s="11" t="s">
        <x:v>45</x:v>
      </x:c>
      <x:c r="L5" s="12" t="str">
        <x:f xml:space="preserve">HYPERLINK("https://licitaciones2.ifema.es/licitacion/licitaciones/detalle?id=3135927","licitaciones2.ifema.es/licitacion/licitaciones/detalle?id=3135927")</x:f>
        <x:v>licitaciones2.ifema.es/licitacion/licitaciones/detalle?id=3135927</x:v>
      </x:c>
      <x:c r="M5" s="11" t="s">
        <x:v>27</x:v>
      </x:c>
      <x:c r="N5" s="13" t="s">
        <x:v>35</x:v>
      </x:c>
      <x:c r="O5" s="11" t="s">
        <x:v>46</x:v>
      </x:c>
      <x:c r="P5" s="11" t="s">
        <x:v>30</x:v>
      </x:c>
      <x:c r="Q5" s="14" t="str">
        <x:f xml:space="preserve">HYPERLINK("https://www.infonalia.es/licitaciones1225/2025181765.pdf","www.infonalia.es/licitaciones1225/2025181765.pdf")</x:f>
        <x:v>www.infonalia.es/licitaciones1225/2025181765.pdf</x:v>
      </x:c>
    </x:row>
    <x:row r="6">
      <x:c r="A6" s="6" t="s">
        <x:v>17</x:v>
      </x:c>
      <x:c r="B6" s="6" t="s">
        <x:v>47</x:v>
      </x:c>
      <x:c r="C6" s="7" t="s">
        <x:v>48</x:v>
      </x:c>
      <x:c r="D6" s="8" t="s">
        <x:v>49</x:v>
      </x:c>
      <x:c r="E6" s="9" t="s">
        <x:v>21</x:v>
      </x:c>
      <x:c r="F6" s="6" t="s">
        <x:v>50</x:v>
      </x:c>
      <x:c r="G6" s="6" t="s">
        <x:v>51</x:v>
      </x:c>
      <x:c r="H6" s="6" t="s">
        <x:v>52</x:v>
      </x:c>
      <x:c r="I6" s="10" t="n">
        <x:v>111674.44</x:v>
      </x:c>
      <x:c r="J6" s="11" t="s">
        <x:v>53</x:v>
      </x:c>
      <x:c r="K6" s="11" t="s">
        <x:v>54</x:v>
      </x:c>
      <x:c r="L6" s="12" t="str">
        <x:f xml:space="preserve">HYPERLINK("https://contractaciopublica.cat/es/detall-publicacio/300653809","contractaciopublica.cat/es/detall-publicacio/300653809")</x:f>
        <x:v>contractaciopublica.cat/es/detall-publicacio/300653809</x:v>
      </x:c>
      <x:c r="M6" s="11" t="s">
        <x:v>27</x:v>
      </x:c>
      <x:c r="N6" s="13" t="s">
        <x:v>28</x:v>
      </x:c>
      <x:c r="O6" s="11" t="s">
        <x:v>55</x:v>
      </x:c>
      <x:c r="P6" s="11" t="s">
        <x:v>56</x:v>
      </x:c>
      <x:c r="Q6" s="14" t="str">
        <x:f xml:space="preserve">HYPERLINK("https://www.infonalia.es/licitaciones1225/2025181886.pdf","www.infonalia.es/licitaciones1225/2025181886.pdf")</x:f>
        <x:v>www.infonalia.es/licitaciones1225/2025181886.pdf</x:v>
      </x:c>
    </x:row>
    <x:row r="7">
      <x:c r="A7" s="6" t="s">
        <x:v>17</x:v>
      </x:c>
      <x:c r="B7" s="6" t="s">
        <x:v>47</x:v>
      </x:c>
      <x:c r="C7" s="7" t="s">
        <x:v>57</x:v>
      </x:c>
      <x:c r="D7" s="8" t="s">
        <x:v>58</x:v>
      </x:c>
      <x:c r="E7" s="9" t="s">
        <x:v>21</x:v>
      </x:c>
      <x:c r="F7" s="6" t="s">
        <x:v>59</x:v>
      </x:c>
      <x:c r="G7" s="6" t="s">
        <x:v>60</x:v>
      </x:c>
      <x:c r="H7" s="6" t="s">
        <x:v>61</x:v>
      </x:c>
      <x:c r="I7" s="10" t="n">
        <x:v>14876033.06</x:v>
      </x:c>
      <x:c r="J7" s="11" t="s">
        <x:v>53</x:v>
      </x:c>
      <x:c r="K7" s="11" t="s">
        <x:v>62</x:v>
      </x:c>
      <x:c r="L7" s="12" t="str">
        <x:f xml:space="preserve">HYPERLINK("https://contractaciopublica.cat/es/detall-publicacio/300652671","contractaciopublica.cat/es/detall-publicacio/300652671")</x:f>
        <x:v>contractaciopublica.cat/es/detall-publicacio/300652671</x:v>
      </x:c>
      <x:c r="M7" s="11" t="s">
        <x:v>27</x:v>
      </x:c>
      <x:c r="N7" s="13" t="s">
        <x:v>28</x:v>
      </x:c>
      <x:c r="O7" s="11" t="s">
        <x:v>63</x:v>
      </x:c>
      <x:c r="P7" s="11" t="s">
        <x:v>64</x:v>
      </x:c>
      <x:c r="Q7" s="14" t="str">
        <x:f xml:space="preserve">HYPERLINK("https://www.infonalia.es/licitaciones1225/2025181918.pdf","www.infonalia.es/licitaciones1225/2025181918.pdf")</x:f>
        <x:v>www.infonalia.es/licitaciones1225/2025181918.pdf</x:v>
      </x:c>
    </x:row>
    <x:row r="8">
      <x:c r="A8" s="6" t="s">
        <x:v>17</x:v>
      </x:c>
      <x:c r="B8" s="6" t="s">
        <x:v>65</x:v>
      </x:c>
      <x:c r="C8" s="7" t="s">
        <x:v>26</x:v>
      </x:c>
      <x:c r="D8" s="8" t="s">
        <x:v>66</x:v>
      </x:c>
      <x:c r="E8" s="9" t="s">
        <x:v>21</x:v>
      </x:c>
      <x:c r="F8" s="6" t="s">
        <x:v>67</x:v>
      </x:c>
      <x:c r="G8" s="6" t="s">
        <x:v>68</x:v>
      </x:c>
      <x:c r="H8" s="6" t="s">
        <x:v>69</x:v>
      </x:c>
      <x:c r="I8" s="10" t="n">
        <x:v>6158351.00</x:v>
      </x:c>
      <x:c r="J8" s="11" t="s">
        <x:v>25</x:v>
      </x:c>
      <x:c r="K8" s="11" t="s">
        <x:v>70</x:v>
      </x:c>
      <x:c r="L8" s="12" t="str">
        <x:f xml:space="preserve">HYPERLINK("https://contrataciondelestado.es/wps/poc?uri=deeplink:detalle_licitacion&amp;idEvl=zXN4vMgL9km9Hd5zqvq9cg%3D%3D","contrataciondelestado.es/wps/poc?uri=deeplink:detalle_licitacion&amp;idEvl=zXN4vMgL9km9Hd5zqvq9cg%3D%3D")</x:f>
        <x:v>contrataciondelestado.es/wps/poc?uri=deeplink:detalle_licitacion&amp;idEvl=zXN4vMgL9km9Hd5zqvq9cg%3D%3D</x:v>
      </x:c>
      <x:c r="M8" s="11" t="s">
        <x:v>27</x:v>
      </x:c>
      <x:c r="N8" s="13" t="s">
        <x:v>28</x:v>
      </x:c>
      <x:c r="O8" s="11" t="s">
        <x:v>71</x:v>
      </x:c>
      <x:c r="P8" s="11" t="s">
        <x:v>30</x:v>
      </x:c>
      <x:c r="Q8" s="14" t="str">
        <x:f xml:space="preserve">HYPERLINK("https://www.infonalia.es/licitaciones1225/2025181954.pdf","www.infonalia.es/licitaciones1225/2025181954.pdf")</x:f>
        <x:v>www.infonalia.es/licitaciones1225/2025181954.pdf</x:v>
      </x:c>
    </x:row>
    <x:row r="9">
      <x:c r="A9" s="6" t="s">
        <x:v>17</x:v>
      </x:c>
      <x:c r="B9" s="6" t="s">
        <x:v>65</x:v>
      </x:c>
      <x:c r="C9" s="7" t="s">
        <x:v>72</x:v>
      </x:c>
      <x:c r="D9" s="8" t="s">
        <x:v>73</x:v>
      </x:c>
      <x:c r="E9" s="9" t="s">
        <x:v>21</x:v>
      </x:c>
      <x:c r="F9" s="6" t="s">
        <x:v>74</x:v>
      </x:c>
      <x:c r="G9" s="6" t="s">
        <x:v>75</x:v>
      </x:c>
      <x:c r="H9" s="6" t="s">
        <x:v>76</x:v>
      </x:c>
      <x:c r="I9" s="10" t="n">
        <x:v>14500.00</x:v>
      </x:c>
      <x:c r="J9" s="11" t="s">
        <x:v>25</x:v>
      </x:c>
      <x:c r="K9" s="11" t="s">
        <x:v>26</x:v>
      </x:c>
      <x:c r="L9" s="12" t="str">
        <x:f xml:space="preserve">HYPERLINK("https://contrataciondelestado.es/wps/poc?uri=deeplink:detalle_licitacion&amp;idEvl=NmH9Pz6WJxZeKgd8LfVV9g%3D%3D","contrataciondelestado.es/wps/poc?uri=deeplink:detalle_licitacion&amp;idEvl=NmH9Pz6WJxZeKgd8LfVV9g%3D%3D")</x:f>
        <x:v>contrataciondelestado.es/wps/poc?uri=deeplink:detalle_licitacion&amp;idEvl=NmH9Pz6WJxZeKgd8LfVV9g%3D%3D</x:v>
      </x:c>
      <x:c r="M9" s="11" t="s">
        <x:v>27</x:v>
      </x:c>
      <x:c r="N9" s="13" t="s">
        <x:v>28</x:v>
      </x:c>
      <x:c r="O9" s="11" t="s">
        <x:v>77</x:v>
      </x:c>
      <x:c r="P9" s="11" t="s">
        <x:v>30</x:v>
      </x:c>
      <x:c r="Q9" s="14" t="str">
        <x:f xml:space="preserve">HYPERLINK("https://www.infonalia.es/licitaciones1225/2025181968.pdf","www.infonalia.es/licitaciones1225/2025181968.pdf")</x:f>
        <x:v>www.infonalia.es/licitaciones1225/2025181968.pdf</x:v>
      </x:c>
    </x:row>
    <x:row r="10">
      <x:c r="A10" s="6" t="s">
        <x:v>17</x:v>
      </x:c>
      <x:c r="B10" s="6" t="s">
        <x:v>65</x:v>
      </x:c>
      <x:c r="C10" s="7" t="s">
        <x:v>48</x:v>
      </x:c>
      <x:c r="D10" s="8" t="s">
        <x:v>78</x:v>
      </x:c>
      <x:c r="E10" s="9" t="s">
        <x:v>21</x:v>
      </x:c>
      <x:c r="F10" s="6" t="s">
        <x:v>79</x:v>
      </x:c>
      <x:c r="G10" s="6" t="s">
        <x:v>80</x:v>
      </x:c>
      <x:c r="H10" s="6" t="s">
        <x:v>81</x:v>
      </x:c>
      <x:c r="I10" s="10" t="n">
        <x:v>429990.00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HYPERLINK("https://contrataciondelestado.es/wps/poc?uri=deeplink:detalle_licitacion&amp;idEvl=ULkjxkcsFdlVkTabT%2FRM8A%3D%3D","contrataciondelestado.es/wps/poc?uri=deeplink:detalle_licitacion&amp;idEvl=ULkjxkcsFdlVkTabT%2FRM8A%3D%3D")</x:f>
        <x:v>contrataciondelestado.es/wps/poc?uri=deeplink:detalle_licitacion&amp;idEvl=ULkjxkcsFdlVkTabT%2FRM8A%3D%3D</x:v>
      </x:c>
      <x:c r="M10" s="11" t="s">
        <x:v>27</x:v>
      </x:c>
      <x:c r="N10" s="13" t="s">
        <x:v>21</x:v>
      </x:c>
      <x:c r="O10" s="11" t="s">
        <x:v>82</x:v>
      </x:c>
      <x:c r="P10" s="11" t="s">
        <x:v>83</x:v>
      </x:c>
      <x:c r="Q10" s="14" t="str">
        <x:f xml:space="preserve">HYPERLINK("https://www.infonalia.es/licitaciones1225/2025181983.pdf","www.infonalia.es/licitaciones1225/2025181983.pdf")</x:f>
        <x:v>www.infonalia.es/licitaciones1225/2025181983.pdf</x:v>
      </x:c>
    </x:row>
    <x:row r="11">
      <x:c r="A11" s="6" t="s">
        <x:v>17</x:v>
      </x:c>
      <x:c r="B11" s="6" t="s">
        <x:v>65</x:v>
      </x:c>
      <x:c r="C11" s="7" t="s">
        <x:v>84</x:v>
      </x:c>
      <x:c r="D11" s="8" t="s">
        <x:v>85</x:v>
      </x:c>
      <x:c r="E11" s="9" t="s">
        <x:v>21</x:v>
      </x:c>
      <x:c r="F11" s="6" t="s">
        <x:v>86</x:v>
      </x:c>
      <x:c r="G11" s="6" t="s">
        <x:v>87</x:v>
      </x:c>
      <x:c r="H11" s="6" t="s">
        <x:v>88</x:v>
      </x:c>
      <x:c r="I11" s="10" t="n">
        <x:v>57750.00</x:v>
      </x:c>
      <x:c r="J11" s="11" t="s">
        <x:v>25</x:v>
      </x:c>
      <x:c r="K11" s="11" t="s">
        <x:v>26</x:v>
      </x:c>
      <x:c r="L11" s="12" t="str">
        <x:f xml:space="preserve">HYPERLINK("https://contrataciondelestado.es/wps/poc?uri=deeplink:detalle_licitacion&amp;idEvl=8iEifof1vmgIYE3ZiZ%2BxmQ%3D%3D","contrataciondelestado.es/wps/poc?uri=deeplink:detalle_licitacion&amp;idEvl=8iEifof1vmgIYE3ZiZ%2BxmQ%3D%3D")</x:f>
        <x:v>contrataciondelestado.es/wps/poc?uri=deeplink:detalle_licitacion&amp;idEvl=8iEifof1vmgIYE3ZiZ%2BxmQ%3D%3D</x:v>
      </x:c>
      <x:c r="M11" s="11" t="s">
        <x:v>27</x:v>
      </x:c>
      <x:c r="N11" s="13" t="s">
        <x:v>21</x:v>
      </x:c>
      <x:c r="O11" s="11" t="s">
        <x:v>89</x:v>
      </x:c>
      <x:c r="P11" s="11" t="s">
        <x:v>30</x:v>
      </x:c>
      <x:c r="Q11" s="14" t="str">
        <x:f xml:space="preserve">HYPERLINK("https://www.infonalia.es/licitaciones1225/2025182008.pdf","www.infonalia.es/licitaciones1225/2025182008.pdf")</x:f>
        <x:v>www.infonalia.es/licitaciones1225/2025182008.pdf</x:v>
      </x:c>
    </x:row>
    <x:row r="12">
      <x:c r="A12" s="6" t="s">
        <x:v>17</x:v>
      </x:c>
      <x:c r="B12" s="6" t="s">
        <x:v>90</x:v>
      </x:c>
      <x:c r="C12" s="7" t="s">
        <x:v>26</x:v>
      </x:c>
      <x:c r="D12" s="8" t="s">
        <x:v>91</x:v>
      </x:c>
      <x:c r="E12" s="9" t="s">
        <x:v>21</x:v>
      </x:c>
      <x:c r="F12" s="6" t="s">
        <x:v>92</x:v>
      </x:c>
      <x:c r="G12" s="6" t="s">
        <x:v>93</x:v>
      </x:c>
      <x:c r="H12" s="6" t="s">
        <x:v>70</x:v>
      </x:c>
      <x:c r="I12" s="10"/>
      <x:c r="J12" s="11" t="s">
        <x:v>70</x:v>
      </x:c>
      <x:c r="K12" s="11" t="s">
        <x:v>70</x:v>
      </x:c>
      <x:c r="L12" s="12" t="str">
        <x:f xml:space="preserve">HYPERLINK("https://www.eiturbanmobility.eu/join-us/request-for-proposals/","www.eiturbanmobility.eu/join-us/request-for-proposals/")</x:f>
        <x:v>www.eiturbanmobility.eu/join-us/request-for-proposals/</x:v>
      </x:c>
      <x:c r="M12" s="11" t="s">
        <x:v>94</x:v>
      </x:c>
      <x:c r="N12" s="13" t="s">
        <x:v>28</x:v>
      </x:c>
      <x:c r="O12" s="11" t="s">
        <x:v>95</x:v>
      </x:c>
      <x:c r="P12" s="11" t="s">
        <x:v>64</x:v>
      </x:c>
      <x:c r="Q12" s="14" t="str">
        <x:f xml:space="preserve">HYPERLINK("https://www.infonalia.es/licitaciones1225/2025182057.pdf","www.infonalia.es/licitaciones1225/2025182057.pdf")</x:f>
        <x:v>www.infonalia.es/licitaciones1225/2025182057.pdf</x:v>
      </x:c>
    </x:row>
    <x:row r="13">
      <x:c r="A13" s="6" t="s">
        <x:v>17</x:v>
      </x:c>
      <x:c r="B13" s="6" t="s">
        <x:v>90</x:v>
      </x:c>
      <x:c r="C13" s="7" t="s">
        <x:v>26</x:v>
      </x:c>
      <x:c r="D13" s="8" t="s">
        <x:v>96</x:v>
      </x:c>
      <x:c r="E13" s="9" t="s">
        <x:v>21</x:v>
      </x:c>
      <x:c r="F13" s="6" t="s">
        <x:v>97</x:v>
      </x:c>
      <x:c r="G13" s="6" t="s">
        <x:v>98</x:v>
      </x:c>
      <x:c r="H13" s="6" t="s">
        <x:v>99</x:v>
      </x:c>
      <x:c r="I13" s="10"/>
      <x:c r="J13" s="11" t="s">
        <x:v>70</x:v>
      </x:c>
      <x:c r="K13" s="11" t="s">
        <x:v>70</x:v>
      </x:c>
      <x:c r="L13" s="12" t="str">
        <x:f xml:space="preserve">HYPERLINK("https://licitacions.bcn.cat","licitacions.bcn.cat")</x:f>
        <x:v>licitacions.bcn.cat</x:v>
      </x:c>
      <x:c r="M13" s="11" t="s">
        <x:v>94</x:v>
      </x:c>
      <x:c r="N13" s="13" t="s">
        <x:v>28</x:v>
      </x:c>
      <x:c r="O13" s="11" t="s">
        <x:v>100</x:v>
      </x:c>
      <x:c r="P13" s="11" t="s">
        <x:v>64</x:v>
      </x:c>
      <x:c r="Q13" s="14" t="str">
        <x:f xml:space="preserve">HYPERLINK("https://www.infonalia.es/licitaciones1225/2025182063.pdf","www.infonalia.es/licitaciones1225/2025182063.pdf")</x:f>
        <x:v>www.infonalia.es/licitaciones1225/2025182063.pdf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