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<x:sst xmlns:x="http://schemas.openxmlformats.org/spreadsheetml/2006/main" count="17" uniqueCount="17">
  <x:si>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</x:si>
  <x:si>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</x:si>
  <x:si>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</x:si>
  <x:si>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</x:si>
  <x:si>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</x:si>
  <x:si>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</x:si>
  <x:si>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</x:si>
  <x:si>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</x:si>
  <x:si>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</x:si>
  <x:si>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</x:si>
  <x:si>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</x:si>
  <x:si>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</x:si>
  <x:si>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</x:si>
  <x:si>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</x:si>
  <x:si>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</x:si>
  <x:si>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</x:si>
  <x:si>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</x:si>
  <x:si>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</x:si>
  <x:si>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</x:si>
  <x:si>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12/12/2025</x:t>
  </x:si>
  <x:si>
    <x:t>2025169972</x:t>
  </x:si>
  <x:si>
    <x:t>28/11/2025</x:t>
  </x:si>
  <x:si>
    <x:t>AYUNTAMIENTO DE GAVÀ (BARCELONA)</x:t>
  </x:si>
  <x:si>
    <x:t>El objeto del contrato comprende los servicios técnicos necesarios para el buen desarrollo y ejecución de la Feria de Espárragos de Gavà, y dentro de los diferentes servicios se incluyen, pequeños trabajos de producción e intendencia asociados, con su transporte, montaje y desmontaje, así como la correcta distribución e instalación de los materiales, en su caso.Lote 1 Captación, reserva de espacios y contratación de los diferentes expositores, hará la atención telefónica y presencial, el asesoramiento y seguimiento de las necesidades de cada expositor, antes, durante y después de la Fira, con sus medios materiales y recursos humanos. Lote 2 Diseñar actividades culturales, festivas y divulgativas de la Feria, de acuerdo con los criterios mínimos que se indican a continuación y posteriormente, se hará cargo de la contratación y concejalía de la ejecución de estas actividades. Lote 3: Servicio técnico de diseño, organización y ejecución del espacio de participación ciudadana y del concurso de escaparates de la Fira. Lote 4 Informar a la ciudadanía y promover la participación de visitantes en la Feria</x:t>
  </x:si>
  <x:si>
    <x:t>DC SERV 56_25 (2025000 20144S)</x:t>
  </x:si>
  <x:si>
    <x:t>Importe sin impuestos</x:t>
  </x:si>
  <x:si>
    <x:t/>
  </x:si>
  <x:si>
    <x:t>-----</x:t>
  </x:si>
  <x:si>
    <x:t>27/11/2025</x:t>
  </x:si>
  <x:si>
    <x:t/>
  </x:si>
  <x:si>
    <x:t>Barcelona</x:t>
  </x:si>
  <x:si>
    <x:t>2025169981</x:t>
  </x:si>
  <x:si>
    <x:t>MINISTERIO DEL INTERIOR. DIRECCIÓN GENERAL DE TRÁFICO</x:t>
  </x:si>
  <x:si>
    <x:t>Servicio consistente en la elaboración, custodia, entrega y lectura óptica de cuadernillos y hojas de respuestas correspondientes a las pruebas de acceso a la Escala Superior de Técnicos de Tráfico y al Cuerpo General Administrativo de la Administración del Estado, especialidad de Tráfico</x:t>
  </x:si>
  <x:si>
    <x:t>1DGT2AP00039</x:t>
  </x:si>
  <x:si>
    <x:t/>
  </x:si>
  <x:si>
    <x:t>Madrid</x:t>
  </x:si>
  <x:si>
    <x:t>2025170015</x:t>
  </x:si>
  <x:si>
    <x:t>CONSELL COMARCAL DE LA CONCA DE BARBERÀ (TARRAGONA)</x:t>
  </x:si>
  <x:si>
    <x:t>Contratación del suministro y servicio de la edición de elementos de identidad de marca. Lote 1 Suministro de carpas promocionales. Lote 2 Banco de imágenes de la Conca de Barberà. Lote 3 Edición e impresión de la guía turística de la Conca de Barberà.</x:t>
  </x:si>
  <x:si>
    <x:t>8101670005-2025-0003277</x:t>
  </x:si>
  <x:si>
    <x:t/>
  </x:si>
  <x:si>
    <x:t>Tarragona</x:t>
  </x:si>
  <x:si>
    <x:t>22/12/2025</x:t>
  </x:si>
  <x:si>
    <x:t>2025170104</x:t>
  </x:si>
  <x:si>
    <x:t>INSTITUTO PARA LA COMPETITIVIDAD EMPRESARIAL DE LA JUNTA DE CASTILLA Y LEÓN</x:t>
  </x:si>
  <x:si>
    <x:t>Organización de los Roadshows de alimentación y vino de Castilla y León 2026-2027 en dos ciudades de Reino Unido (Londres y Manchester o Cardiff o Edimburgo) (Lote 1) y dos ciudades de Bélgica y Holanda (Bruselas y Ámsterdam o Róterdam) (Lote 2) para el ICECYL</x:t>
  </x:si>
  <x:si>
    <x:t>A2026/000054</x:t>
  </x:si>
  <x:si>
    <x:t/>
  </x:si>
  <x:si>
    <x:t>Reino Unido, Holanda y Bélgica</x:t>
  </x:si>
  <x:si>
    <x:t>08/12/2025</x:t>
  </x:si>
  <x:si>
    <x:t>2025170111</x:t>
  </x:si>
  <x:si>
    <x:t>GENERALITAT DE CATALUNYA. DEPARTAMENTO DE INTERIOR Y SEGURIDAD PÚBLICA</x:t>
  </x:si>
  <x:si>
    <x:t>Diseño, la construcción del stand, contenido y producción de materiales y sonorización por la participación del Departamento, en el Salón de la Enseñanza, en su edición de 2026 a celebrar entre el 18 y el 22 de marzo</x:t>
  </x:si>
  <x:si>
    <x:t>IT-2026-94</x:t>
  </x:si>
  <x:si>
    <x:t/>
  </x:si>
  <x:si>
    <x:t>Catalunya</x:t>
  </x:si>
  <x:si>
    <x:t>2025170119</x:t>
  </x:si>
  <x:si>
    <x:t>AYUNTAMIENTO DE LLIÇÀ DE VALL (BARCELONA)</x:t>
  </x:si>
  <x:si>
    <x:t>Prestación del servicio de diseño, producción, gestión y ejecución de las actividades infantiles y familiares para niños hasta 12 años las cuales se realizarán los días 2, 3 y 4 de enero de 2026 en el Parque de Navidad “Lliçàinfants 2026” emplazado en el Pabellón de Deportes Municipal</x:t>
  </x:si>
  <x:si>
    <x:t>3571/2025</x:t>
  </x:si>
  <x:si>
    <x:t/>
  </x:si>
  <x:si>
    <x:t>2025170128</x:t>
  </x:si>
  <x:si>
    <x:t>INSTITUTO DE CULTURA DE BARCELONA</x:t>
  </x:si>
  <x:si>
    <x:t>Servicios de dinamización de actividades de memoria en La Modelo, con medidas de contratación pública sostenible</x:t>
  </x:si>
  <x:si>
    <x:t>006_25001459</x:t>
  </x:si>
  <x:si>
    <x:t/>
  </x:si>
  <x:si>
    <x:t>19/12/2025</x:t>
  </x:si>
  <x:si>
    <x:t>2025170131</x:t>
  </x:si>
  <x:si>
    <x:t>PROCORNELLÀ</x:t>
  </x:si>
  <x:si>
    <x:t>Constituye el objeto del contrato la prestación del servicio integral de diseño, dinamización, gestión, seguimiento y optimización de las redes sociales corporativas, de acuerdo con el Plan Estratégico de Comunicación vigente de PROCORNELLÀ, en relación a: Lote 1.- Parque Deportivo Llobregat y Complejo Acuático y Deportivo Can Mercader Son dos equipamientos deportivos y sociales PROCORELLANO. Son instalaciones modernas y versátiles, ambos disponen de piscinas cubiertas y exteriores, salas de fitness, y zonas de actividades dirigidas El Parc Esportiu Llobregat, dispone, además, de un pabellón polideportivo, así como de espacios sociales como el Centro Cívico y la Ludoteca, servicios con una destacada función social y como destacada función social. Estos espacios ofrecen anualmente programaciones de actividades estructuradas por trimestres (invierno, primavera y otoño), así como actividades intensivas durante el período de verano (julio). El contrato incluye la obligación de dar difusión de toda esta programación a través de los perfiles oficiales en las redes sociales, garantizando una comunicación clara, atractiva y accesible para la ciudadanía. El Cornellà Creació Fòrum es una plataforma de debate impulsada por el Ayuntamiento de Cornellà de Llobregat y gestionada por la empresa municipal PROCORNELLÀ. Su principal finalidad es promover el diálogo, la reflexión y el intercambio de ideas entre el tejido empresarial, las instituciones y los principales agentes sociales y económicos. El Fórum desarrolla una programación anual compuesta por un total de seis eventos, en formato de conferencias, coloquios y encuentros, con la participación de ponentes de reconocido prestigio a nivel nacional e internacional. Lote 1.- Parque Deportivo Llobregat y Complejo Acuático. Lote 2 Cornellà Creación Foro</x:t>
  </x:si>
  <x:si>
    <x:t>Exp 25-90 Gestió xarxes socials</x:t>
  </x:si>
  <x:si>
    <x:t/>
  </x:si>
  <x:si>
    <x:t>2025170168</x:t>
  </x:si>
  <x:si>
    <x:t>Organización de Roadshows vino de Castilla y León 2026-2027, 2 ciudades de Japón (Tokyo y Osaka) y 1 ciudad de Corea Sur (Seul) (Lote 1) y en 2 ciudades China (Shang.y Pekin o Guangzhou o Shenzhen) (Lote 2) y en la Región Admin.Especial de Hong Kong o Macao para el ICECYL</x:t>
  </x:si>
  <x:si>
    <x:t>A2026/000140</x:t>
  </x:si>
  <x:si>
    <x:t/>
  </x:si>
  <x:si>
    <x:t>Japón y China</x:t>
  </x:si>
  <x:si>
    <x:t>2025170300</x:t>
  </x:si>
  <x:si>
    <x:t>CONSELL COMARCAL DEL BAGES (BARCELONA)</x:t>
  </x:si>
  <x:si>
    <x:t>El objeto de este pliego es la contratación de la prestación del servicio de comunicación integral que trabaja la implementación y la estrategia para posicionar el Bages como un destino turístico. Este servicio permitirá disponer de un gabinete de prensa que permita comunicar los proyectos y acciones que realiza la Unidad de Turismo del Consejo Comarcal de El Bages, así como la comunicación y promoción turística constante del destino Bages-Geoparc a través de las redes sociales.</x:t>
  </x:si>
  <x:si>
    <x:t>2025_2774</x:t>
  </x:si>
  <x:si>
    <x:t/>
  </x:si>
  <x:si>
    <x:t>Catalunya - Plataforma de Contratación</x:t>
  </x:si>
  <x:si>
    <x:t>05/12/2025</x:t>
  </x:si>
  <x:si>
    <x:t>2025170378</x:t>
  </x:si>
  <x:si>
    <x:t>AYUNTAMIENTO DE VILAFRANCA DEL PENEDÈS (BARCELONA). JUVENTUD</x:t>
  </x:si>
  <x:si>
    <x:t>Actualización de contenidos y suministro del material impreso para hacer la difusión de la campaña "Después de la ESO... ¿Qué?" y de las diferentes asesorías del SIA J</x:t>
  </x:si>
  <x:si>
    <x:t>1453/2025/1432</x:t>
  </x:si>
  <x:si>
    <x:t>IVA excluido</x:t>
  </x:si>
  <x:si>
    <x:t/>
  </x:si>
  <x:si>
    <x:t/>
  </x:si>
  <x:si>
    <x:t>01/12/2025</x:t>
  </x:si>
  <x:si>
    <x:t>2025170379</x:t>
  </x:si>
  <x:si>
    <x:t>AYUNTAMIENTO DE VILADECANS (BARCELONA)</x:t>
  </x:si>
  <x:si>
    <x:t>Contrato administrativo de servicios para la creación de contenidos y grabación de contenidos para el desarrollo del programa formativo Agrodeltalab en formato online</x:t>
  </x:si>
  <x:si>
    <x:t>176/2025/CMSERV2</x:t>
  </x:si>
  <x:si>
    <x:t/>
  </x:si>
  <x:si>
    <x:t/>
  </x:si>
  <x:si>
    <x:t>Asturias - Plataforma de Contratación</x:t>
  </x:si>
  <x:si>
    <x:t>04/12/2025</x:t>
  </x:si>
  <x:si>
    <x:t>2025170385</x:t>
  </x:si>
  <x:si>
    <x:t>PRINCIPADO DE ASTURIAS. CONSEJERÍA DE HACIENDA, JUSTICIA Y ASUNTOS EUROPEOS</x:t>
  </x:si>
  <x:si>
    <x:t>Servicio de diseño, maquetación e impresión de 100 trípticos y 50 flyers con información de la medida de apoyo en el entorno para personas con discapacidad, cofinanciada en el marco del Programa del FSE+ del Principado de Asturias 2021-2027</x:t>
  </x:si>
  <x:si>
    <x:t>CONP/2025/11525</x:t>
  </x:si>
  <x:si>
    <x:t/>
  </x:si>
  <x:si>
    <x:t/>
  </x:si>
  <x:si>
    <x:t>Asturias</x:t>
  </x:si>
  <x:si>
    <x:t>SEGIB - Secretaría General Iberoamericana</x:t>
  </x:si>
  <x:si>
    <x:t>17/12/2025</x:t>
  </x:si>
  <x:si>
    <x:t>2025170447</x:t>
  </x:si>
  <x:si>
    <x:t>SECRETARÍA GENERAL IBEROAMERICANA (SEGIB)</x:t>
  </x:si>
  <x:si>
    <x:t>Contratación de servicios profesionales para el desarrollo, coordinación e implementación de las estrategias de comunicación del programa Ibermuseos.</x:t>
  </x:si>
  <x:si>
    <x:t>No consta</x:t>
  </x:si>
  <x:si>
    <x:t>Impuestos incluidos</x:t>
  </x:si>
  <x:si>
    <x:t/>
  </x:si>
  <x:si>
    <x:t/>
  </x:si>
  <x:si>
    <x:t>Ver pliegos</x:t>
  </x:si>
  <x:si>
    <x:t>29/12/2025</x:t>
  </x:si>
  <x:si>
    <x:t>2025170493</x:t>
  </x:si>
  <x:si>
    <x:t>CONSEJO DE ADMINISTRACIÓN DE LA SOCIEDAD MERCANTIL ESTATAL PARA LA GESTIÓN DE LA INNOVACIÓN Y LAS TECNOLOGÍAS TURÍSTICAS, S.A.M.P. (SEGITTUR)</x:t>
  </x:si>
  <x:si>
    <x:t>Servicios de soporte para el apoyo al despliegue de los casos de uso de EDINT en la infraestructura de los servicios de computación en la nube del nodo central de la plataforma inteligente de destinos. Las necesidades a satisfacer se especifican con mayor detalle en el “PLIEGO DE PRESCRIPCIONES TÉCNICAS DE LA CONTRATACIÓN"</x:t>
  </x:si>
  <x:si>
    <x:t>382025</x:t>
  </x:si>
  <x:si>
    <x:t/>
  </x:si>
  <x:si>
    <x:t>2025170656</x:t>
  </x:si>
  <x:si>
    <x:t>MINISTERIO DE DEFENSA. INTENDENCIA DE MADRID</x:t>
  </x:si>
  <x:si>
    <x:t>CM Servicio de organización de la presentación del Centenario del buque escuela Juan Sebastián de Elcano.</x:t>
  </x:si>
  <x:si>
    <x:t>2025/AR21U/00002710E</x:t>
  </x:si>
  <x:si>
    <x:t/>
  </x:si>
  <x:si>
    <x:t>02/12/2025</x:t>
  </x:si>
  <x:si>
    <x:t>2025170660</x:t>
  </x:si>
  <x:si>
    <x:t>JUNTA DE GOBIERNO DEL AYUNTAMIENTO DE MÓSTOLES (MADRID)</x:t>
  </x:si>
  <x:si>
    <x:t>Prestación del servicio para la realización de un concurso masterchef para familias.</x:t>
  </x:si>
  <x:si>
    <x:t>C074MUJ2025-004</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</x:si>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</x:sst>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51210.74</x:v>
      </x:c>
      <x:c r="J2" s="11" t="s">
        <x:v>25</x:v>
      </x:c>
      <x:c r="K2" s="11" t="s">
        <x:v>26</x:v>
      </x:c>
      <x:c r="L2" s="12" t="str">
        <x:f xml:space="preserve">HYPERLINK("https://contractaciopublica.cat/ca/detall-publicacio/ca38462c-7b86-4077-9152-3f5e1d61729c/300606305","contractaciopublica.cat/ca/detall-publicacio/ca38462c-7b86-4077-9152-3f5e1d61729c/300606305")</x:f>
        <x:v>contractaciopublica.cat/ca/detall-publicacio/ca38462c-7b86-4077-9152-3f5e1d61729c/300606305</x:v>
      </x:c>
      <x:c r="M2" s="11" t="s">
        <x:v>27</x:v>
      </x:c>
      <x:c r="N2" s="13" t="s">
        <x:v>28</x:v>
      </x:c>
      <x:c r="O2" s="11" t="s">
        <x:v>29</x:v>
      </x:c>
      <x:c r="P2" s="11" t="s">
        <x:v>30</x:v>
      </x:c>
      <x:c r="Q2" s="14" t="str">
        <x:f xml:space="preserve">HYPERLINK("https://www.infonalia.es/licitaciones1125/2025169972.pdf","www.infonalia.es/licitaciones1125/2025169972.pdf")</x:f>
        <x:v>www.infonalia.es/licitaciones1125/2025169972.pdf</x:v>
      </x:c>
    </x:row>
    <x:row r="3">
      <x:c r="A3" s="6" t="s">
        <x:v>17</x:v>
      </x:c>
      <x:c r="B3" s="6" t="s">
        <x:v>18</x:v>
      </x:c>
      <x:c r="C3" s="7" t="s">
        <x:v>19</x:v>
      </x:c>
      <x:c r="D3" s="8" t="s">
        <x:v>31</x:v>
      </x:c>
      <x:c r="E3" s="9" t="s">
        <x:v>21</x:v>
      </x:c>
      <x:c r="F3" s="6" t="s">
        <x:v>32</x:v>
      </x:c>
      <x:c r="G3" s="6" t="s">
        <x:v>33</x:v>
      </x:c>
      <x:c r="H3" s="6" t="s">
        <x:v>34</x:v>
      </x:c>
      <x:c r="I3" s="10" t="n">
        <x:v>18050.00</x:v>
      </x:c>
      <x:c r="J3" s="11" t="s">
        <x:v>25</x:v>
      </x:c>
      <x:c r="K3" s="11" t="s">
        <x:v>26</x:v>
      </x:c>
      <x:c r="L3" s="12" t="str">
        <x:f xml:space="preserve">HYPERLINK("https://contrataciondelestado.es/wps/poc?uri=deeplink:detalle_licitacion&amp;idEvl=pa4tJH1myNXLIx6q1oPaMg%3D%3D","contrataciondelestado.es/wps/poc?uri=deeplink:detalle_licitacion&amp;idEvl=pa4tJH1myNXLIx6q1oPaMg%3D%3D")</x:f>
        <x:v>contrataciondelestado.es/wps/poc?uri=deeplink:detalle_licitacion&amp;idEvl=pa4tJH1myNXLIx6q1oPaMg%3D%3D</x:v>
      </x:c>
      <x:c r="M3" s="11" t="s">
        <x:v>27</x:v>
      </x:c>
      <x:c r="N3" s="13" t="s">
        <x:v>28</x:v>
      </x:c>
      <x:c r="O3" s="11" t="s">
        <x:v>35</x:v>
      </x:c>
      <x:c r="P3" s="11" t="s">
        <x:v>36</x:v>
      </x:c>
      <x:c r="Q3" s="14" t="str">
        <x:f xml:space="preserve">HYPERLINK("https://www.infonalia.es/licitaciones1125/2025169981.pdf","www.infonalia.es/licitaciones1125/2025169981.pdf")</x:f>
        <x:v>www.infonalia.es/licitaciones1125/2025169981.pdf</x:v>
      </x:c>
    </x:row>
    <x:row r="4">
      <x:c r="A4" s="6" t="s">
        <x:v>17</x:v>
      </x:c>
      <x:c r="B4" s="6" t="s">
        <x:v>18</x:v>
      </x:c>
      <x:c r="C4" s="7" t="s">
        <x:v>19</x:v>
      </x:c>
      <x:c r="D4" s="8" t="s">
        <x:v>37</x:v>
      </x:c>
      <x:c r="E4" s="9" t="s">
        <x:v>21</x:v>
      </x:c>
      <x:c r="F4" s="6" t="s">
        <x:v>38</x:v>
      </x:c>
      <x:c r="G4" s="6" t="s">
        <x:v>39</x:v>
      </x:c>
      <x:c r="H4" s="6" t="s">
        <x:v>40</x:v>
      </x:c>
      <x:c r="I4" s="10" t="n">
        <x:v>12387.15</x:v>
      </x:c>
      <x:c r="J4" s="11" t="s">
        <x:v>25</x:v>
      </x:c>
      <x:c r="K4" s="11" t="s">
        <x:v>26</x:v>
      </x:c>
      <x:c r="L4" s="12" t="str">
        <x:f xml:space="preserve">HYPERLINK("https://contractaciopublica.cat/ca/detall-publicacio/a02d9b3d-0cae-428b-92af-1fbf143ce8f0/300631394","contractaciopublica.cat/ca/detall-publicacio/a02d9b3d-0cae-428b-92af-1fbf143ce8f0/300631394")</x:f>
        <x:v>contractaciopublica.cat/ca/detall-publicacio/a02d9b3d-0cae-428b-92af-1fbf143ce8f0/300631394</x:v>
      </x:c>
      <x:c r="M4" s="11" t="s">
        <x:v>27</x:v>
      </x:c>
      <x:c r="N4" s="13" t="s">
        <x:v>28</x:v>
      </x:c>
      <x:c r="O4" s="11" t="s">
        <x:v>41</x:v>
      </x:c>
      <x:c r="P4" s="11" t="s">
        <x:v>42</x:v>
      </x:c>
      <x:c r="Q4" s="14" t="str">
        <x:f xml:space="preserve">HYPERLINK("https://www.infonalia.es/licitaciones1125/2025170015.pdf","www.infonalia.es/licitaciones1125/2025170015.pdf")</x:f>
        <x:v>www.infonalia.es/licitaciones1125/2025170015.pdf</x:v>
      </x:c>
    </x:row>
    <x:row r="5">
      <x:c r="A5" s="6" t="s">
        <x:v>17</x:v>
      </x:c>
      <x:c r="B5" s="6" t="s">
        <x:v>18</x:v>
      </x:c>
      <x:c r="C5" s="7" t="s">
        <x:v>43</x:v>
      </x:c>
      <x:c r="D5" s="8" t="s">
        <x:v>44</x:v>
      </x:c>
      <x:c r="E5" s="9" t="s">
        <x:v>21</x:v>
      </x:c>
      <x:c r="F5" s="6" t="s">
        <x:v>45</x:v>
      </x:c>
      <x:c r="G5" s="6" t="s">
        <x:v>46</x:v>
      </x:c>
      <x:c r="H5" s="6" t="s">
        <x:v>47</x:v>
      </x:c>
      <x:c r="I5" s="10" t="n">
        <x:v>471498.69</x:v>
      </x:c>
      <x:c r="J5" s="11" t="s">
        <x:v>25</x:v>
      </x:c>
      <x:c r="K5" s="11" t="s">
        <x:v>26</x:v>
      </x:c>
      <x:c r="L5" s="12" t="str">
        <x:f xml:space="preserve">HYPERLINK("https://contrataciondelestado.es/wps/poc?uri=deeplink:detalle_licitacion&amp;idEvl=4gEliok8%2Br%2B8ebB%2FXTwy0A%3D%3D","contrataciondelestado.es/wps/poc?uri=deeplink:detalle_licitacion&amp;idEvl=4gEliok8%2Br%2B8ebB%2FXTwy0A%3D%3D")</x:f>
        <x:v>contrataciondelestado.es/wps/poc?uri=deeplink:detalle_licitacion&amp;idEvl=4gEliok8%2Br%2B8ebB%2FXTwy0A%3D%3D</x:v>
      </x:c>
      <x:c r="M5" s="11" t="s">
        <x:v>27</x:v>
      </x:c>
      <x:c r="N5" s="13" t="s">
        <x:v>28</x:v>
      </x:c>
      <x:c r="O5" s="11" t="s">
        <x:v>48</x:v>
      </x:c>
      <x:c r="P5" s="11" t="s">
        <x:v>49</x:v>
      </x:c>
      <x:c r="Q5" s="14" t="str">
        <x:f xml:space="preserve">HYPERLINK("https://www.infonalia.es/licitaciones1125/2025170104.pdf","www.infonalia.es/licitaciones1125/2025170104.pdf")</x:f>
        <x:v>www.infonalia.es/licitaciones1125/2025170104.pdf</x:v>
      </x:c>
    </x:row>
    <x:row r="6">
      <x:c r="A6" s="6" t="s">
        <x:v>17</x:v>
      </x:c>
      <x:c r="B6" s="6" t="s">
        <x:v>18</x:v>
      </x:c>
      <x:c r="C6" s="7" t="s">
        <x:v>50</x:v>
      </x:c>
      <x:c r="D6" s="8" t="s">
        <x:v>51</x:v>
      </x:c>
      <x:c r="E6" s="9" t="s">
        <x:v>21</x:v>
      </x:c>
      <x:c r="F6" s="6" t="s">
        <x:v>52</x:v>
      </x:c>
      <x:c r="G6" s="6" t="s">
        <x:v>53</x:v>
      </x:c>
      <x:c r="H6" s="6" t="s">
        <x:v>54</x:v>
      </x:c>
      <x:c r="I6" s="10" t="n">
        <x:v>41170.49</x:v>
      </x:c>
      <x:c r="J6" s="11" t="s">
        <x:v>25</x:v>
      </x:c>
      <x:c r="K6" s="11" t="s">
        <x:v>26</x:v>
      </x:c>
      <x:c r="L6" s="12" t="str">
        <x:f xml:space="preserve">HYPERLINK("https://contractaciopublica.cat/ca/detall-publicacio/b907dae7-344f-4429-9f98-de02e8c5b427/300630996","contractaciopublica.cat/ca/detall-publicacio/b907dae7-344f-4429-9f98-de02e8c5b427/300630996")</x:f>
        <x:v>contractaciopublica.cat/ca/detall-publicacio/b907dae7-344f-4429-9f98-de02e8c5b427/300630996</x:v>
      </x:c>
      <x:c r="M6" s="11" t="s">
        <x:v>27</x:v>
      </x:c>
      <x:c r="N6" s="13" t="s">
        <x:v>28</x:v>
      </x:c>
      <x:c r="O6" s="11" t="s">
        <x:v>55</x:v>
      </x:c>
      <x:c r="P6" s="11" t="s">
        <x:v>56</x:v>
      </x:c>
      <x:c r="Q6" s="14" t="str">
        <x:f xml:space="preserve">HYPERLINK("https://www.infonalia.es/licitaciones1125/2025170111.pdf","www.infonalia.es/licitaciones1125/2025170111.pdf")</x:f>
        <x:v>www.infonalia.es/licitaciones1125/2025170111.pdf</x:v>
      </x:c>
    </x:row>
    <x:row r="7">
      <x:c r="A7" s="6" t="s">
        <x:v>17</x:v>
      </x:c>
      <x:c r="B7" s="6" t="s">
        <x:v>18</x:v>
      </x:c>
      <x:c r="C7" s="7" t="s">
        <x:v>19</x:v>
      </x:c>
      <x:c r="D7" s="8" t="s">
        <x:v>57</x:v>
      </x:c>
      <x:c r="E7" s="9" t="s">
        <x:v>21</x:v>
      </x:c>
      <x:c r="F7" s="6" t="s">
        <x:v>58</x:v>
      </x:c>
      <x:c r="G7" s="6" t="s">
        <x:v>59</x:v>
      </x:c>
      <x:c r="H7" s="6" t="s">
        <x:v>60</x:v>
      </x:c>
      <x:c r="I7" s="10" t="n">
        <x:v>16147.37</x:v>
      </x:c>
      <x:c r="J7" s="11" t="s">
        <x:v>25</x:v>
      </x:c>
      <x:c r="K7" s="11" t="s">
        <x:v>26</x:v>
      </x:c>
      <x:c r="L7" s="12" t="str">
        <x:f xml:space="preserve">HYPERLINK("https://contractaciopublica.cat/ca/detall-publicacio/925bbeb3-61d5-4bb5-80b0-f99c1fddaad9/300629596","contractaciopublica.cat/ca/detall-publicacio/925bbeb3-61d5-4bb5-80b0-f99c1fddaad9/300629596")</x:f>
        <x:v>contractaciopublica.cat/ca/detall-publicacio/925bbeb3-61d5-4bb5-80b0-f99c1fddaad9/300629596</x:v>
      </x:c>
      <x:c r="M7" s="11" t="s">
        <x:v>27</x:v>
      </x:c>
      <x:c r="N7" s="13" t="s">
        <x:v>28</x:v>
      </x:c>
      <x:c r="O7" s="11" t="s">
        <x:v>61</x:v>
      </x:c>
      <x:c r="P7" s="11" t="s">
        <x:v>30</x:v>
      </x:c>
      <x:c r="Q7" s="14" t="str">
        <x:f xml:space="preserve">HYPERLINK("https://www.infonalia.es/licitaciones1125/2025170119.pdf","www.infonalia.es/licitaciones1125/2025170119.pdf")</x:f>
        <x:v>www.infonalia.es/licitaciones1125/2025170119.pdf</x:v>
      </x:c>
    </x:row>
    <x:row r="8">
      <x:c r="A8" s="6" t="s">
        <x:v>17</x:v>
      </x:c>
      <x:c r="B8" s="6" t="s">
        <x:v>18</x:v>
      </x:c>
      <x:c r="C8" s="7" t="s">
        <x:v>19</x:v>
      </x:c>
      <x:c r="D8" s="8" t="s">
        <x:v>62</x:v>
      </x:c>
      <x:c r="E8" s="9" t="s">
        <x:v>21</x:v>
      </x:c>
      <x:c r="F8" s="6" t="s">
        <x:v>63</x:v>
      </x:c>
      <x:c r="G8" s="6" t="s">
        <x:v>64</x:v>
      </x:c>
      <x:c r="H8" s="6" t="s">
        <x:v>65</x:v>
      </x:c>
      <x:c r="I8" s="10" t="n">
        <x:v>10384.95</x:v>
      </x:c>
      <x:c r="J8" s="11" t="s">
        <x:v>25</x:v>
      </x:c>
      <x:c r="K8" s="11" t="s">
        <x:v>26</x:v>
      </x:c>
      <x:c r="L8" s="12" t="str">
        <x:f xml:space="preserve">HYPERLINK("https://contractaciopublica.cat/ca/detall-publicacio/28a034cc-a9eb-4b59-beef-1a6356d3655e/300631235","contractaciopublica.cat/ca/detall-publicacio/28a034cc-a9eb-4b59-beef-1a6356d3655e/300631235")</x:f>
        <x:v>contractaciopublica.cat/ca/detall-publicacio/28a034cc-a9eb-4b59-beef-1a6356d3655e/300631235</x:v>
      </x:c>
      <x:c r="M8" s="11" t="s">
        <x:v>27</x:v>
      </x:c>
      <x:c r="N8" s="13" t="s">
        <x:v>28</x:v>
      </x:c>
      <x:c r="O8" s="11" t="s">
        <x:v>66</x:v>
      </x:c>
      <x:c r="P8" s="11" t="s">
        <x:v>30</x:v>
      </x:c>
      <x:c r="Q8" s="14" t="str">
        <x:f xml:space="preserve">HYPERLINK("https://www.infonalia.es/licitaciones1125/2025170128.pdf","www.infonalia.es/licitaciones1125/2025170128.pdf")</x:f>
        <x:v>www.infonalia.es/licitaciones1125/2025170128.pdf</x:v>
      </x:c>
    </x:row>
    <x:row r="9">
      <x:c r="A9" s="6" t="s">
        <x:v>17</x:v>
      </x:c>
      <x:c r="B9" s="6" t="s">
        <x:v>18</x:v>
      </x:c>
      <x:c r="C9" s="7" t="s">
        <x:v>67</x:v>
      </x:c>
      <x:c r="D9" s="8" t="s">
        <x:v>68</x:v>
      </x:c>
      <x:c r="E9" s="9" t="s">
        <x:v>21</x:v>
      </x:c>
      <x:c r="F9" s="6" t="s">
        <x:v>69</x:v>
      </x:c>
      <x:c r="G9" s="6" t="s">
        <x:v>70</x:v>
      </x:c>
      <x:c r="H9" s="6" t="s">
        <x:v>71</x:v>
      </x:c>
      <x:c r="I9" s="10" t="n">
        <x:v>51040.00</x:v>
      </x:c>
      <x:c r="J9" s="11" t="s">
        <x:v>25</x:v>
      </x:c>
      <x:c r="K9" s="11" t="s">
        <x:v>26</x:v>
      </x:c>
      <x:c r="L9" s="12" t="str">
        <x:f xml:space="preserve">HYPERLINK("https://contractaciopublica.cat/ca/detall-publicacio/3737e586-babd-4760-bbd4-44d47bf427fb/300630978","contractaciopublica.cat/ca/detall-publicacio/3737e586-babd-4760-bbd4-44d47bf427fb/300630978")</x:f>
        <x:v>contractaciopublica.cat/ca/detall-publicacio/3737e586-babd-4760-bbd4-44d47bf427fb/300630978</x:v>
      </x:c>
      <x:c r="M9" s="11" t="s">
        <x:v>27</x:v>
      </x:c>
      <x:c r="N9" s="13" t="s">
        <x:v>28</x:v>
      </x:c>
      <x:c r="O9" s="11" t="s">
        <x:v>72</x:v>
      </x:c>
      <x:c r="P9" s="11" t="s">
        <x:v>30</x:v>
      </x:c>
      <x:c r="Q9" s="14" t="str">
        <x:f xml:space="preserve">HYPERLINK("https://www.infonalia.es/licitaciones1125/2025170131.pdf","www.infonalia.es/licitaciones1125/2025170131.pdf")</x:f>
        <x:v>www.infonalia.es/licitaciones1125/2025170131.pdf</x:v>
      </x:c>
    </x:row>
    <x:row r="10">
      <x:c r="A10" s="6" t="s">
        <x:v>17</x:v>
      </x:c>
      <x:c r="B10" s="6" t="s">
        <x:v>18</x:v>
      </x:c>
      <x:c r="C10" s="7" t="s">
        <x:v>43</x:v>
      </x:c>
      <x:c r="D10" s="8" t="s">
        <x:v>73</x:v>
      </x:c>
      <x:c r="E10" s="9" t="s">
        <x:v>21</x:v>
      </x:c>
      <x:c r="F10" s="6" t="s">
        <x:v>45</x:v>
      </x:c>
      <x:c r="G10" s="6" t="s">
        <x:v>74</x:v>
      </x:c>
      <x:c r="H10" s="6" t="s">
        <x:v>75</x:v>
      </x:c>
      <x:c r="I10" s="10" t="n">
        <x:v>532825.29</x:v>
      </x:c>
      <x:c r="J10" s="11" t="s">
        <x:v>25</x:v>
      </x:c>
      <x:c r="K10" s="11" t="s">
        <x:v>26</x:v>
      </x:c>
      <x:c r="L10" s="12" t="str">
        <x:f xml:space="preserve">HYPERLINK("https://contrataciondelestado.es/wps/poc?uri=deeplink:detalle_licitacion&amp;idEvl=WdbzNNbSe65J8Trn0ZPzLw%3D%3D","contrataciondelestado.es/wps/poc?uri=deeplink:detalle_licitacion&amp;idEvl=WdbzNNbSe65J8Trn0ZPzLw%3D%3D")</x:f>
        <x:v>contrataciondelestado.es/wps/poc?uri=deeplink:detalle_licitacion&amp;idEvl=WdbzNNbSe65J8Trn0ZPzLw%3D%3D</x:v>
      </x:c>
      <x:c r="M10" s="11" t="s">
        <x:v>27</x:v>
      </x:c>
      <x:c r="N10" s="13" t="s">
        <x:v>28</x:v>
      </x:c>
      <x:c r="O10" s="11" t="s">
        <x:v>76</x:v>
      </x:c>
      <x:c r="P10" s="11" t="s">
        <x:v>77</x:v>
      </x:c>
      <x:c r="Q10" s="14" t="str">
        <x:f xml:space="preserve">HYPERLINK("https://www.infonalia.es/licitaciones1125/2025170168.pdf","www.infonalia.es/licitaciones1125/2025170168.pdf")</x:f>
        <x:v>www.infonalia.es/licitaciones1125/2025170168.pdf</x:v>
      </x:c>
    </x:row>
    <x:row r="11">
      <x:c r="A11" s="6" t="s">
        <x:v>17</x:v>
      </x:c>
      <x:c r="B11" s="6" t="s">
        <x:v>18</x:v>
      </x:c>
      <x:c r="C11" s="7" t="s">
        <x:v>19</x:v>
      </x:c>
      <x:c r="D11" s="8" t="s">
        <x:v>78</x:v>
      </x:c>
      <x:c r="E11" s="9" t="s">
        <x:v>21</x:v>
      </x:c>
      <x:c r="F11" s="6" t="s">
        <x:v>79</x:v>
      </x:c>
      <x:c r="G11" s="6" t="s">
        <x:v>80</x:v>
      </x:c>
      <x:c r="H11" s="6" t="s">
        <x:v>81</x:v>
      </x:c>
      <x:c r="I11" s="10" t="n">
        <x:v>20074.11</x:v>
      </x:c>
      <x:c r="J11" s="11" t="s">
        <x:v>25</x:v>
      </x:c>
      <x:c r="K11" s="11" t="s">
        <x:v>26</x:v>
      </x:c>
      <x:c r="L11" s="12" t="str">
        <x:f xml:space="preserve">HYPERLINK("https://contractaciopublica.cat/ca/detall-publicacio/0ee33990-a352-4523-a586-b030e1efb2ca/300630627","contractaciopublica.cat/ca/detall-publicacio/0ee33990-a352-4523-a586-b030e1efb2ca/300630627")</x:f>
        <x:v>contractaciopublica.cat/ca/detall-publicacio/0ee33990-a352-4523-a586-b030e1efb2ca/300630627</x:v>
      </x:c>
      <x:c r="M11" s="11" t="s">
        <x:v>27</x:v>
      </x:c>
      <x:c r="N11" s="13" t="s">
        <x:v>28</x:v>
      </x:c>
      <x:c r="O11" s="11" t="s">
        <x:v>82</x:v>
      </x:c>
      <x:c r="P11" s="11" t="s">
        <x:v>30</x:v>
      </x:c>
      <x:c r="Q11" s="14" t="str">
        <x:f xml:space="preserve">HYPERLINK("https://www.infonalia.es/licitaciones1125/2025170300.pdf","www.infonalia.es/licitaciones1125/2025170300.pdf")</x:f>
        <x:v>www.infonalia.es/licitaciones1125/2025170300.pdf</x:v>
      </x:c>
    </x:row>
    <x:row r="12">
      <x:c r="A12" s="6" t="s">
        <x:v>17</x:v>
      </x:c>
      <x:c r="B12" s="6" t="s">
        <x:v>83</x:v>
      </x:c>
      <x:c r="C12" s="7" t="s">
        <x:v>84</x:v>
      </x:c>
      <x:c r="D12" s="8" t="s">
        <x:v>85</x:v>
      </x:c>
      <x:c r="E12" s="9" t="s">
        <x:v>21</x:v>
      </x:c>
      <x:c r="F12" s="6" t="s">
        <x:v>86</x:v>
      </x:c>
      <x:c r="G12" s="6" t="s">
        <x:v>87</x:v>
      </x:c>
      <x:c r="H12" s="6" t="s">
        <x:v>88</x:v>
      </x:c>
      <x:c r="I12" s="10" t="n">
        <x:v>1200.00</x:v>
      </x:c>
      <x:c r="J12" s="11" t="s">
        <x:v>89</x:v>
      </x:c>
      <x:c r="K12" s="11" t="s">
        <x:v>90</x:v>
      </x:c>
      <x:c r="L12" s="12" t="str">
        <x:f xml:space="preserve">HYPERLINK("https://contractaciopublica.cat/es/detall-publicacio/300631434","contractaciopublica.cat/es/detall-publicacio/300631434")</x:f>
        <x:v>contractaciopublica.cat/es/detall-publicacio/300631434</x:v>
      </x:c>
      <x:c r="M12" s="11" t="s">
        <x:v>27</x:v>
      </x:c>
      <x:c r="N12" s="13" t="s">
        <x:v>28</x:v>
      </x:c>
      <x:c r="O12" s="11" t="s">
        <x:v>91</x:v>
      </x:c>
      <x:c r="P12" s="11" t="s">
        <x:v>30</x:v>
      </x:c>
      <x:c r="Q12" s="14" t="str">
        <x:f xml:space="preserve">HYPERLINK("https://www.infonalia.es/licitaciones1125/2025170378.pdf","www.infonalia.es/licitaciones1125/2025170378.pdf")</x:f>
        <x:v>www.infonalia.es/licitaciones1125/2025170378.pdf</x:v>
      </x:c>
    </x:row>
    <x:row r="13">
      <x:c r="A13" s="6" t="s">
        <x:v>17</x:v>
      </x:c>
      <x:c r="B13" s="6" t="s">
        <x:v>83</x:v>
      </x:c>
      <x:c r="C13" s="7" t="s">
        <x:v>92</x:v>
      </x:c>
      <x:c r="D13" s="8" t="s">
        <x:v>93</x:v>
      </x:c>
      <x:c r="E13" s="9" t="s">
        <x:v>21</x:v>
      </x:c>
      <x:c r="F13" s="6" t="s">
        <x:v>94</x:v>
      </x:c>
      <x:c r="G13" s="6" t="s">
        <x:v>95</x:v>
      </x:c>
      <x:c r="H13" s="6" t="s">
        <x:v>96</x:v>
      </x:c>
      <x:c r="I13" s="10" t="n">
        <x:v>14300.00</x:v>
      </x:c>
      <x:c r="J13" s="11" t="s">
        <x:v>89</x:v>
      </x:c>
      <x:c r="K13" s="11" t="s">
        <x:v>97</x:v>
      </x:c>
      <x:c r="L13" s="12" t="str">
        <x:f xml:space="preserve">HYPERLINK("https://contractaciopublica.cat/es/detall-publicacio/300631382","contractaciopublica.cat/es/detall-publicacio/300631382")</x:f>
        <x:v>contractaciopublica.cat/es/detall-publicacio/300631382</x:v>
      </x:c>
      <x:c r="M13" s="11" t="s">
        <x:v>27</x:v>
      </x:c>
      <x:c r="N13" s="13" t="s">
        <x:v>28</x:v>
      </x:c>
      <x:c r="O13" s="11" t="s">
        <x:v>98</x:v>
      </x:c>
      <x:c r="P13" s="11" t="s">
        <x:v>30</x:v>
      </x:c>
      <x:c r="Q13" s="14" t="str">
        <x:f xml:space="preserve">HYPERLINK("https://www.infonalia.es/licitaciones1125/2025170379.pdf","www.infonalia.es/licitaciones1125/2025170379.pdf")</x:f>
        <x:v>www.infonalia.es/licitaciones1125/2025170379.pdf</x:v>
      </x:c>
    </x:row>
    <x:row r="14">
      <x:c r="A14" s="6" t="s">
        <x:v>17</x:v>
      </x:c>
      <x:c r="B14" s="6" t="s">
        <x:v>99</x:v>
      </x:c>
      <x:c r="C14" s="7" t="s">
        <x:v>100</x:v>
      </x:c>
      <x:c r="D14" s="8" t="s">
        <x:v>101</x:v>
      </x:c>
      <x:c r="E14" s="9" t="s">
        <x:v>21</x:v>
      </x:c>
      <x:c r="F14" s="6" t="s">
        <x:v>102</x:v>
      </x:c>
      <x:c r="G14" s="6" t="s">
        <x:v>103</x:v>
      </x:c>
      <x:c r="H14" s="6" t="s">
        <x:v>104</x:v>
      </x:c>
      <x:c r="I14" s="10" t="n">
        <x:v>826.45</x:v>
      </x:c>
      <x:c r="J14" s="11" t="s">
        <x:v>89</x:v>
      </x:c>
      <x:c r="K14" s="11" t="s">
        <x:v>105</x:v>
      </x:c>
      <x:c r="L14" s="12" t="str">
        <x:f xml:space="preserve">HYPERLINK("https://miprincipado.asturias.es/perfil-contratante/ofertas-contratos-menores","miprincipado.asturias.es/perfil-contratante/ofertas-contratos-menores")</x:f>
        <x:v>miprincipado.asturias.es/perfil-contratante/ofertas-contratos-menores</x:v>
      </x:c>
      <x:c r="M14" s="11" t="s">
        <x:v>27</x:v>
      </x:c>
      <x:c r="N14" s="13" t="s">
        <x:v>28</x:v>
      </x:c>
      <x:c r="O14" s="11" t="s">
        <x:v>106</x:v>
      </x:c>
      <x:c r="P14" s="11" t="s">
        <x:v>107</x:v>
      </x:c>
      <x:c r="Q14" s="14" t="str">
        <x:f xml:space="preserve">HYPERLINK("https://www.infonalia.es/licitaciones1125/2025170385.pdf","www.infonalia.es/licitaciones1125/2025170385.pdf")</x:f>
        <x:v>www.infonalia.es/licitaciones1125/2025170385.pdf</x:v>
      </x:c>
    </x:row>
    <x:row r="15">
      <x:c r="A15" s="6" t="s">
        <x:v>17</x:v>
      </x:c>
      <x:c r="B15" s="6" t="s">
        <x:v>108</x:v>
      </x:c>
      <x:c r="C15" s="7" t="s">
        <x:v>109</x:v>
      </x:c>
      <x:c r="D15" s="8" t="s">
        <x:v>110</x:v>
      </x:c>
      <x:c r="E15" s="9" t="s">
        <x:v>21</x:v>
      </x:c>
      <x:c r="F15" s="6" t="s">
        <x:v>111</x:v>
      </x:c>
      <x:c r="G15" s="6" t="s">
        <x:v>112</x:v>
      </x:c>
      <x:c r="H15" s="6" t="s">
        <x:v>113</x:v>
      </x:c>
      <x:c r="I15" s="10" t="n">
        <x:v>25000.00</x:v>
      </x:c>
      <x:c r="J15" s="11" t="s">
        <x:v>114</x:v>
      </x:c>
      <x:c r="K15" s="11" t="s">
        <x:v>115</x:v>
      </x:c>
      <x:c r="L15" s="12" t="str">
        <x:f xml:space="preserve">HYPERLINK("https://segib.org/es/contrataciones/","segib.org/es/contrataciones/")</x:f>
        <x:v>segib.org/es/contrataciones/</x:v>
      </x:c>
      <x:c r="M15" s="11" t="s">
        <x:v>27</x:v>
      </x:c>
      <x:c r="N15" s="13" t="s">
        <x:v>28</x:v>
      </x:c>
      <x:c r="O15" s="11" t="s">
        <x:v>116</x:v>
      </x:c>
      <x:c r="P15" s="11" t="s">
        <x:v>117</x:v>
      </x:c>
      <x:c r="Q15" s="14" t="str">
        <x:f xml:space="preserve">HYPERLINK("https://www.infonalia.es/licitaciones1125/2025170447.pdf","www.infonalia.es/licitaciones1125/2025170447.pdf")</x:f>
        <x:v>www.infonalia.es/licitaciones1125/2025170447.pdf</x:v>
      </x:c>
    </x:row>
    <x:row r="16">
      <x:c r="A16" s="6" t="s">
        <x:v>17</x:v>
      </x:c>
      <x:c r="B16" s="6" t="s">
        <x:v>18</x:v>
      </x:c>
      <x:c r="C16" s="7" t="s">
        <x:v>118</x:v>
      </x:c>
      <x:c r="D16" s="8" t="s">
        <x:v>119</x:v>
      </x:c>
      <x:c r="E16" s="9" t="s">
        <x:v>21</x:v>
      </x:c>
      <x:c r="F16" s="6" t="s">
        <x:v>120</x:v>
      </x:c>
      <x:c r="G16" s="6" t="s">
        <x:v>121</x:v>
      </x:c>
      <x:c r="H16" s="6" t="s">
        <x:v>122</x:v>
      </x:c>
      <x:c r="I16" s="10" t="n">
        <x:v>1545490.20</x:v>
      </x:c>
      <x:c r="J16" s="11" t="s">
        <x:v>25</x:v>
      </x:c>
      <x:c r="K16" s="11" t="s">
        <x:v>26</x:v>
      </x:c>
      <x:c r="L16" s="12" t="str">
        <x:f xml:space="preserve">HYPERLINK("https://contrataciondelestado.es/wps/poc?uri=deeplink:detalle_licitacion&amp;idEvl=OkFpwKjMu4FQFSeKCRun4Q%3D%3D","contrataciondelestado.es/wps/poc?uri=deeplink:detalle_licitacion&amp;idEvl=OkFpwKjMu4FQFSeKCRun4Q%3D%3D")</x:f>
        <x:v>contrataciondelestado.es/wps/poc?uri=deeplink:detalle_licitacion&amp;idEvl=OkFpwKjMu4FQFSeKCRun4Q%3D%3D</x:v>
      </x:c>
      <x:c r="M16" s="11" t="s">
        <x:v>27</x:v>
      </x:c>
      <x:c r="N16" s="13" t="s">
        <x:v>21</x:v>
      </x:c>
      <x:c r="O16" s="11" t="s">
        <x:v>123</x:v>
      </x:c>
      <x:c r="P16" s="11" t="s">
        <x:v>36</x:v>
      </x:c>
      <x:c r="Q16" s="14" t="str">
        <x:f xml:space="preserve">HYPERLINK("https://www.infonalia.es/licitaciones1125/2025170493.pdf","www.infonalia.es/licitaciones1125/2025170493.pdf")</x:f>
        <x:v>www.infonalia.es/licitaciones1125/2025170493.pdf</x:v>
      </x:c>
    </x:row>
    <x:row r="17">
      <x:c r="A17" s="6" t="s">
        <x:v>17</x:v>
      </x:c>
      <x:c r="B17" s="6" t="s">
        <x:v>18</x:v>
      </x:c>
      <x:c r="C17" s="7" t="s">
        <x:v>21</x:v>
      </x:c>
      <x:c r="D17" s="8" t="s">
        <x:v>124</x:v>
      </x:c>
      <x:c r="E17" s="9" t="s">
        <x:v>21</x:v>
      </x:c>
      <x:c r="F17" s="6" t="s">
        <x:v>125</x:v>
      </x:c>
      <x:c r="G17" s="6" t="s">
        <x:v>126</x:v>
      </x:c>
      <x:c r="H17" s="6" t="s">
        <x:v>127</x:v>
      </x:c>
      <x:c r="I17" s="10" t="n">
        <x:v>14942.15</x:v>
      </x:c>
      <x:c r="J17" s="11" t="s">
        <x:v>25</x:v>
      </x:c>
      <x:c r="K17" s="11" t="s">
        <x:v>26</x:v>
      </x:c>
      <x:c r="L17" s="12" t="str">
        <x:f xml:space="preserve">HYPERLINK("https://contrataciondelestado.es/wps/poc?uri=deeplink:detalle_licitacion&amp;idEvl=PA2tmLZ%2BrTnmnwcj%2BxbdTg%3D%3D","contrataciondelestado.es/wps/poc?uri=deeplink:detalle_licitacion&amp;idEvl=PA2tmLZ%2BrTnmnwcj%2BxbdTg%3D%3D")</x:f>
        <x:v>contrataciondelestado.es/wps/poc?uri=deeplink:detalle_licitacion&amp;idEvl=PA2tmLZ%2BrTnmnwcj%2BxbdTg%3D%3D</x:v>
      </x:c>
      <x:c r="M17" s="11" t="s">
        <x:v>27</x:v>
      </x:c>
      <x:c r="N17" s="13" t="s">
        <x:v>21</x:v>
      </x:c>
      <x:c r="O17" s="11" t="s">
        <x:v>128</x:v>
      </x:c>
      <x:c r="P17" s="11" t="s">
        <x:v>36</x:v>
      </x:c>
      <x:c r="Q17" s="14" t="str">
        <x:f xml:space="preserve">HYPERLINK("https://www.infonalia.es/licitaciones1125/2025170656.pdf","www.infonalia.es/licitaciones1125/2025170656.pdf")</x:f>
        <x:v>www.infonalia.es/licitaciones1125/2025170656.pdf</x:v>
      </x:c>
    </x:row>
    <x:row r="18">
      <x:c r="A18" s="6" t="s">
        <x:v>17</x:v>
      </x:c>
      <x:c r="B18" s="6" t="s">
        <x:v>18</x:v>
      </x:c>
      <x:c r="C18" s="7" t="s">
        <x:v>129</x:v>
      </x:c>
      <x:c r="D18" s="8" t="s">
        <x:v>130</x:v>
      </x:c>
      <x:c r="E18" s="9" t="s">
        <x:v>21</x:v>
      </x:c>
      <x:c r="F18" s="6" t="s">
        <x:v>131</x:v>
      </x:c>
      <x:c r="G18" s="6" t="s">
        <x:v>132</x:v>
      </x:c>
      <x:c r="H18" s="6" t="s">
        <x:v>133</x:v>
      </x:c>
      <x:c r="I18" s="10" t="n">
        <x:v>14999.00</x:v>
      </x:c>
      <x:c r="J18" s="11" t="s">
        <x:v>25</x:v>
      </x:c>
      <x:c r="K18" s="11" t="s">
        <x:v>26</x:v>
      </x:c>
      <x:c r="L18" s="12" t="str">
        <x:f xml:space="preserve">HYPERLINK("https://contrataciondelestado.es/wps/poc?uri=deeplink:detalle_licitacion&amp;idEvl=bkAJGlN%2BDrDmnwcj%2BxbdTg%3D%3D","contrataciondelestado.es/wps/poc?uri=deeplink:detalle_licitacion&amp;idEvl=bkAJGlN%2BDrDmnwcj%2BxbdTg%3D%3D")</x:f>
        <x:v>contrataciondelestado.es/wps/poc?uri=deeplink:detalle_licitacion&amp;idEvl=bkAJGlN%2BDrDmnwcj%2BxbdTg%3D%3D</x:v>
      </x:c>
      <x:c r="M18" s="11" t="s">
        <x:v>27</x:v>
      </x:c>
      <x:c r="N18" s="13" t="s">
        <x:v>21</x:v>
      </x:c>
      <x:c r="O18" s="11" t="s">
        <x:v>134</x:v>
      </x:c>
      <x:c r="P18" s="11" t="s">
        <x:v>36</x:v>
      </x:c>
      <x:c r="Q18" s="14" t="str">
        <x:f xml:space="preserve">HYPERLINK("https://www.infonalia.es/licitaciones1125/2025170660.pdf","www.infonalia.es/licitaciones1125/2025170660.pdf")</x:f>
        <x:v>www.infonalia.es/licitaciones1125/2025170660.pdf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