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<x:sst xmlns:x="http://schemas.openxmlformats.org/spreadsheetml/2006/main" count="17" uniqueCount="17">
  <x:si>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</x:si>
  <x:si>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</x:si>
  <x:si>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</x:si>
  <x:si>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</x:si>
  <x:si>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</x:si>
  <x:si>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</x:si>
  <x:si>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</x:si>
  <x:si>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</x:si>
  <x:si>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</x:si>
  <x:si>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</x:si>
  <x:si>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</x:si>
  <x:si>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</x:si>
  <x:si>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</x:si>
  <x:si>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</x:si>
  <x:si>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</x:si>
  <x:si>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</x:si>
  <x:si>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</x:si>
  <x:si>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</x:si>
  <x:si>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</x:si>
  <x:si>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09/02/26</x:t>
  </x:si>
  <x:si>
    <x:t>2026005065</x:t>
  </x:si>
  <x:si>
    <x:t>20/01/26</x:t>
  </x:si>
  <x:si>
    <x:t>DIRECCIÓN GENERAL DEL CENTRO PARA EL DESARROLLO TECNOLÓGICO Y LA INNOVACIÓN, E.P.E</x:t>
  </x:si>
  <x:si>
    <x:t>Servicio de clipping y monitorización de noticias y menciones sobre el CDTI en medios escritos y digitales</x:t>
  </x:si>
  <x:si>
    <x:t>19/2025 S (DG/DC)</x:t>
  </x:si>
  <x:si>
    <x:t>Importe sin impuestos</x:t>
  </x:si>
  <x:si>
    <x:t/>
  </x:si>
  <x:si>
    <x:t>-----</x:t>
  </x:si>
  <x:si>
    <x:t>19/01/26</x:t>
  </x:si>
  <x:si>
    <x:t/>
  </x:si>
  <x:si>
    <x:t>Madrid</x:t>
  </x:si>
  <x:si>
    <x:t>Catalunya - Plataforma de Contratación</x:t>
  </x:si>
  <x:si>
    <x:t>23/01/26</x:t>
  </x:si>
  <x:si>
    <x:t>2026005277</x:t>
  </x:si>
  <x:si>
    <x:t>AYUNTAMIENTO DE VILADECANS (BARCELONA)</x:t>
  </x:si>
  <x:si>
    <x:t>Contrato menor de servicios para la puesta en marcha del Plan de Actuacion Integral de Viladecans -PAI- financiado por el FEDER</x:t>
  </x:si>
  <x:si>
    <x:t>5/2026/CMSERV2</x:t>
  </x:si>
  <x:si>
    <x:t>IVA excuido</x:t>
  </x:si>
  <x:si>
    <x:t/>
  </x:si>
  <x:si>
    <x:t/>
  </x:si>
  <x:si>
    <x:t>Barcelona</x:t>
  </x:si>
  <x:si>
    <x:t>Barcelona. Perfil del Contratante del Ayuntamiento</x:t>
  </x:si>
  <x:si>
    <x:t>2026005294</x:t>
  </x:si>
  <x:si>
    <x:t>AYUNTAMIENTO DE BARCELONA</x:t>
  </x:si>
  <x:si>
    <x:t>Desarrollo de relato informativo vinculado a medios de comunicación sobre seguridad, 
prevención y convivencia municipales.</x:t>
  </x:si>
  <x:si>
    <x:t>001_P2600043</x:t>
  </x:si>
  <x:si>
    <x:t/>
  </x:si>
  <x:si>
    <x:t/>
  </x:si>
  <x:si>
    <x:t>26/01/26</x:t>
  </x:si>
  <x:si>
    <x:t>2026005296</x:t>
  </x:si>
  <x:si>
    <x:t>INSTITUT BARCELONA ESPORTS</x:t>
  </x:si>
  <x:si>
    <x:t>Servicios de fotografía y/o audiovisuales del departamento de comunicación del Instituto
 Barcelona Deportes.</x:t>
  </x:si>
  <x:si>
    <x:t>032_P2600020</x:t>
  </x:si>
  <x:si>
    <x:t/>
  </x:si>
  <x:si>
    <x:t/>
  </x:si>
  <x:si>
    <x:t>2026005297</x:t>
  </x:si>
  <x:si>
    <x:t>INSTITUT DE CULTURA DE BARCELONA</x:t>
  </x:si>
  <x:si>
    <x:t>Servicios de producción de elementos de merchandising del Instituto de Cultura de Barcelona.</x:t>
  </x:si>
  <x:si>
    <x:t>006_P2600092</x:t>
  </x:si>
  <x:si>
    <x:t/>
  </x:si>
  <x:si>
    <x:t/>
  </x:si>
  <x:si>
    <x:t>2026005347</x:t>
  </x:si>
  <x:si>
    <x:t>CONCEJAL DE CONTRATACIÓN DEL AYUNTAMIENTO DE TORREJÓN DE ARDOZ (MADRID)</x:t>
  </x:si>
  <x:si>
    <x:t>Gestión certámenes pintura y fotografía</x:t>
  </x:si>
  <x:si>
    <x:t>22/2026</x:t>
  </x:si>
  <x:si>
    <x:t/>
  </x:si>
  <x:si>
    <x:t>22/01/26</x:t>
  </x:si>
  <x:si>
    <x:t>2026005362</x:t>
  </x:si>
  <x:si>
    <x:t>JUNTA DE GOBIERNO DEL AYUNTAMIENTO DE ALCOBENDAS (MADRID)</x:t>
  </x:si>
  <x:si>
    <x:t>Maquetación, Grabación de textos, Inserción de imágenes e Impresión digital para web y móviles de la Guía de Centros de Secundaria 2026-2027</x:t>
  </x:si>
  <x:si>
    <x:t>CM 2026 423 011</x:t>
  </x:si>
  <x:si>
    <x:t/>
  </x:si>
  <x:si>
    <x:t>04/02/26</x:t>
  </x:si>
  <x:si>
    <x:t>2026005409</x:t>
  </x:si>
  <x:si>
    <x:t>AYUNTAMIENTO DE SANT VICENÇ DELS HORTS (BARCELONA)</x:t>
  </x:si>
  <x:si>
    <x:t>Organización de las carreras populares de Sant Vicenç dels Horts.</x:t>
  </x:si>
  <x:si>
    <x:t>CTON2026000001</x:t>
  </x:si>
  <x:si>
    <x:t/>
  </x:si>
  <x:si>
    <x:t>2026005433</x:t>
  </x:si>
  <x:si>
    <x:t>CONSEJO DE ADMINISTRACIÓN DE LA EMPRESA MUNICIPAL DE SERVICIOS DE MEDIO AMBIENTE URBANO DE GIJÓN (EMULSA)</x:t>
  </x:si>
  <x:si>
    <x:t>Servicio de planificación, diseño, comunicación, ejecución y valoración de una campaña de información y sensibilización sobre la recogida separada de residuos de poda y siega en Gijón, financiado por la Unión Europea – Nextgeneration EU, dentro del Plan de Recuperación, Transformación y Resiliencia</x:t>
  </x:si>
  <x:si>
    <x:t>20250045</x:t>
  </x:si>
  <x:si>
    <x:t/>
  </x:si>
  <x:si>
    <x:t>Asturias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</x:si>
</x:sst>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57000.00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HYPERLINK("https://contrataciondelestado.es/wps/poc?uri=deeplink:detalle_licitacion&amp;idEvl=ud4gV8xY6XxxseVhcqrkhw%3D%3D","contrataciondelestado.es/wps/poc?uri=deeplink:detalle_licitacion&amp;idEvl=ud4gV8xY6XxxseVhcqrkhw%3D%3D")</x:f>
        <x:v>contrataciondelestado.es/wps/poc?uri=deeplink:detalle_licitacion&amp;idEvl=ud4gV8xY6XxxseVhcqrkhw%3D%3D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HYPERLINK("https://www.infonalia.es/licitaciones0126/2026005065.pdf","www.infonalia.es/licitaciones0126/2026005065.pdf")</x:f>
        <x:v>www.infonalia.es/licitaciones0126/2026005065.pdf</x:v>
      </x:c>
    </x:row>
    <x:row r="3">
      <x:c r="A3" s="6" t="s">
        <x:v>17</x:v>
      </x:c>
      <x:c r="B3" s="6" t="s">
        <x:v>31</x:v>
      </x:c>
      <x:c r="C3" s="7" t="s">
        <x:v>32</x:v>
      </x:c>
      <x:c r="D3" s="8" t="s">
        <x:v>33</x:v>
      </x:c>
      <x:c r="E3" s="9" t="s">
        <x:v>21</x:v>
      </x:c>
      <x:c r="F3" s="6" t="s">
        <x:v>34</x:v>
      </x:c>
      <x:c r="G3" s="6" t="s">
        <x:v>35</x:v>
      </x:c>
      <x:c r="H3" s="6" t="s">
        <x:v>36</x:v>
      </x:c>
      <x:c r="I3" s="10" t="n">
        <x:v>14999.00</x:v>
      </x:c>
      <x:c r="J3" s="11" t="s">
        <x:v>37</x:v>
      </x:c>
      <x:c r="K3" s="11" t="s">
        <x:v>38</x:v>
      </x:c>
      <x:c r="L3" s="12" t="str">
        <x:f xml:space="preserve">HYPERLINK("https://contractaciopublica.cat/es/detall-publicacio/300669603","contractaciopublica.cat/es/detall-publicacio/300669603")</x:f>
        <x:v>contractaciopublica.cat/es/detall-publicacio/300669603</x:v>
      </x:c>
      <x:c r="M3" s="11" t="s">
        <x:v>27</x:v>
      </x:c>
      <x:c r="N3" s="13" t="s">
        <x:v>28</x:v>
      </x:c>
      <x:c r="O3" s="11" t="s">
        <x:v>39</x:v>
      </x:c>
      <x:c r="P3" s="11" t="s">
        <x:v>40</x:v>
      </x:c>
      <x:c r="Q3" s="14" t="str">
        <x:f xml:space="preserve">HYPERLINK("https://www.infonalia.es/licitaciones0126/2026005277.pdf","www.infonalia.es/licitaciones0126/2026005277.pdf")</x:f>
        <x:v>www.infonalia.es/licitaciones0126/2026005277.pdf</x:v>
      </x:c>
    </x:row>
    <x:row r="4">
      <x:c r="A4" s="6" t="s">
        <x:v>17</x:v>
      </x:c>
      <x:c r="B4" s="6" t="s">
        <x:v>41</x:v>
      </x:c>
      <x:c r="C4" s="7" t="s">
        <x:v>32</x:v>
      </x:c>
      <x:c r="D4" s="8" t="s">
        <x:v>42</x:v>
      </x:c>
      <x:c r="E4" s="9" t="s">
        <x:v>21</x:v>
      </x:c>
      <x:c r="F4" s="6" t="s">
        <x:v>43</x:v>
      </x:c>
      <x:c r="G4" s="6" t="s">
        <x:v>44</x:v>
      </x:c>
      <x:c r="H4" s="6" t="s">
        <x:v>45</x:v>
      </x:c>
      <x:c r="I4" s="10" t="n">
        <x:v>14049.59</x:v>
      </x:c>
      <x:c r="J4" s="11" t="s">
        <x:v>25</x:v>
      </x:c>
      <x:c r="K4" s="11" t="s">
        <x:v>46</x:v>
      </x:c>
      <x:c r="L4" s="12" t="str">
        <x:f xml:space="preserve">HYPERLINK("https://licitacions.bcn.cat/licitacion/licitaciones/detalle?id=14419469","licitacions.bcn.cat/licitacion/licitaciones/detalle?id=14419469")</x:f>
        <x:v>licitacions.bcn.cat/licitacion/licitaciones/detalle?id=14419469</x:v>
      </x:c>
      <x:c r="M4" s="11" t="s">
        <x:v>27</x:v>
      </x:c>
      <x:c r="N4" s="13" t="s">
        <x:v>28</x:v>
      </x:c>
      <x:c r="O4" s="11" t="s">
        <x:v>47</x:v>
      </x:c>
      <x:c r="P4" s="11" t="s">
        <x:v>40</x:v>
      </x:c>
      <x:c r="Q4" s="14" t="str">
        <x:f xml:space="preserve">HYPERLINK("https://www.infonalia.es/licitaciones0126/2026005294.pdf","www.infonalia.es/licitaciones0126/2026005294.pdf")</x:f>
        <x:v>www.infonalia.es/licitaciones0126/2026005294.pdf</x:v>
      </x:c>
    </x:row>
    <x:row r="5">
      <x:c r="A5" s="6" t="s">
        <x:v>17</x:v>
      </x:c>
      <x:c r="B5" s="6" t="s">
        <x:v>41</x:v>
      </x:c>
      <x:c r="C5" s="7" t="s">
        <x:v>48</x:v>
      </x:c>
      <x:c r="D5" s="8" t="s">
        <x:v>49</x:v>
      </x:c>
      <x:c r="E5" s="9" t="s">
        <x:v>21</x:v>
      </x:c>
      <x:c r="F5" s="6" t="s">
        <x:v>50</x:v>
      </x:c>
      <x:c r="G5" s="6" t="s">
        <x:v>51</x:v>
      </x:c>
      <x:c r="H5" s="6" t="s">
        <x:v>52</x:v>
      </x:c>
      <x:c r="I5" s="10" t="n">
        <x:v>14880.00</x:v>
      </x:c>
      <x:c r="J5" s="11" t="s">
        <x:v>25</x:v>
      </x:c>
      <x:c r="K5" s="11" t="s">
        <x:v>53</x:v>
      </x:c>
      <x:c r="L5" s="12" t="str">
        <x:f xml:space="preserve">HYPERLINK("https://licitacions.bcn.cat/licitacion/licitaciones/detalle?id=14467364","licitacions.bcn.cat/licitacion/licitaciones/detalle?id=14467364")</x:f>
        <x:v>licitacions.bcn.cat/licitacion/licitaciones/detalle?id=14467364</x:v>
      </x:c>
      <x:c r="M5" s="11" t="s">
        <x:v>27</x:v>
      </x:c>
      <x:c r="N5" s="13" t="s">
        <x:v>28</x:v>
      </x:c>
      <x:c r="O5" s="11" t="s">
        <x:v>54</x:v>
      </x:c>
      <x:c r="P5" s="11" t="s">
        <x:v>40</x:v>
      </x:c>
      <x:c r="Q5" s="14" t="str">
        <x:f xml:space="preserve">HYPERLINK("https://www.infonalia.es/licitaciones0126/2026005296.pdf","www.infonalia.es/licitaciones0126/2026005296.pdf")</x:f>
        <x:v>www.infonalia.es/licitaciones0126/2026005296.pdf</x:v>
      </x:c>
    </x:row>
    <x:row r="6">
      <x:c r="A6" s="6" t="s">
        <x:v>17</x:v>
      </x:c>
      <x:c r="B6" s="6" t="s">
        <x:v>41</x:v>
      </x:c>
      <x:c r="C6" s="7" t="s">
        <x:v>48</x:v>
      </x:c>
      <x:c r="D6" s="8" t="s">
        <x:v>55</x:v>
      </x:c>
      <x:c r="E6" s="9" t="s">
        <x:v>21</x:v>
      </x:c>
      <x:c r="F6" s="6" t="s">
        <x:v>56</x:v>
      </x:c>
      <x:c r="G6" s="6" t="s">
        <x:v>57</x:v>
      </x:c>
      <x:c r="H6" s="6" t="s">
        <x:v>58</x:v>
      </x:c>
      <x:c r="I6" s="10" t="n">
        <x:v>14999.00</x:v>
      </x:c>
      <x:c r="J6" s="11" t="s">
        <x:v>25</x:v>
      </x:c>
      <x:c r="K6" s="11" t="s">
        <x:v>59</x:v>
      </x:c>
      <x:c r="L6" s="12" t="str">
        <x:f xml:space="preserve">HYPERLINK("https://licitacions.bcn.cat/licitacion/licitaciones/detalle?id=14466296","licitacions.bcn.cat/licitacion/licitaciones/detalle?id=14466296")</x:f>
        <x:v>licitacions.bcn.cat/licitacion/licitaciones/detalle?id=14466296</x:v>
      </x:c>
      <x:c r="M6" s="11" t="s">
        <x:v>27</x:v>
      </x:c>
      <x:c r="N6" s="13" t="s">
        <x:v>28</x:v>
      </x:c>
      <x:c r="O6" s="11" t="s">
        <x:v>60</x:v>
      </x:c>
      <x:c r="P6" s="11" t="s">
        <x:v>40</x:v>
      </x:c>
      <x:c r="Q6" s="14" t="str">
        <x:f xml:space="preserve">HYPERLINK("https://www.infonalia.es/licitaciones0126/2026005297.pdf","www.infonalia.es/licitaciones0126/2026005297.pdf")</x:f>
        <x:v>www.infonalia.es/licitaciones0126/2026005297.pdf</x:v>
      </x:c>
    </x:row>
    <x:row r="7">
      <x:c r="A7" s="6" t="s">
        <x:v>17</x:v>
      </x:c>
      <x:c r="B7" s="6" t="s">
        <x:v>18</x:v>
      </x:c>
      <x:c r="C7" s="7" t="s">
        <x:v>48</x:v>
      </x:c>
      <x:c r="D7" s="8" t="s">
        <x:v>61</x:v>
      </x:c>
      <x:c r="E7" s="9" t="s">
        <x:v>21</x:v>
      </x:c>
      <x:c r="F7" s="6" t="s">
        <x:v>62</x:v>
      </x:c>
      <x:c r="G7" s="6" t="s">
        <x:v>63</x:v>
      </x:c>
      <x:c r="H7" s="6" t="s">
        <x:v>64</x:v>
      </x:c>
      <x:c r="I7" s="10" t="n">
        <x:v>1652.00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HYPERLINK("https://contrataciondelestado.es/wps/poc?uri=deeplink:detalle_licitacion&amp;idEvl=1NPD%2BltiG04zjChw4z%2FXvw%3D%3D","contrataciondelestado.es/wps/poc?uri=deeplink:detalle_licitacion&amp;idEvl=1NPD%2BltiG04zjChw4z%2FXvw%3D%3D")</x:f>
        <x:v>contrataciondelestado.es/wps/poc?uri=deeplink:detalle_licitacion&amp;idEvl=1NPD%2BltiG04zjChw4z%2FXvw%3D%3D</x:v>
      </x:c>
      <x:c r="M7" s="11" t="s">
        <x:v>27</x:v>
      </x:c>
      <x:c r="N7" s="13" t="s">
        <x:v>28</x:v>
      </x:c>
      <x:c r="O7" s="11" t="s">
        <x:v>65</x:v>
      </x:c>
      <x:c r="P7" s="11" t="s">
        <x:v>30</x:v>
      </x:c>
      <x:c r="Q7" s="14" t="str">
        <x:f xml:space="preserve">HYPERLINK("https://www.infonalia.es/licitaciones0126/2026005347.pdf","www.infonalia.es/licitaciones0126/2026005347.pdf")</x:f>
        <x:v>www.infonalia.es/licitaciones0126/2026005347.pdf</x:v>
      </x:c>
    </x:row>
    <x:row r="8">
      <x:c r="A8" s="6" t="s">
        <x:v>17</x:v>
      </x:c>
      <x:c r="B8" s="6" t="s">
        <x:v>18</x:v>
      </x:c>
      <x:c r="C8" s="7" t="s">
        <x:v>66</x:v>
      </x:c>
      <x:c r="D8" s="8" t="s">
        <x:v>67</x:v>
      </x:c>
      <x:c r="E8" s="9" t="s">
        <x:v>21</x:v>
      </x:c>
      <x:c r="F8" s="6" t="s">
        <x:v>68</x:v>
      </x:c>
      <x:c r="G8" s="6" t="s">
        <x:v>69</x:v>
      </x:c>
      <x:c r="H8" s="6" t="s">
        <x:v>70</x:v>
      </x:c>
      <x:c r="I8" s="10" t="n">
        <x:v>700.00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HYPERLINK("https://contrataciondelestado.es/wps/poc?uri=deeplink:detalle_licitacion&amp;idEvl=zxG81TJYRS0%2B1TMyIiZmzw%3D%3D","contrataciondelestado.es/wps/poc?uri=deeplink:detalle_licitacion&amp;idEvl=zxG81TJYRS0%2B1TMyIiZmzw%3D%3D")</x:f>
        <x:v>contrataciondelestado.es/wps/poc?uri=deeplink:detalle_licitacion&amp;idEvl=zxG81TJYRS0%2B1TMyIiZmzw%3D%3D</x:v>
      </x:c>
      <x:c r="M8" s="11" t="s">
        <x:v>27</x:v>
      </x:c>
      <x:c r="N8" s="13" t="s">
        <x:v>28</x:v>
      </x:c>
      <x:c r="O8" s="11" t="s">
        <x:v>71</x:v>
      </x:c>
      <x:c r="P8" s="11" t="s">
        <x:v>30</x:v>
      </x:c>
      <x:c r="Q8" s="14" t="str">
        <x:f xml:space="preserve">HYPERLINK("https://www.infonalia.es/licitaciones0126/2026005362.pdf","www.infonalia.es/licitaciones0126/2026005362.pdf")</x:f>
        <x:v>www.infonalia.es/licitaciones0126/2026005362.pdf</x:v>
      </x:c>
    </x:row>
    <x:row r="9">
      <x:c r="A9" s="6" t="s">
        <x:v>17</x:v>
      </x:c>
      <x:c r="B9" s="6" t="s">
        <x:v>18</x:v>
      </x:c>
      <x:c r="C9" s="7" t="s">
        <x:v>72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57848.32</x:v>
      </x:c>
      <x:c r="J9" s="11" t="s">
        <x:v>25</x:v>
      </x:c>
      <x:c r="K9" s="11" t="s">
        <x:v>26</x:v>
      </x:c>
      <x:c r="L9" s="12" t="str">
        <x:f xml:space="preserve">HYPERLINK("https://contractaciopublica.cat/ca/detall-publicacio/6a5b49db-5400-428c-a0ee-d124a8a76b38/300669587","contractaciopublica.cat/ca/detall-publicacio/6a5b49db-5400-428c-a0ee-d124a8a76b38/300669587")</x:f>
        <x:v>contractaciopublica.cat/ca/detall-publicacio/6a5b49db-5400-428c-a0ee-d124a8a76b38/300669587</x:v>
      </x:c>
      <x:c r="M9" s="11" t="s">
        <x:v>27</x:v>
      </x:c>
      <x:c r="N9" s="13" t="s">
        <x:v>21</x:v>
      </x:c>
      <x:c r="O9" s="11" t="s">
        <x:v>77</x:v>
      </x:c>
      <x:c r="P9" s="11" t="s">
        <x:v>40</x:v>
      </x:c>
      <x:c r="Q9" s="14" t="str">
        <x:f xml:space="preserve">HYPERLINK("https://www.infonalia.es/licitaciones0126/2026005409.pdf","www.infonalia.es/licitaciones0126/2026005409.pdf")</x:f>
        <x:v>www.infonalia.es/licitaciones0126/2026005409.pdf</x:v>
      </x:c>
    </x:row>
    <x:row r="10">
      <x:c r="A10" s="6" t="s">
        <x:v>17</x:v>
      </x:c>
      <x:c r="B10" s="6" t="s">
        <x:v>18</x:v>
      </x:c>
      <x:c r="C10" s="7" t="s">
        <x:v>72</x:v>
      </x:c>
      <x:c r="D10" s="8" t="s">
        <x:v>78</x:v>
      </x:c>
      <x:c r="E10" s="9" t="s">
        <x:v>21</x:v>
      </x:c>
      <x:c r="F10" s="6" t="s">
        <x:v>79</x:v>
      </x:c>
      <x:c r="G10" s="6" t="s">
        <x:v>80</x:v>
      </x:c>
      <x:c r="H10" s="6" t="s">
        <x:v>81</x:v>
      </x:c>
      <x:c r="I10" s="10" t="n">
        <x:v>30000.00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HYPERLINK("https://contrataciondelestado.es/wps/poc?uri=deeplink:detalle_licitacion&amp;idEvl=kZeHSIsLU0TL1rX3q%2FMAPA%3D%3D","contrataciondelestado.es/wps/poc?uri=deeplink:detalle_licitacion&amp;idEvl=kZeHSIsLU0TL1rX3q%2FMAPA%3D%3D")</x:f>
        <x:v>contrataciondelestado.es/wps/poc?uri=deeplink:detalle_licitacion&amp;idEvl=kZeHSIsLU0TL1rX3q%2FMAPA%3D%3D</x:v>
      </x:c>
      <x:c r="M10" s="11" t="s">
        <x:v>27</x:v>
      </x:c>
      <x:c r="N10" s="13" t="s">
        <x:v>21</x:v>
      </x:c>
      <x:c r="O10" s="11" t="s">
        <x:v>82</x:v>
      </x:c>
      <x:c r="P10" s="11" t="s">
        <x:v>83</x:v>
      </x:c>
      <x:c r="Q10" s="14" t="str">
        <x:f xml:space="preserve">HYPERLINK("https://www.infonalia.es/licitaciones0126/2026005433.pdf","www.infonalia.es/licitaciones0126/2026005433.pdf")</x:f>
        <x:v>www.infonalia.es/licitaciones0126/2026005433.pdf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