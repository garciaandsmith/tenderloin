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<x:sst xmlns:x="http://schemas.openxmlformats.org/spreadsheetml/2006/main" count="6" uniqueCount="6">
  <x:si>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</x:si>
  <x:si>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</x:si>
  <x:si>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</x:si>
  <x:si>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</x:si>
  <x:si>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</x:si>
  <x:si>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</x:si>
  <x:si>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2025045122</x:t>
  </x:si>
  <x:si>
    <x:t>Anulación desistimiento</x:t>
  </x:si>
  <x:si>
    <x:t>MESA DEL SENADO</x:t>
  </x:si>
  <x:si>
    <x:t>Servicios fotográficos para el Senado</x:t>
  </x:si>
  <x:si>
    <x:t>2025137519</x:t>
  </x:si>
  <x:si>
    <x:t>Reanudación del procedimiento</x:t>
  </x:si>
  <x:si>
    <x:t>MINISTERIO DE DEFENSA. JEFATURA DE ASUNTOS ECONÓMICOS DEL ESTADO MAYOR DEL EJÉRCITO</x:t>
  </x:si>
  <x:si>
    <x:t>Servicio de clipping de prensa escrita, digital, online, radio y televisión, a nivel nacional y provincial, para la confección diaria del resumen de prensa del Ejército de Tierra.</x:t>
  </x:si>
  <x:si>
    <x:t>2025143249</x:t>
  </x:si>
  <x:si>
    <x:t>Desistimiento / Anulación</x:t>
  </x:si>
  <x:si>
    <x:t>JUNTA DE GOBIERNO DEL AYUNTAMIENTO DE MIERES (ASTURIAS)</x:t>
  </x:si>
  <x:si>
    <x:t>Suministro para la creación de una Sala Inmersiva en el Pozo Santa Bárbara en el marco del plan de sostenibilidad turística en destino en la Comarca Montaña Central de Asturias correspondiente al Plan Territorial de Sostenibilidad Turística en destino del Principado de Asturias 2023. incluido en el Plan de Recuperación, Transformación y Resiliencia.</x:t>
  </x:si>
  <x:si>
    <x:t>2025154592</x:t>
  </x:si>
  <x:si>
    <x:t>Aclaración / Ampliación de pliegos</x:t>
  </x:si>
  <x:si>
    <x:t>GENERALITAT DE CATALUNYA. CENTRO DE INICIATIVAS PARA LA REINSERCIÓN (CIRE)</x:t>
  </x:si>
  <x:si>
    <x:t>Prestación de diferentes servicios de trabajos de artes gráficas y el suministro de los materiales necesarios con destino a los talleres productivos de impresión de los centros penitenciarios de Catalunya. Lote 1 Servicio en acabados imprenta e impresiones digitales. Lote 2 Servicio de recogida de residuos talleres imprenta. Lote 3 Servicio afilamiento cuchillas imprenta. Lote 4 Servicio y suministro de mat. publicidad.</x:t>
  </x:si>
  <x:si>
    <x:t>2025156562</x:t>
  </x:si>
  <x:si>
    <x:t>AYUNTAMIENTO DE CALAFELL (TARRAGONA)</x:t>
  </x:si>
  <x:si>
    <x:t>Suministro y servicio de colocación y retirada de distinto material publicitario de las campañas comerciales de promoción económica hasta final de año</x:t>
  </x:si>
  <x:si>
    <x:t>2025156858</x:t>
  </x:si>
  <x:si>
    <x:t>Corrección de errores</x:t>
  </x:si>
  <x:si>
    <x:t>COMITÉ CENTRAL DE COMPRAS DE NAVANTIA S.A., S.M.E.</x:t>
  </x:si>
  <x:si>
    <x:t>Gestión Redes Sociales Navantia Seanergies</x:t>
  </x:si>
  <x:si>
    <x:t>2025157052</x:t>
  </x:si>
  <x:si>
    <x:t>PROMOCIÓ ECONÒMICA DE SABADELL, SL</x:t>
  </x:si>
  <x:si>
    <x:t>Descripción: El contrato tiene por objeto la contratación de servicios de consultoría para la elaboración del Plan director de los polígonos de actividad económica (PAE's) de Sabadell, que deberá contener al menos la siguiente información: • Análisis del posicionamiento de los PAE's de Sabadell versus los del Vallès Occidental. • Análisis del peso económico de los PAE's de Sabadell sobre el total de la actividad económica de la ciudad. • Análisis de elementos de mejora de competitividad de los PAE's de Sabadell en relación a los PAE's del Vallès Occidental. • Estrategia y líneas de acción a implantar a través del Plan Director. El plan debe diagnosticar la situación actual de los polígonos industriales existentes, identificar necesidades y oportunidades de mejora, y proponer una estrategia de desarrollo y plan de acción priorizado con estimaciones de costes a medio y largo plazo, todo ello desde una perspectiva del conjunto de Sabadell y al mismo tiempo una visión concreta y específica por polígono</x:t>
  </x:si>
  <x:si>
    <x:t>2025157463</x:t>
  </x:si>
  <x:si>
    <x:t>DIPUTACIÓN DE BARCELONA DIPUTACIÓN DE BARCELONA. SECCIÓN DE LICITACIÓN</x:t>
  </x:si>
  <x:si>
    <x:t>Servicio de organización, implementación y coordinación de jornadas de iniciación a la vela para escolares de cuarto de primaria de centros de enseñanza de la provincia de Barcelona, Dividido en dos lotes</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</x:si>
</x:sst>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HYPERLINK("https://www.infonalia.es/modificaciones1125/2025045122.pdf","www.infonalia.es/modificaciones1125/2025045122.pdf")</x:f>
        <x:v>www.infonalia.es/modificaciones1125/2025045122.pdf</x:v>
      </x:c>
      <x:c r="F2" s="5" t="str">
        <x:f xml:space="preserve">HYPERLINK("https://www.infonalia.es/licitaciones0425/2025045122.pdf","www.infonalia.es/licitaciones0425/2025045122.pdf")</x:f>
        <x:v>www.infonalia.es/licitaciones0425/2025045122.pdf</x:v>
      </x:c>
    </x:row>
    <x:row r="3">
      <x:c r="A3" s="3" t="s">
        <x:v>10</x:v>
      </x:c>
      <x:c r="B3" s="4" t="s">
        <x:v>11</x:v>
      </x:c>
      <x:c r="C3" s="4" t="s">
        <x:v>12</x:v>
      </x:c>
      <x:c r="D3" s="4" t="s">
        <x:v>13</x:v>
      </x:c>
      <x:c r="E3" s="5" t="str">
        <x:f xml:space="preserve">HYPERLINK("https://www.infonalia.es/modificaciones1125/2025137519.pdf","www.infonalia.es/modificaciones1125/2025137519.pdf")</x:f>
        <x:v>www.infonalia.es/modificaciones1125/2025137519.pdf</x:v>
      </x:c>
      <x:c r="F3" s="5" t="str">
        <x:f xml:space="preserve">HYPERLINK("https://www.infonalia.es/licitaciones1025/2025137519.pdf","www.infonalia.es/licitaciones1025/2025137519.pdf")</x:f>
        <x:v>www.infonalia.es/licitaciones1025/2025137519.pdf</x:v>
      </x:c>
    </x:row>
    <x:row r="4">
      <x:c r="A4" s="3" t="s">
        <x:v>14</x:v>
      </x:c>
      <x:c r="B4" s="4" t="s">
        <x:v>15</x:v>
      </x:c>
      <x:c r="C4" s="4" t="s">
        <x:v>16</x:v>
      </x:c>
      <x:c r="D4" s="4" t="s">
        <x:v>17</x:v>
      </x:c>
      <x:c r="E4" s="5" t="str">
        <x:f xml:space="preserve">HYPERLINK("https://www.infonalia.es/modificaciones1125/2025143249.pdf","www.infonalia.es/modificaciones1125/2025143249.pdf")</x:f>
        <x:v>www.infonalia.es/modificaciones1125/2025143249.pdf</x:v>
      </x:c>
      <x:c r="F4" s="5" t="str">
        <x:f xml:space="preserve">HYPERLINK("https://www.infonalia.es/licitaciones1025/2025143249.pdf","www.infonalia.es/licitaciones1025/2025143249.pdf")</x:f>
        <x:v>www.infonalia.es/licitaciones1025/2025143249.pdf</x:v>
      </x:c>
    </x:row>
    <x:row r="5">
      <x:c r="A5" s="3" t="s">
        <x:v>18</x:v>
      </x:c>
      <x:c r="B5" s="4" t="s">
        <x:v>19</x:v>
      </x:c>
      <x:c r="C5" s="4" t="s">
        <x:v>20</x:v>
      </x:c>
      <x:c r="D5" s="4" t="s">
        <x:v>21</x:v>
      </x:c>
      <x:c r="E5" s="5" t="str">
        <x:f xml:space="preserve">HYPERLINK("https://www.infonalia.es/modificaciones1125/2025154592.pdf","www.infonalia.es/modificaciones1125/2025154592.pdf")</x:f>
        <x:v>www.infonalia.es/modificaciones1125/2025154592.pdf</x:v>
      </x:c>
      <x:c r="F5" s="5" t="str">
        <x:f xml:space="preserve">HYPERLINK("https://www.infonalia.es/licitaciones1125/2025154592.pdf","www.infonalia.es/licitaciones1125/2025154592.pdf")</x:f>
        <x:v>www.infonalia.es/licitaciones1125/2025154592.pdf</x:v>
      </x:c>
    </x:row>
    <x:row r="6">
      <x:c r="A6" s="3" t="s">
        <x:v>22</x:v>
      </x:c>
      <x:c r="B6" s="4" t="s">
        <x:v>19</x:v>
      </x:c>
      <x:c r="C6" s="4" t="s">
        <x:v>23</x:v>
      </x:c>
      <x:c r="D6" s="4" t="s">
        <x:v>24</x:v>
      </x:c>
      <x:c r="E6" s="5" t="str">
        <x:f xml:space="preserve">HYPERLINK("https://www.infonalia.es/modificaciones1125/2025156562.pdf","www.infonalia.es/modificaciones1125/2025156562.pdf")</x:f>
        <x:v>www.infonalia.es/modificaciones1125/2025156562.pdf</x:v>
      </x:c>
      <x:c r="F6" s="5" t="str">
        <x:f xml:space="preserve">HYPERLINK("https://www.infonalia.es/licitaciones1125/2025156562.pdf","www.infonalia.es/licitaciones1125/2025156562.pdf")</x:f>
        <x:v>www.infonalia.es/licitaciones1125/2025156562.pdf</x:v>
      </x:c>
    </x:row>
    <x:row r="7">
      <x:c r="A7" s="3" t="s">
        <x:v>25</x:v>
      </x:c>
      <x:c r="B7" s="4" t="s">
        <x:v>26</x:v>
      </x:c>
      <x:c r="C7" s="4" t="s">
        <x:v>27</x:v>
      </x:c>
      <x:c r="D7" s="4" t="s">
        <x:v>28</x:v>
      </x:c>
      <x:c r="E7" s="5" t="str">
        <x:f xml:space="preserve">HYPERLINK("https://www.infonalia.es/modificaciones1125/2025156858.pdf","www.infonalia.es/modificaciones1125/2025156858.pdf")</x:f>
        <x:v>www.infonalia.es/modificaciones1125/2025156858.pdf</x:v>
      </x:c>
      <x:c r="F7" s="5" t="str">
        <x:f xml:space="preserve">HYPERLINK("https://www.infonalia.es/licitaciones1125/2025156858.pdf","www.infonalia.es/licitaciones1125/2025156858.pdf")</x:f>
        <x:v>www.infonalia.es/licitaciones1125/2025156858.pdf</x:v>
      </x:c>
    </x:row>
    <x:row r="8">
      <x:c r="A8" s="3" t="s">
        <x:v>29</x:v>
      </x:c>
      <x:c r="B8" s="4" t="s">
        <x:v>15</x:v>
      </x:c>
      <x:c r="C8" s="4" t="s">
        <x:v>30</x:v>
      </x:c>
      <x:c r="D8" s="4" t="s">
        <x:v>31</x:v>
      </x:c>
      <x:c r="E8" s="5" t="str">
        <x:f xml:space="preserve">HYPERLINK("https://www.infonalia.es/modificaciones1125/2025157052.pdf","www.infonalia.es/modificaciones1125/2025157052.pdf")</x:f>
        <x:v>www.infonalia.es/modificaciones1125/2025157052.pdf</x:v>
      </x:c>
      <x:c r="F8" s="5" t="str">
        <x:f xml:space="preserve">HYPERLINK("https://www.infonalia.es/licitaciones1125/2025157052.pdf","www.infonalia.es/licitaciones1125/2025157052.pdf")</x:f>
        <x:v>www.infonalia.es/licitaciones1125/2025157052.pdf</x:v>
      </x:c>
    </x:row>
    <x:row r="9">
      <x:c r="A9" s="3" t="s">
        <x:v>32</x:v>
      </x:c>
      <x:c r="B9" s="4" t="s">
        <x:v>19</x:v>
      </x:c>
      <x:c r="C9" s="4" t="s">
        <x:v>33</x:v>
      </x:c>
      <x:c r="D9" s="4" t="s">
        <x:v>34</x:v>
      </x:c>
      <x:c r="E9" s="5" t="str">
        <x:f xml:space="preserve">HYPERLINK("https://www.infonalia.es/modificaciones1125/2025157463.pdf","www.infonalia.es/modificaciones1125/2025157463.pdf")</x:f>
        <x:v>www.infonalia.es/modificaciones1125/2025157463.pdf</x:v>
      </x:c>
      <x:c r="F9" s="5" t="str">
        <x:f xml:space="preserve">HYPERLINK("https://www.infonalia.es/licitaciones1125/2025157463.pdf","www.infonalia.es/licitaciones1125/2025157463.pdf")</x:f>
        <x:v>www.infonalia.es/licitaciones1125/2025157463.pdf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