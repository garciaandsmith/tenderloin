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<x:sst xmlns:x="http://schemas.openxmlformats.org/spreadsheetml/2006/main" count="11" uniqueCount="11">
  <x:si>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</x:si>
  <x:si>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</x:si>
  <x:si>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</x:si>
  <x:si>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</x:si>
  <x:si>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</x:si>
  <x:si>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</x:si>
  <x:si>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</x:si>
  <x:si>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</x:si>
  <x:si>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</x:si>
  <x:si>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</x:si>
  <x:si>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</x:si>
  <x:si>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</x:si>
  <x:si>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EVENTOS INNOVATE ALTEA SLU</x:t>
  </x:si>
  <x:si>
    <x:t>29/12/2025 0:00:00</x:t>
  </x:si>
  <x:si>
    <x:t>25260994</x:t>
  </x:si>
  <x:si>
    <x:t>AYUNTAMIENTO DE MADRID. DISTRITO DE HORTALEZA</x:t>
  </x:si>
  <x:si>
    <x:t>Cabalgatas de reyes de Sanchinarro y Valdebebas del Distrito de Hortaleza 2026</x:t>
  </x:si>
  <x:si>
    <x:t>300/2025/03680</x:t>
  </x:si>
  <x:si>
    <x:t>Madrid</x:t>
  </x:si>
  <x:si>
    <x:t>CON ALEVOSIA TEATRO, S.L</x:t>
  </x:si>
  <x:si>
    <x:t>25261455</x:t>
  </x:si>
  <x:si>
    <x:t>ALCALDÍA DEL AYUNTAMIENTO DE LANGREO (ASTURIAS)</x:t>
  </x:si>
  <x:si>
    <x:t>Servicio integral para la organización de la cabalgata de Reyes Magos y las recepciones reales previas en el concejo de Langreo</x:t>
  </x:si>
  <x:si>
    <x:t>CCu/CN/089/2025</x:t>
  </x:si>
  <x:si>
    <x:t>Asturias</x:t>
  </x:si>
  <x:si>
    <x:t>G20 PUBLISPORT, S.L</x:t>
  </x:si>
  <x:si>
    <x:t>25261472</x:t>
  </x:si>
  <x:si>
    <x:t>COMUNIDAD DE MADRID. CONSEJERÍA DE CULTURA, TURISMO Y DEPORTE</x:t>
  </x:si>
  <x:si>
    <x:t>Patrocinio privado por parte de la Consejería de Cultura, Turismo y Deporte de la Comunidad de Madrid del evento deportivo “Madrid Marcha” 2026 (V Gran Premio Internacional Madrid Marcha), conforme a lo dispuesto en el Pliego de Prescripciones Técnicas Particulares</x:t>
  </x:si>
  <x:si>
    <x:t>C-336A/040-25 (P/SER-047758/2025)</x:t>
  </x:si>
  <x:si>
    <x:t>SERVICIOS AUDIOVISUALES OVERON, S.L</x:t>
  </x:si>
  <x:si>
    <x:t>25261506</x:t>
  </x:si>
  <x:si>
    <x:t>DIRECCIÓN DE COMPRAS DE LA CORPORACIÓN DE RADIO Y TELEVISIÓN ESPAÑOLA S.A.</x:t>
  </x:si>
  <x:si>
    <x:t>Transporte y recepción de la señal de los partidos de La Liga EA SPORTS 2025-2026</x:t>
  </x:si>
  <x:si>
    <x:t>S-05906-2025</x:t>
  </x:si>
  <x:si>
    <x:t>EXCELTUR ALIANZA PARA LA EXCELENCIA TURÍSTICA</x:t>
  </x:si>
  <x:si>
    <x:t>25261579</x:t>
  </x:si>
  <x:si>
    <x:t>MADRID DESTINO CULTURA TURISMO Y NEGOCIO, S.A</x:t>
  </x:si>
  <x:si>
    <x:t>Patrocinio del “XIII Foro de Liderazgo Turístico de Exceltur” organizado por la Asociación Exceltur, la Alianza para la Excelencia Turistíca, a adjudicar mediante procedimiento negociado sin publicidad y sin concurrencia artículo 168 a) 2º LCSP</x:t>
  </x:si>
  <x:si>
    <x:t>SP25-00482</x:t>
  </x:si>
  <x:si>
    <x:t>EMO OBRAS CONSTRUCCIONES CONTRATAS Y PROYECTOS SLU</x:t>
  </x:si>
  <x:si>
    <x:t>25261601</x:t>
  </x:si>
  <x:si>
    <x:t>PRESIDENCIA DE LA ASOCIACIÓN PARA EL DESARROLLO INTEGRAL DE LA SIERRA OESTE DE MADRID</x:t>
  </x:si>
  <x:si>
    <x:t>El presente contrato tiene por objeto el diseño y la creación de una Red de Recepción de Visitantes, con zonas de sombreado, para 19 municipios de ADI Sierra Oeste</x:t>
  </x:si>
  <x:si>
    <x:t>156/2025</x:t>
  </x:si>
  <x:si>
    <x:t>Formalización</x:t>
  </x:si>
  <x:si>
    <x:t>LOTE 2 AUDIOVISUALES CREAMOS, S.L. </x:t>
  </x:si>
  <x:si>
    <x:t>25261715</x:t>
  </x:si>
  <x:si>
    <x:t>Servicio de construcción museográfica, montaje y desmontaje de obra de arte (Lote 1) y Suministro en régimen de alquiler, instalación, mantenimiento y desmontaje de material audiovisual (Lote 2) para la exposición Ana Juan. Wunderkammer que se exhibirá en CentroCentro</x:t>
  </x:si>
  <x:si>
    <x:t>SP25-00483 / SP25-00484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</x:si>
</x:sst>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HYPERLINK("https://www.infonalia.es/adjudicaciones1225/25260994.pdf","www.infonalia.es/adjudicaciones1225/25260994.pdf")</x:f>
        <x:v>www.infonalia.es/adjudicaciones1225/25260994.pdf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55170.00</x:v>
      </x:c>
      <x:c r="K2" s="9" t="n">
        <x:v>59951.82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HYPERLINK("https://www.infonalia.es/adjudicaciones1225/25261455.pdf","www.infonalia.es/adjudicaciones1225/25261455.pdf")</x:f>
        <x:v>www.infonalia.es/adjudicaciones1225/25261455.pdf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28925.62</x:v>
      </x:c>
      <x:c r="K3" s="9" t="n">
        <x:v>28925.62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HYPERLINK("https://www.infonalia.es/adjudicaciones1225/25261472.pdf","www.infonalia.es/adjudicaciones1225/25261472.pdf")</x:f>
        <x:v>www.infonalia.es/adjudicaciones1225/25261472.pdf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18</x:v>
      </x:c>
      <x:c r="J4" s="9" t="n">
        <x:v>38429.75</x:v>
      </x:c>
      <x:c r="K4" s="9" t="n">
        <x:v>38429.75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HYPERLINK("https://www.infonalia.es/adjudicaciones1225/25261506.pdf","www.infonalia.es/adjudicaciones1225/25261506.pdf")</x:f>
        <x:v>www.infonalia.es/adjudicaciones1225/25261506.pdf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18</x:v>
      </x:c>
      <x:c r="J5" s="9" t="n">
        <x:v>6900.00</x:v>
      </x:c>
      <x:c r="K5" s="9" t="n">
        <x:v>6900.00</x:v>
      </x:c>
    </x:row>
    <x:row r="6">
      <x:c r="A6" s="6" t="s">
        <x:v>11</x:v>
      </x:c>
      <x:c r="B6" s="6" t="s">
        <x:v>35</x:v>
      </x:c>
      <x:c r="C6" s="6" t="s">
        <x:v>13</x:v>
      </x:c>
      <x:c r="D6" s="7" t="str">
        <x:f xml:space="preserve">HYPERLINK("https://www.infonalia.es/adjudicaciones1225/25261579.pdf","www.infonalia.es/adjudicaciones1225/25261579.pdf")</x:f>
        <x:v>www.infonalia.es/adjudicaciones1225/25261579.pdf</x:v>
      </x:c>
      <x:c r="E6" s="8" t="s">
        <x:v>36</x:v>
      </x:c>
      <x:c r="F6" s="6" t="s">
        <x:v>37</x:v>
      </x:c>
      <x:c r="G6" s="6" t="s">
        <x:v>38</x:v>
      </x:c>
      <x:c r="H6" s="6" t="s">
        <x:v>39</x:v>
      </x:c>
      <x:c r="I6" s="6" t="s">
        <x:v>18</x:v>
      </x:c>
      <x:c r="J6" s="9" t="n">
        <x:v>30000.00</x:v>
      </x:c>
      <x:c r="K6" s="9" t="n">
        <x:v>30000.00</x:v>
      </x:c>
    </x:row>
    <x:row r="7">
      <x:c r="A7" s="6" t="s">
        <x:v>11</x:v>
      </x:c>
      <x:c r="B7" s="6" t="s">
        <x:v>40</x:v>
      </x:c>
      <x:c r="C7" s="6" t="s">
        <x:v>13</x:v>
      </x:c>
      <x:c r="D7" s="7" t="str">
        <x:f xml:space="preserve">HYPERLINK("https://www.infonalia.es/adjudicaciones1225/25261601.pdf","www.infonalia.es/adjudicaciones1225/25261601.pdf")</x:f>
        <x:v>www.infonalia.es/adjudicaciones1225/25261601.pdf</x:v>
      </x:c>
      <x:c r="E7" s="8" t="s">
        <x:v>41</x:v>
      </x:c>
      <x:c r="F7" s="6" t="s">
        <x:v>42</x:v>
      </x:c>
      <x:c r="G7" s="6" t="s">
        <x:v>43</x:v>
      </x:c>
      <x:c r="H7" s="6" t="s">
        <x:v>44</x:v>
      </x:c>
      <x:c r="I7" s="6" t="s">
        <x:v>18</x:v>
      </x:c>
      <x:c r="J7" s="9" t="n">
        <x:v>634710.74</x:v>
      </x:c>
      <x:c r="K7" s="9" t="n">
        <x:v>661157.02</x:v>
      </x:c>
    </x:row>
    <x:row r="8">
      <x:c r="A8" s="6" t="s">
        <x:v>45</x:v>
      </x:c>
      <x:c r="B8" s="6" t="s">
        <x:v>46</x:v>
      </x:c>
      <x:c r="C8" s="6" t="s">
        <x:v>13</x:v>
      </x:c>
      <x:c r="D8" s="7" t="str">
        <x:f xml:space="preserve">HYPERLINK("https://www.infonalia.es/adjudicaciones1225/25261715.pdf","www.infonalia.es/adjudicaciones1225/25261715.pdf")</x:f>
        <x:v>www.infonalia.es/adjudicaciones1225/25261715.pdf</x:v>
      </x:c>
      <x:c r="E8" s="8" t="s">
        <x:v>47</x:v>
      </x:c>
      <x:c r="F8" s="6" t="s">
        <x:v>37</x:v>
      </x:c>
      <x:c r="G8" s="6" t="s">
        <x:v>48</x:v>
      </x:c>
      <x:c r="H8" s="6" t="s">
        <x:v>49</x:v>
      </x:c>
      <x:c r="I8" s="6" t="s">
        <x:v>18</x:v>
      </x:c>
      <x:c r="J8" s="9" t="n">
        <x:v>24570.00</x:v>
      </x:c>
      <x:c r="K8" s="9" t="n">
        <x:v>40725.00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