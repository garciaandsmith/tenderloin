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<x:sst xmlns:x="http://schemas.openxmlformats.org/spreadsheetml/2006/main" count="17" uniqueCount="17">
  <x:si>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</x:si>
  <x:si>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</x:si>
  <x:si>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</x:si>
  <x:si>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</x:si>
  <x:si>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</x:si>
  <x:si>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</x:si>
  <x:si>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</x:si>
  <x:si>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</x:si>
  <x:si>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</x:si>
  <x:si>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</x:si>
  <x:si>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</x:si>
  <x:si>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</x:si>
  <x:si>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</x:si>
  <x:si>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</x:si>
  <x:si>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</x:si>
  <x:si>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</x:si>
  <x:si>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</x:si>
  <x:si>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</x:si>
  <x:si>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</x:si>
  <x:si>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18/12/2025</x:t>
  </x:si>
  <x:si>
    <x:t>2025172911</x:t>
  </x:si>
  <x:si>
    <x:t>04/12/2025</x:t>
  </x:si>
  <x:si>
    <x:t>CONSORCI DE L'INSTITUT RAMON LLULL. DEPARTAMENTO DE CULTURA DE LA GENERAITAT DE CATALUNYA</x:t>
  </x:si>
  <x:si>
    <x:t>Servicio de puesta a disposición del teatro Olympia de París para la realización de actuaciones musicales representativas de la cultura catalana en octubre del año 2026. Es un servicio para reservar el espacio con antelación</x:t>
  </x:si>
  <x:si>
    <x:t>G0935 N-338/25</x:t>
  </x:si>
  <x:si>
    <x:t>Importe sin impuestos</x:t>
  </x:si>
  <x:si>
    <x:t/>
  </x:si>
  <x:si>
    <x:t>-----</x:t>
  </x:si>
  <x:si>
    <x:t>03/12/2025</x:t>
  </x:si>
  <x:si>
    <x:t/>
  </x:si>
  <x:si>
    <x:t>Francia</x:t>
  </x:si>
  <x:si>
    <x:t>12/01/2026</x:t>
  </x:si>
  <x:si>
    <x:t>2025173127</x:t>
  </x:si>
  <x:si>
    <x:t>RECTORADO DE LA UNIVERSIDAD AUTÓNOMA DE MADRID</x:t>
  </x:si>
  <x:si>
    <x:t>Servicio de seguimiento de medios de comunicación y redes sociales de la Universidad Autónoma de Madrid</x:t>
  </x:si>
  <x:si>
    <x:t>A-4/26</x:t>
  </x:si>
  <x:si>
    <x:t/>
  </x:si>
  <x:si>
    <x:t>Madrid</x:t>
  </x:si>
  <x:si>
    <x:t>07/01/2026</x:t>
  </x:si>
  <x:si>
    <x:t>2025173271</x:t>
  </x:si>
  <x:si>
    <x:t>INSTITUTO MUNICIPAL PARQUES Y JARDINES DE BARCELONA</x:t>
  </x:si>
  <x:si>
    <x:t>Patrocinio por el 52º Congreso de la Asociación Española de Parques y Jardines Públicos en Barcelona en 2026</x:t>
  </x:si>
  <x:si>
    <x:t>25PIJ055PA</x:t>
  </x:si>
  <x:si>
    <x:t/>
  </x:si>
  <x:si>
    <x:t>Barcelona</x:t>
  </x:si>
  <x:si>
    <x:t>2025173273</x:t>
  </x:si>
  <x:si>
    <x:t>AYUNTAMIENTO DE TORTOSA (TARRAGONA)</x:t>
  </x:si>
  <x:si>
    <x:t>Servicios de maquetación, impresión y reparto de la "Agenda Cultural" del Ayuntamiento de Tortosa. Lote 1 maquetación e impresión. Lote 2 Reparto</x:t>
  </x:si>
  <x:si>
    <x:t>2025-IAC-C0204-000005</x:t>
  </x:si>
  <x:si>
    <x:t/>
  </x:si>
  <x:si>
    <x:t>Tarragona</x:t>
  </x:si>
  <x:si>
    <x:t>Catalunya - Plataforma de Contratación</x:t>
  </x:si>
  <x:si>
    <x:t>12/12/2025</x:t>
  </x:si>
  <x:si>
    <x:t>2025173388</x:t>
  </x:si>
  <x:si>
    <x:t>CONSEJO COMARCAL DEL PALLARS SOBIRÁ (LLEIDA)</x:t>
  </x:si>
  <x:si>
    <x:t>Trabajo en Comarcas acción 2.2.1 Campaña de comunicación de Sobirà Dinàmic [Crear elementos para la difusión de los servicios públicos de apoyo a la empresa y
la ocupación en el Pallars Sobirà mediante una campaña de comunicación multicanal,
clara y atractiva]</x:t>
  </x:si>
  <x:si>
    <x:t>1339/2025</x:t>
  </x:si>
  <x:si>
    <x:t>IVA excluido</x:t>
  </x:si>
  <x:si>
    <x:t/>
  </x:si>
  <x:si>
    <x:t/>
  </x:si>
  <x:si>
    <x:t>Lleida</x:t>
  </x:si>
  <x:si>
    <x:t>11/12/2025</x:t>
  </x:si>
  <x:si>
    <x:t>2025173420</x:t>
  </x:si>
  <x:si>
    <x:t>ALCALDÍA DEL AYUNTAMIENTO DE LANGREO (ASTURIAS)</x:t>
  </x:si>
  <x:si>
    <x:t>Servicio de diseño y creación de una imagen y eslogan publicitario para Turismo Langreo, y la creación de una imagen y desarrollo de manual de la misma para el recinto ferial Talleres del Conde</x:t>
  </x:si>
  <x:si>
    <x:t>CTu/CME/094/2025</x:t>
  </x:si>
  <x:si>
    <x:t/>
  </x:si>
  <x:si>
    <x:t>Asturias</x:t>
  </x:si>
  <x:si>
    <x:t>2025173463</x:t>
  </x:si>
  <x:si>
    <x:t>CONCEJAL DE CONTRATACIÓN DEL AYUNTAMIENTO DE TORREJÓN DE ARDOZ (MADRID)</x:t>
  </x:si>
  <x:si>
    <x:t>Edición y publicación de los premios del IX Certamen Narrativa Mujer al Viento</x:t>
  </x:si>
  <x:si>
    <x:t>719/2025</x:t>
  </x:si>
  <x:si>
    <x:t/>
  </x:si>
  <x:si>
    <x:t>19/12/2025</x:t>
  </x:si>
  <x:si>
    <x:t>2025173597</x:t>
  </x:si>
  <x:si>
    <x:t>AYUNTAMIENTO DE MADRID. DISTRITO DE CIUDAD LINEAL</x:t>
  </x:si>
  <x:si>
    <x:t>Fomentar la cultura gastronómica del Distrito, así como ofrecer a los vecinos del Distrito una oferta lúdica y festiva de calidad. Con la celebración del certamen gastronómico en el distrito, se pretende apoyar el comercio de proximidad mediante la dinamización de la actividad comercial de diferentes establecimientos de hostelería ubicados en diferentes barrios</x:t>
  </x:si>
  <x:si>
    <x:t>300/2025/01994</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</x:si>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</x:sst>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24731.40</x:v>
      </x:c>
      <x:c r="J2" s="11" t="s">
        <x:v>25</x:v>
      </x:c>
      <x:c r="K2" s="11" t="s">
        <x:v>26</x:v>
      </x:c>
      <x:c r="L2" s="12" t="str">
        <x:f xml:space="preserve">HYPERLINK("https://contractaciopublica.cat/ca/detall-publicacio/d2302b3a-2dd8-4cc0-ac5d-00888bfcf24b/300636795","contractaciopublica.cat/ca/detall-publicacio/d2302b3a-2dd8-4cc0-ac5d-00888bfcf24b/300636795")</x:f>
        <x:v>contractaciopublica.cat/ca/detall-publicacio/d2302b3a-2dd8-4cc0-ac5d-00888bfcf24b/300636795</x:v>
      </x:c>
      <x:c r="M2" s="11" t="s">
        <x:v>27</x:v>
      </x:c>
      <x:c r="N2" s="13" t="s">
        <x:v>28</x:v>
      </x:c>
      <x:c r="O2" s="11" t="s">
        <x:v>29</x:v>
      </x:c>
      <x:c r="P2" s="11" t="s">
        <x:v>30</x:v>
      </x:c>
      <x:c r="Q2" s="14" t="str">
        <x:f xml:space="preserve">HYPERLINK("https://www.infonalia.es/licitaciones1225/2025172911.pdf","www.infonalia.es/licitaciones1225/2025172911.pdf")</x:f>
        <x:v>www.infonalia.es/licitaciones1225/2025172911.pdf</x:v>
      </x:c>
    </x:row>
    <x:row r="3">
      <x:c r="A3" s="6" t="s">
        <x:v>17</x:v>
      </x:c>
      <x:c r="B3" s="6" t="s">
        <x:v>18</x:v>
      </x:c>
      <x:c r="C3" s="7" t="s">
        <x:v>31</x:v>
      </x:c>
      <x:c r="D3" s="8" t="s">
        <x:v>32</x:v>
      </x:c>
      <x:c r="E3" s="9" t="s">
        <x:v>21</x:v>
      </x:c>
      <x:c r="F3" s="6" t="s">
        <x:v>33</x:v>
      </x:c>
      <x:c r="G3" s="6" t="s">
        <x:v>34</x:v>
      </x:c>
      <x:c r="H3" s="6" t="s">
        <x:v>35</x:v>
      </x:c>
      <x:c r="I3" s="10" t="n">
        <x:v>17000.00</x:v>
      </x:c>
      <x:c r="J3" s="11" t="s">
        <x:v>25</x:v>
      </x:c>
      <x:c r="K3" s="11" t="s">
        <x:v>26</x:v>
      </x:c>
      <x:c r="L3" s="12" t="str">
        <x:f xml:space="preserve">HYPERLINK("https://contrataciondelestado.es/wps/poc?uri=deeplink:detalle_licitacion&amp;idEvl=F8Edv2ont59eKgd8LfVV9g%3D%3D","contrataciondelestado.es/wps/poc?uri=deeplink:detalle_licitacion&amp;idEvl=F8Edv2ont59eKgd8LfVV9g%3D%3D")</x:f>
        <x:v>contrataciondelestado.es/wps/poc?uri=deeplink:detalle_licitacion&amp;idEvl=F8Edv2ont59eKgd8LfVV9g%3D%3D</x:v>
      </x:c>
      <x:c r="M3" s="11" t="s">
        <x:v>27</x:v>
      </x:c>
      <x:c r="N3" s="13" t="s">
        <x:v>28</x:v>
      </x:c>
      <x:c r="O3" s="11" t="s">
        <x:v>36</x:v>
      </x:c>
      <x:c r="P3" s="11" t="s">
        <x:v>37</x:v>
      </x:c>
      <x:c r="Q3" s="14" t="str">
        <x:f xml:space="preserve">HYPERLINK("https://www.infonalia.es/licitaciones1225/2025173127.pdf","www.infonalia.es/licitaciones1225/2025173127.pdf")</x:f>
        <x:v>www.infonalia.es/licitaciones1225/2025173127.pdf</x:v>
      </x:c>
    </x:row>
    <x:row r="4">
      <x:c r="A4" s="6" t="s">
        <x:v>17</x:v>
      </x:c>
      <x:c r="B4" s="6" t="s">
        <x:v>18</x:v>
      </x:c>
      <x:c r="C4" s="7" t="s">
        <x:v>38</x:v>
      </x:c>
      <x:c r="D4" s="8" t="s">
        <x:v>39</x:v>
      </x:c>
      <x:c r="E4" s="9" t="s">
        <x:v>21</x:v>
      </x:c>
      <x:c r="F4" s="6" t="s">
        <x:v>40</x:v>
      </x:c>
      <x:c r="G4" s="6" t="s">
        <x:v>41</x:v>
      </x:c>
      <x:c r="H4" s="6" t="s">
        <x:v>42</x:v>
      </x:c>
      <x:c r="I4" s="10" t="n">
        <x:v>137500.00</x:v>
      </x:c>
      <x:c r="J4" s="11" t="s">
        <x:v>25</x:v>
      </x:c>
      <x:c r="K4" s="11" t="s">
        <x:v>26</x:v>
      </x:c>
      <x:c r="L4" s="12" t="str">
        <x:f xml:space="preserve">HYPERLINK("https://contractaciopublica.cat/ca/detall-publicacio/608592a2-c033-40cb-8953-c1e489f8499f/300636105","contractaciopublica.cat/ca/detall-publicacio/608592a2-c033-40cb-8953-c1e489f8499f/300636105")</x:f>
        <x:v>contractaciopublica.cat/ca/detall-publicacio/608592a2-c033-40cb-8953-c1e489f8499f/300636105</x:v>
      </x:c>
      <x:c r="M4" s="11" t="s">
        <x:v>27</x:v>
      </x:c>
      <x:c r="N4" s="13" t="s">
        <x:v>28</x:v>
      </x:c>
      <x:c r="O4" s="11" t="s">
        <x:v>43</x:v>
      </x:c>
      <x:c r="P4" s="11" t="s">
        <x:v>44</x:v>
      </x:c>
      <x:c r="Q4" s="14" t="str">
        <x:f xml:space="preserve">HYPERLINK("https://www.infonalia.es/licitaciones1225/2025173271.pdf","www.infonalia.es/licitaciones1225/2025173271.pdf")</x:f>
        <x:v>www.infonalia.es/licitaciones1225/2025173271.pdf</x:v>
      </x:c>
    </x:row>
    <x:row r="5">
      <x:c r="A5" s="6" t="s">
        <x:v>17</x:v>
      </x:c>
      <x:c r="B5" s="6" t="s">
        <x:v>18</x:v>
      </x:c>
      <x:c r="C5" s="7" t="s">
        <x:v>19</x:v>
      </x:c>
      <x:c r="D5" s="8" t="s">
        <x:v>45</x:v>
      </x:c>
      <x:c r="E5" s="9" t="s">
        <x:v>21</x:v>
      </x:c>
      <x:c r="F5" s="6" t="s">
        <x:v>46</x:v>
      </x:c>
      <x:c r="G5" s="6" t="s">
        <x:v>47</x:v>
      </x:c>
      <x:c r="H5" s="6" t="s">
        <x:v>48</x:v>
      </x:c>
      <x:c r="I5" s="10" t="n">
        <x:v>8184.00</x:v>
      </x:c>
      <x:c r="J5" s="11" t="s">
        <x:v>25</x:v>
      </x:c>
      <x:c r="K5" s="11" t="s">
        <x:v>26</x:v>
      </x:c>
      <x:c r="L5" s="12" t="str">
        <x:f xml:space="preserve">HYPERLINK("https://contractaciopublica.cat/ca/detall-publicacio/c5d0ebbc-a644-400e-af71-8d0287cf4aac/300636003","contractaciopublica.cat/ca/detall-publicacio/c5d0ebbc-a644-400e-af71-8d0287cf4aac/300636003")</x:f>
        <x:v>contractaciopublica.cat/ca/detall-publicacio/c5d0ebbc-a644-400e-af71-8d0287cf4aac/300636003</x:v>
      </x:c>
      <x:c r="M5" s="11" t="s">
        <x:v>27</x:v>
      </x:c>
      <x:c r="N5" s="13" t="s">
        <x:v>28</x:v>
      </x:c>
      <x:c r="O5" s="11" t="s">
        <x:v>49</x:v>
      </x:c>
      <x:c r="P5" s="11" t="s">
        <x:v>50</x:v>
      </x:c>
      <x:c r="Q5" s="14" t="str">
        <x:f xml:space="preserve">HYPERLINK("https://www.infonalia.es/licitaciones1225/2025173273.pdf","www.infonalia.es/licitaciones1225/2025173273.pdf")</x:f>
        <x:v>www.infonalia.es/licitaciones1225/2025173273.pdf</x:v>
      </x:c>
    </x:row>
    <x:row r="6">
      <x:c r="A6" s="6" t="s">
        <x:v>17</x:v>
      </x:c>
      <x:c r="B6" s="6" t="s">
        <x:v>51</x:v>
      </x:c>
      <x:c r="C6" s="7" t="s">
        <x:v>52</x:v>
      </x:c>
      <x:c r="D6" s="8" t="s">
        <x:v>53</x:v>
      </x:c>
      <x:c r="E6" s="9" t="s">
        <x:v>21</x:v>
      </x:c>
      <x:c r="F6" s="6" t="s">
        <x:v>54</x:v>
      </x:c>
      <x:c r="G6" s="6" t="s">
        <x:v>55</x:v>
      </x:c>
      <x:c r="H6" s="6" t="s">
        <x:v>56</x:v>
      </x:c>
      <x:c r="I6" s="10" t="n">
        <x:v>4050.00</x:v>
      </x:c>
      <x:c r="J6" s="11" t="s">
        <x:v>57</x:v>
      </x:c>
      <x:c r="K6" s="11" t="s">
        <x:v>58</x:v>
      </x:c>
      <x:c r="L6" s="12" t="str">
        <x:f xml:space="preserve">HYPERLINK("https://contractaciopublica.cat/es/detall-publicacio/300636572","contractaciopublica.cat/es/detall-publicacio/300636572")</x:f>
        <x:v>contractaciopublica.cat/es/detall-publicacio/300636572</x:v>
      </x:c>
      <x:c r="M6" s="11" t="s">
        <x:v>27</x:v>
      </x:c>
      <x:c r="N6" s="13" t="s">
        <x:v>28</x:v>
      </x:c>
      <x:c r="O6" s="11" t="s">
        <x:v>59</x:v>
      </x:c>
      <x:c r="P6" s="11" t="s">
        <x:v>60</x:v>
      </x:c>
      <x:c r="Q6" s="14" t="str">
        <x:f xml:space="preserve">HYPERLINK("https://www.infonalia.es/licitaciones1225/2025173388.pdf","www.infonalia.es/licitaciones1225/2025173388.pdf")</x:f>
        <x:v>www.infonalia.es/licitaciones1225/2025173388.pdf</x:v>
      </x:c>
    </x:row>
    <x:row r="7">
      <x:c r="A7" s="6" t="s">
        <x:v>17</x:v>
      </x:c>
      <x:c r="B7" s="6" t="s">
        <x:v>18</x:v>
      </x:c>
      <x:c r="C7" s="7" t="s">
        <x:v>61</x:v>
      </x:c>
      <x:c r="D7" s="8" t="s">
        <x:v>62</x:v>
      </x:c>
      <x:c r="E7" s="9" t="s">
        <x:v>21</x:v>
      </x:c>
      <x:c r="F7" s="6" t="s">
        <x:v>63</x:v>
      </x:c>
      <x:c r="G7" s="6" t="s">
        <x:v>64</x:v>
      </x:c>
      <x:c r="H7" s="6" t="s">
        <x:v>65</x:v>
      </x:c>
      <x:c r="I7" s="10" t="n">
        <x:v>8264.46</x:v>
      </x:c>
      <x:c r="J7" s="11" t="s">
        <x:v>25</x:v>
      </x:c>
      <x:c r="K7" s="11" t="s">
        <x:v>26</x:v>
      </x:c>
      <x:c r="L7" s="12" t="str">
        <x:f xml:space="preserve">HYPERLINK("https://contrataciondelestado.es/wps/poc?uri=deeplink:detalle_licitacion&amp;idEvl=1QpMUNw0ZpwadbH3CysQuQ%3D%3D","contrataciondelestado.es/wps/poc?uri=deeplink:detalle_licitacion&amp;idEvl=1QpMUNw0ZpwadbH3CysQuQ%3D%3D")</x:f>
        <x:v>contrataciondelestado.es/wps/poc?uri=deeplink:detalle_licitacion&amp;idEvl=1QpMUNw0ZpwadbH3CysQuQ%3D%3D</x:v>
      </x:c>
      <x:c r="M7" s="11" t="s">
        <x:v>27</x:v>
      </x:c>
      <x:c r="N7" s="13" t="s">
        <x:v>21</x:v>
      </x:c>
      <x:c r="O7" s="11" t="s">
        <x:v>66</x:v>
      </x:c>
      <x:c r="P7" s="11" t="s">
        <x:v>67</x:v>
      </x:c>
      <x:c r="Q7" s="14" t="str">
        <x:f xml:space="preserve">HYPERLINK("https://www.infonalia.es/licitaciones1225/2025173420.pdf","www.infonalia.es/licitaciones1225/2025173420.pdf")</x:f>
        <x:v>www.infonalia.es/licitaciones1225/2025173420.pdf</x:v>
      </x:c>
    </x:row>
    <x:row r="8">
      <x:c r="A8" s="6" t="s">
        <x:v>17</x:v>
      </x:c>
      <x:c r="B8" s="6" t="s">
        <x:v>18</x:v>
      </x:c>
      <x:c r="C8" s="7" t="s">
        <x:v>61</x:v>
      </x:c>
      <x:c r="D8" s="8" t="s">
        <x:v>68</x:v>
      </x:c>
      <x:c r="E8" s="9" t="s">
        <x:v>21</x:v>
      </x:c>
      <x:c r="F8" s="6" t="s">
        <x:v>69</x:v>
      </x:c>
      <x:c r="G8" s="6" t="s">
        <x:v>70</x:v>
      </x:c>
      <x:c r="H8" s="6" t="s">
        <x:v>71</x:v>
      </x:c>
      <x:c r="I8" s="10" t="n">
        <x:v>7500.00</x:v>
      </x:c>
      <x:c r="J8" s="11" t="s">
        <x:v>25</x:v>
      </x:c>
      <x:c r="K8" s="11" t="s">
        <x:v>26</x:v>
      </x:c>
      <x:c r="L8" s="12" t="str">
        <x:f xml:space="preserve">HYPERLINK("https://contrataciondelestado.es/wps/poc?uri=deeplink:detalle_licitacion&amp;idEvl=bL7H7Z5WbB%2FL1rX3q%2FMAPA%3D%3D","contrataciondelestado.es/wps/poc?uri=deeplink:detalle_licitacion&amp;idEvl=bL7H7Z5WbB%2FL1rX3q%2FMAPA%3D%3D")</x:f>
        <x:v>contrataciondelestado.es/wps/poc?uri=deeplink:detalle_licitacion&amp;idEvl=bL7H7Z5WbB%2FL1rX3q%2FMAPA%3D%3D</x:v>
      </x:c>
      <x:c r="M8" s="11" t="s">
        <x:v>27</x:v>
      </x:c>
      <x:c r="N8" s="13" t="s">
        <x:v>28</x:v>
      </x:c>
      <x:c r="O8" s="11" t="s">
        <x:v>72</x:v>
      </x:c>
      <x:c r="P8" s="11" t="s">
        <x:v>37</x:v>
      </x:c>
      <x:c r="Q8" s="14" t="str">
        <x:f xml:space="preserve">HYPERLINK("https://www.infonalia.es/licitaciones1225/2025173463.pdf","www.infonalia.es/licitaciones1225/2025173463.pdf")</x:f>
        <x:v>www.infonalia.es/licitaciones1225/2025173463.pdf</x:v>
      </x:c>
    </x:row>
    <x:row r="9">
      <x:c r="A9" s="6" t="s">
        <x:v>17</x:v>
      </x:c>
      <x:c r="B9" s="6" t="s">
        <x:v>18</x:v>
      </x:c>
      <x:c r="C9" s="7" t="s">
        <x:v>73</x:v>
      </x:c>
      <x:c r="D9" s="8" t="s">
        <x:v>74</x:v>
      </x:c>
      <x:c r="E9" s="9" t="s">
        <x:v>21</x:v>
      </x:c>
      <x:c r="F9" s="6" t="s">
        <x:v>75</x:v>
      </x:c>
      <x:c r="G9" s="6" t="s">
        <x:v>76</x:v>
      </x:c>
      <x:c r="H9" s="6" t="s">
        <x:v>77</x:v>
      </x:c>
      <x:c r="I9" s="10" t="n">
        <x:v>48899.59</x:v>
      </x:c>
      <x:c r="J9" s="11" t="s">
        <x:v>25</x:v>
      </x:c>
      <x:c r="K9" s="11" t="s">
        <x:v>26</x:v>
      </x:c>
      <x:c r="L9" s="12" t="str">
        <x:f xml:space="preserve">HYPERLINK("https://contrataciondelestado.es/wps/poc?uri=deeplink:detalle_licitacion&amp;idEvl=jllLGaMpywJ9PLkba5eRog%3D%3D","contrataciondelestado.es/wps/poc?uri=deeplink:detalle_licitacion&amp;idEvl=jllLGaMpywJ9PLkba5eRog%3D%3D")</x:f>
        <x:v>contrataciondelestado.es/wps/poc?uri=deeplink:detalle_licitacion&amp;idEvl=jllLGaMpywJ9PLkba5eRog%3D%3D</x:v>
      </x:c>
      <x:c r="M9" s="11" t="s">
        <x:v>27</x:v>
      </x:c>
      <x:c r="N9" s="13" t="s">
        <x:v>21</x:v>
      </x:c>
      <x:c r="O9" s="11" t="s">
        <x:v>78</x:v>
      </x:c>
      <x:c r="P9" s="11" t="s">
        <x:v>37</x:v>
      </x:c>
      <x:c r="Q9" s="14" t="str">
        <x:f xml:space="preserve">HYPERLINK("https://www.infonalia.es/licitaciones1225/2025173597.pdf","www.infonalia.es/licitaciones1225/2025173597.pdf")</x:f>
        <x:v>www.infonalia.es/licitaciones1225/2025173597.pdf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