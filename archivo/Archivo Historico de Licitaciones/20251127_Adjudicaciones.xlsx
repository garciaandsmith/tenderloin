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<x:sst xmlns:x="http://schemas.openxmlformats.org/spreadsheetml/2006/main" count="11" uniqueCount="11">
  <x:si>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</x:si>
  <x:si>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</x:si>
  <x:si>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</x:si>
  <x:si>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</x:si>
  <x:si>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</x:si>
  <x:si>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</x:si>
  <x:si>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</x:si>
  <x:si>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</x:si>
  <x:si>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</x:si>
  <x:si>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</x:si>
  <x:si>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</x:si>
  <x:si>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</x:si>
  <x:si>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1 NOE CONCEPTOS ESPECIALES SL; LOTE 4 GESTIÓN DE EVENTOS Y FERIAS INTERNACIONALES SL ; LOTE 5 GESTIÓN DE EVENTOS Y FERIAS INTERNACIONALES SL ; LOTE 6 GESTIÓN DE EVENTOS Y FERIAS INTERNACIONALES SL; LOTE 7 NOE CONCEPTOS ESPECIALES SL </x:t>
  </x:si>
  <x:si>
    <x:t>27/11/2025 0:00:00</x:t>
  </x:si>
  <x:si>
    <x:t>25235793</x:t>
  </x:si>
  <x:si>
    <x:t>PROMOTORA DE EXPORTACIONS CATALANES, SA (PRODECA)</x:t>
  </x:si>
  <x:si>
    <x:t>Servicio de diseño, montaje, desmontaje, mantenimiento y supervisión de los stands que conforman los pabellones de Cataluña en siete ferias. Lote 1: ISM 2026. Lote 2: Fruit Logistica 2026. Lote 3: Biofach 2026. Lote 4: Prowein 2026. Lote 5: WINE PARIS 2026. Lote 6: Gulfood 2026. Lote 7: Saudi Food Show 2026.</x:t>
  </x:si>
  <x:si>
    <x:t>PRODECA-2026-1</x:t>
  </x:si>
  <x:si>
    <x:t>Ver pliegos</x:t>
  </x:si>
  <x:si>
    <x:t>Ver detalle de la adjudicación</x:t>
  </x:si>
  <x:si>
    <x:t>IRISPRESS MAGAZINE SLU</x:t>
  </x:si>
  <x:si>
    <x:t>25235965</x:t>
  </x:si>
  <x:si>
    <x:t>ÁREA DE GOBIERNO DE POLÍTICAS DE VIVIENDA DEL AYUNTAMIENTO DE MADRID</x:t>
  </x:si>
  <x:si>
    <x:t>Contrato de servicios de reportajes audiovisuales y fotografías para difundir las actuaciones del Área de Gobierno de Políticas de Vivienda</x:t>
  </x:si>
  <x:si>
    <x:t>300/2025/00297</x:t>
  </x:si>
  <x:si>
    <x:t>Madrid</x:t>
  </x:si>
  <x:si>
    <x:t>LOTE 1 VIAJES EL CORTE INGLÉS S.A. ; LOTE 2 VIAJES EL CORTE INGLÉS S.A. </x:t>
  </x:si>
  <x:si>
    <x:t>25236006</x:t>
  </x:si>
  <x:si>
    <x:t>INSTITUTO PARA LA COMPETITIVIDAD EMPRESARIAL DE LA JUNTA DE CASTILLA Y LEÓN</x:t>
  </x:si>
  <x:si>
    <x:t>Diseño, decoración, montaje, desmontaje, mantenimiento, transporte y servicios asociados al stand de ICECYL en las Ferias MAISON&amp;OBJET (Lote 1) y  (Lote 2)</x:t>
  </x:si>
  <x:si>
    <x:t>A2025/013394</x:t>
  </x:si>
  <x:si>
    <x:t>Paris (Francia) y Dubái (Emiratos Árabes)</x:t>
  </x:si>
  <x:si>
    <x:t>LOTE 1  XAVIER MITJANS GATELL; LOTE 2 TECNOPERPAL S.L. </x:t>
  </x:si>
  <x:si>
    <x:t>25236020</x:t>
  </x:si>
  <x:si>
    <x:t>AYUNTAMIENTO DEL VENDRELL (TARRAGONA)</x:t>
  </x:si>
  <x:si>
    <x:t>El objeto de este contrato es el servicio de: creación del “branding” de la nueva marca turística de El Vendrell, y diseño, maquetación, traducción e impresión de nuevos materiales divulgativos para realizar un marketing innovador y eficaz [LOT 1]; guionización, diseño, edición y realización y producción de materiales audiovisuales promocionales [LOT 2]; suministro e instalación de pantalla LED, su hardware de control y software de visualización [LOT 3]; y evolución y mejora del portal turístico “www.elvendrellturistic.com” [LOTE 4]</x:t>
  </x:si>
  <x:si>
    <x:t>GCON2025000018</x:t>
  </x:si>
  <x:si>
    <x:t>Tarragona</x:t>
  </x:si>
  <x:si>
    <x:t>VER DETALLE DE LA ADJUDICACIÓN</x:t>
  </x:si>
  <x:si>
    <x:t>25236024</x:t>
  </x:si>
  <x:si>
    <x:t>AYUNTAMIENTO DE GRANOLLERS (BARCELONA)</x:t>
  </x:si>
  <x:si>
    <x:t>Suministro de fondos documentales para la red urbana de bibliotecas de Granollers. • LOTE 1: Fondo de libros • LOTE 2: Fondo audiovisual • LOTE 3: Juegos de mesa</x:t>
  </x:si>
  <x:si>
    <x:t>2025/037 (45/2025/CONT)</x:t>
  </x:si>
  <x:si>
    <x:t>Barcelona</x:t>
  </x:si>
  <x:si>
    <x:t>PROTECNO, S.A</x:t>
  </x:si>
  <x:si>
    <x:t>25236196</x:t>
  </x:si>
  <x:si>
    <x:t>COMUNIDAD DE MADRID. CONSEJERÍA DE EDUCACIÓN, CIENCIA Y UNIVERSIDADES</x:t>
  </x:si>
  <x:si>
    <x:t>Este contrato tiene como objeto definir las características para la contratación de los servicios necesarios para la actualización/edición digital de los contenidos de la obra “Estadística de la Enseñanza de la Comunidad de Madrid 2025 (sitio web)”, de distribución institucional de la Dirección General de Bilingüismo y Calidad de la Enseñanza.</x:t>
  </x:si>
  <x:si>
    <x:t>A/SER-038043/2025 (322O-009-25)</x:t>
  </x:si>
  <x:si>
    <x:t>LOTE 1 CUATRO GOTES PRODUCCIONES SL; LOTE 2 TRESALIA COMUNICACION SL</x:t>
  </x:si>
  <x:si>
    <x:t>25236424</x:t>
  </x:si>
  <x:si>
    <x:t>CONSEJERÍA DE CIENCIA, INDUSTRIA Y EMPLEO DEL PRINCIPADO DE ASTURIAS</x:t>
  </x:si>
  <x:si>
    <x:t>Servicio de creatividad y plan de medios para la realización de una campaña de sensibilización y valoración de la artesanía de Asturias. Lote 1: Creatividad y diseño de la campaña de publicidad. Lote 2: Programación, ejecución, seguimiento y supervisión de un plan de medios.</x:t>
  </x:si>
  <x:si>
    <x:t>2025000311</x:t>
  </x:si>
  <x:si>
    <x:t>Asturias</x:t>
  </x:si>
  <x:si>
    <x:t>VARIOS ADJUDICATARIOS. VER TEXTO ÍNTEGRO DE LA ADJUDICACIÓN</x:t>
  </x:si>
  <x:si>
    <x:t>25236442</x:t>
  </x:si>
  <x:si>
    <x:t>PATRONAT DE TURISME DE LA DIPUTACIÓ DE TARRAGONA</x:t>
  </x:si>
  <x:si>
    <x:t>Patrocinio de eventos deportivos y equipos deportivos para visibilizar y difundir las marcas “Costa Daurada” y/o “Terres de l'Ebre” y de los valores asociados a las mismas. 15 Lotes</x:t>
  </x:si>
  <x:si>
    <x:t>8004330048-2025-0000139</x:t>
  </x:si>
  <x:si>
    <x:t>PRODUCCIONES MULTIPLE S.L</x:t>
  </x:si>
  <x:si>
    <x:t>25236501</x:t>
  </x:si>
  <x:si>
    <x:t>JUNTA DE GOBIERNO DEL AYUNTAMIENTO DE SAN SEBASTIÁN DE LOS REYES (MADRID)</x:t>
  </x:si>
  <x:si>
    <x:t>Servicio de organización de espectáculos culturales, lúdicos y musicales durante las fiestas navideñas de 2025</x:t>
  </x:si>
  <x:si>
    <x:t>02.07.01.01 2025/96-SS_REYES</x:t>
  </x:si>
  <x:si>
    <x:t>GEOZ2015 SLU</x:t>
  </x:si>
  <x:si>
    <x:t>25236629</x:t>
  </x:si>
  <x:si>
    <x:t>MINISTERIO DE INDUSTRIA Y TURISMO. DIRECCIÓN GENERAL DE LA FUNDACIÓN EOI</x:t>
  </x:si>
  <x:si>
    <x:t>El objeto del contrato es un servicio de azafatas/os para la asistencia a participantes y ponentes, la organización de espacios, la gestión de asistencias y otras tareas auxiliares propias del desarrollo deñas jornadas formativas grupales dentro del marco de los programas Digital X Border</x:t>
  </x:si>
  <x:si>
    <x:t>2025_037_PASS</x:t>
  </x:si>
  <x:si>
    <x:t>ONDEUEV COMUNICACIÓ SLU</x:t>
  </x:si>
  <x:si>
    <x:t>25236682</x:t>
  </x:si>
  <x:si>
    <x:t>FUNDACIÓN HOSPITAL UNIVERSITARI VALL D'HEBRON - INSTITUT DE RECERCA</x:t>
  </x:si>
  <x:si>
    <x:t>El objeto de la presente licitación es establecer las condiciones técnicas que servirán de base para la contratación del servicio de diseño y creación web de la memoria anual de la Fundación Hospital Universitario Vall Hebron - Instituto de Investigación (VHIR), en versión web y en papel</x:t>
  </x:si>
  <x:si>
    <x:t>LICI 2025-044 MEMÒRIA ANUAL VHIR</x:t>
  </x:si>
  <x:si>
    <x:t>VARGAS CÁCERES, SEBASTIÁN</x:t>
  </x:si>
  <x:si>
    <x:t>25236685</x:t>
  </x:si>
  <x:si>
    <x:t>GENERALITAT DE CATALUNYA. DEPARTAMENTO DE SALUD</x:t>
  </x:si>
  <x:si>
    <x:t>SA-2025-1127 - seminario Chemsex</x:t>
  </x:si>
  <x:si>
    <x:t>SA-2025-1127</x:t>
  </x:si>
  <x:si>
    <x:t>Catalunya</x:t>
  </x:si>
  <x:si>
    <x:t>ROMUALDO MANUEL FAURA BERNABÉ</x:t>
  </x:si>
  <x:si>
    <x:t>25236937</x:t>
  </x:si>
  <x:si>
    <x:t>ÁREA DE GOBIERNO DE VICEALCALDÍA, PORTAVOZ, SEGURIDAD Y EMERGENCIAS DEL AYUNTAMIENTO DE MADRID</x:t>
  </x:si>
  <x:si>
    <x:t>Diseño gráfico de la programación navideña 2025 del Distrito de Carabanchel</x:t>
  </x:si>
  <x:si>
    <x:t>145/2023/00612.2.70</x:t>
  </x:si>
  <x:si>
    <x:t>Desierto</x:t>
  </x:si>
  <x:si>
    <x:t>DESIERTO</x:t>
  </x:si>
  <x:si>
    <x:t>25237037</x:t>
  </x:si>
  <x:si>
    <x:t>PRESIDENCIA Y DIRECCIÓN DE ADMINISTRACIÓN Y FINANZAS DE LA DE LA SOCIEDAD MERCANTIL ESTATAL PARA LA GESTIÓN DE LA INNOVACIÓN Y LAS TECNOLOGÍAS TURÍSTICAS, S.A.M.P. (SEGITTUR)</x:t>
  </x:si>
  <x:si>
    <x:t>Servicios de apoyo para la medición en Adobe de las visitas a las webs gestionadas por SEGITTUR en la nueva plataforma de experiencias turísticas (DXP) de Turespaña. Las necesidades a satisfacer se especifican con mayor detalle en el “PLIEGO DE PRESCRIPCIONES TÉCNICAS DE LA CONTRATACIÓN".</x:t>
  </x:si>
  <x:si>
    <x:t>342025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</x:si>
</x:sst>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HYPERLINK("https://www.infonalia.es/adjudicaciones1125/25235793.pdf","www.infonalia.es/adjudicaciones1125/25235793.pdf")</x:f>
        <x:v>www.infonalia.es/adjudicaciones1125/25235793.pdf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874621.29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HYPERLINK("https://www.infonalia.es/adjudicaciones1125/25235965.pdf","www.infonalia.es/adjudicaciones1125/25235965.pdf")</x:f>
        <x:v>www.infonalia.es/adjudicaciones1125/25235965.pdf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265600.75</x:v>
      </x:c>
      <x:c r="K3" s="9" t="n">
        <x:v>408616.54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HYPERLINK("https://www.infonalia.es/adjudicaciones1125/25236006.pdf","www.infonalia.es/adjudicaciones1125/25236006.pdf")</x:f>
        <x:v>www.infonalia.es/adjudicaciones1125/25236006.pdf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9" t="s">
        <x:v>19</x:v>
      </x:c>
      <x:c r="K4" s="9" t="n">
        <x:v>210987.09</x:v>
      </x:c>
    </x:row>
    <x:row r="5">
      <x:c r="A5" s="6" t="s">
        <x:v>11</x:v>
      </x:c>
      <x:c r="B5" s="6" t="s">
        <x:v>32</x:v>
      </x:c>
      <x:c r="C5" s="6" t="s">
        <x:v>13</x:v>
      </x:c>
      <x:c r="D5" s="7" t="str">
        <x:f xml:space="preserve">HYPERLINK("https://www.infonalia.es/adjudicaciones1125/25236020.pdf","www.infonalia.es/adjudicaciones1125/25236020.pdf")</x:f>
        <x:v>www.infonalia.es/adjudicaciones1125/25236020.pdf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37</x:v>
      </x:c>
      <x:c r="J5" s="9" t="s">
        <x:v>19</x:v>
      </x:c>
      <x:c r="K5" s="9" t="n">
        <x:v>103747.27</x:v>
      </x:c>
    </x:row>
    <x:row r="6">
      <x:c r="A6" s="6" t="s">
        <x:v>11</x:v>
      </x:c>
      <x:c r="B6" s="6" t="s">
        <x:v>38</x:v>
      </x:c>
      <x:c r="C6" s="6" t="s">
        <x:v>13</x:v>
      </x:c>
      <x:c r="D6" s="7" t="str">
        <x:f xml:space="preserve">HYPERLINK("https://www.infonalia.es/adjudicaciones1125/25236024.pdf","www.infonalia.es/adjudicaciones1125/25236024.pdf")</x:f>
        <x:v>www.infonalia.es/adjudicaciones1125/25236024.pdf</x:v>
      </x:c>
      <x:c r="E6" s="8" t="s">
        <x:v>39</x:v>
      </x:c>
      <x:c r="F6" s="6" t="s">
        <x:v>40</x:v>
      </x:c>
      <x:c r="G6" s="6" t="s">
        <x:v>41</x:v>
      </x:c>
      <x:c r="H6" s="6" t="s">
        <x:v>42</x:v>
      </x:c>
      <x:c r="I6" s="6" t="s">
        <x:v>43</x:v>
      </x:c>
      <x:c r="J6" s="9" t="s">
        <x:v>19</x:v>
      </x:c>
      <x:c r="K6" s="9" t="n">
        <x:v>69802.93</x:v>
      </x:c>
    </x:row>
    <x:row r="7">
      <x:c r="A7" s="6" t="s">
        <x:v>11</x:v>
      </x:c>
      <x:c r="B7" s="6" t="s">
        <x:v>44</x:v>
      </x:c>
      <x:c r="C7" s="6" t="s">
        <x:v>13</x:v>
      </x:c>
      <x:c r="D7" s="7" t="str">
        <x:f xml:space="preserve">HYPERLINK("https://www.infonalia.es/adjudicaciones1125/25236196.pdf","www.infonalia.es/adjudicaciones1125/25236196.pdf")</x:f>
        <x:v>www.infonalia.es/adjudicaciones1125/25236196.pdf</x:v>
      </x:c>
      <x:c r="E7" s="8" t="s">
        <x:v>45</x:v>
      </x:c>
      <x:c r="F7" s="6" t="s">
        <x:v>46</x:v>
      </x:c>
      <x:c r="G7" s="6" t="s">
        <x:v>47</x:v>
      </x:c>
      <x:c r="H7" s="6" t="s">
        <x:v>48</x:v>
      </x:c>
      <x:c r="I7" s="6" t="s">
        <x:v>25</x:v>
      </x:c>
      <x:c r="J7" s="9" t="s">
        <x:v>19</x:v>
      </x:c>
      <x:c r="K7" s="9" t="n">
        <x:v>12066.11</x:v>
      </x:c>
    </x:row>
    <x:row r="8">
      <x:c r="A8" s="6" t="s">
        <x:v>11</x:v>
      </x:c>
      <x:c r="B8" s="6" t="s">
        <x:v>49</x:v>
      </x:c>
      <x:c r="C8" s="6" t="s">
        <x:v>13</x:v>
      </x:c>
      <x:c r="D8" s="7" t="str">
        <x:f xml:space="preserve">HYPERLINK("https://www.infonalia.es/adjudicaciones1125/25236424.pdf","www.infonalia.es/adjudicaciones1125/25236424.pdf")</x:f>
        <x:v>www.infonalia.es/adjudicaciones1125/25236424.pdf</x:v>
      </x:c>
      <x:c r="E8" s="8" t="s">
        <x:v>50</x:v>
      </x:c>
      <x:c r="F8" s="6" t="s">
        <x:v>51</x:v>
      </x:c>
      <x:c r="G8" s="6" t="s">
        <x:v>52</x:v>
      </x:c>
      <x:c r="H8" s="6" t="s">
        <x:v>53</x:v>
      </x:c>
      <x:c r="I8" s="6" t="s">
        <x:v>54</x:v>
      </x:c>
      <x:c r="J8" s="9" t="s">
        <x:v>19</x:v>
      </x:c>
      <x:c r="K8" s="9" t="n">
        <x:v>33419.59</x:v>
      </x:c>
    </x:row>
    <x:row r="9">
      <x:c r="A9" s="6" t="s">
        <x:v>11</x:v>
      </x:c>
      <x:c r="B9" s="6" t="s">
        <x:v>55</x:v>
      </x:c>
      <x:c r="C9" s="6" t="s">
        <x:v>13</x:v>
      </x:c>
      <x:c r="D9" s="7" t="str">
        <x:f xml:space="preserve">HYPERLINK("https://www.infonalia.es/adjudicaciones1125/25236442.pdf","www.infonalia.es/adjudicaciones1125/25236442.pdf")</x:f>
        <x:v>www.infonalia.es/adjudicaciones1125/25236442.pdf</x:v>
      </x:c>
      <x:c r="E9" s="8" t="s">
        <x:v>56</x:v>
      </x:c>
      <x:c r="F9" s="6" t="s">
        <x:v>57</x:v>
      </x:c>
      <x:c r="G9" s="6" t="s">
        <x:v>58</x:v>
      </x:c>
      <x:c r="H9" s="6" t="s">
        <x:v>59</x:v>
      </x:c>
      <x:c r="I9" s="6" t="s">
        <x:v>37</x:v>
      </x:c>
      <x:c r="J9" s="9" t="s">
        <x:v>19</x:v>
      </x:c>
      <x:c r="K9" s="9" t="n">
        <x:v>960000.00</x:v>
      </x:c>
    </x:row>
    <x:row r="10">
      <x:c r="A10" s="6" t="s">
        <x:v>11</x:v>
      </x:c>
      <x:c r="B10" s="6" t="s">
        <x:v>60</x:v>
      </x:c>
      <x:c r="C10" s="6" t="s">
        <x:v>13</x:v>
      </x:c>
      <x:c r="D10" s="7" t="str">
        <x:f xml:space="preserve">HYPERLINK("https://www.infonalia.es/adjudicaciones1125/25236501.pdf","www.infonalia.es/adjudicaciones1125/25236501.pdf")</x:f>
        <x:v>www.infonalia.es/adjudicaciones1125/25236501.pdf</x:v>
      </x:c>
      <x:c r="E10" s="8" t="s">
        <x:v>61</x:v>
      </x:c>
      <x:c r="F10" s="6" t="s">
        <x:v>62</x:v>
      </x:c>
      <x:c r="G10" s="6" t="s">
        <x:v>63</x:v>
      </x:c>
      <x:c r="H10" s="6" t="s">
        <x:v>64</x:v>
      </x:c>
      <x:c r="I10" s="6" t="s">
        <x:v>25</x:v>
      </x:c>
      <x:c r="J10" s="9" t="n">
        <x:v>20671.56</x:v>
      </x:c>
      <x:c r="K10" s="9" t="n">
        <x:v>22716.00</x:v>
      </x:c>
    </x:row>
    <x:row r="11">
      <x:c r="A11" s="6" t="s">
        <x:v>11</x:v>
      </x:c>
      <x:c r="B11" s="6" t="s">
        <x:v>65</x:v>
      </x:c>
      <x:c r="C11" s="6" t="s">
        <x:v>13</x:v>
      </x:c>
      <x:c r="D11" s="7" t="str">
        <x:f xml:space="preserve">HYPERLINK("https://www.infonalia.es/adjudicaciones1125/25236629.pdf","www.infonalia.es/adjudicaciones1125/25236629.pdf")</x:f>
        <x:v>www.infonalia.es/adjudicaciones1125/25236629.pdf</x:v>
      </x:c>
      <x:c r="E11" s="8" t="s">
        <x:v>66</x:v>
      </x:c>
      <x:c r="F11" s="6" t="s">
        <x:v>67</x:v>
      </x:c>
      <x:c r="G11" s="6" t="s">
        <x:v>68</x:v>
      </x:c>
      <x:c r="H11" s="6" t="s">
        <x:v>69</x:v>
      </x:c>
      <x:c r="I11" s="6" t="s">
        <x:v>18</x:v>
      </x:c>
      <x:c r="J11" s="9" t="n">
        <x:v>15168.02</x:v>
      </x:c>
      <x:c r="K11" s="9" t="n">
        <x:v>19200.02</x:v>
      </x:c>
    </x:row>
    <x:row r="12">
      <x:c r="A12" s="6" t="s">
        <x:v>11</x:v>
      </x:c>
      <x:c r="B12" s="6" t="s">
        <x:v>70</x:v>
      </x:c>
      <x:c r="C12" s="6" t="s">
        <x:v>13</x:v>
      </x:c>
      <x:c r="D12" s="7" t="str">
        <x:f xml:space="preserve">HYPERLINK("https://www.infonalia.es/adjudicaciones1125/25236682.pdf","www.infonalia.es/adjudicaciones1125/25236682.pdf")</x:f>
        <x:v>www.infonalia.es/adjudicaciones1125/25236682.pdf</x:v>
      </x:c>
      <x:c r="E12" s="8" t="s">
        <x:v>71</x:v>
      </x:c>
      <x:c r="F12" s="6" t="s">
        <x:v>72</x:v>
      </x:c>
      <x:c r="G12" s="6" t="s">
        <x:v>73</x:v>
      </x:c>
      <x:c r="H12" s="6" t="s">
        <x:v>74</x:v>
      </x:c>
      <x:c r="I12" s="6" t="s">
        <x:v>43</x:v>
      </x:c>
      <x:c r="J12" s="9" t="n">
        <x:v>36000.00</x:v>
      </x:c>
      <x:c r="K12" s="9" t="n">
        <x:v>40000.00</x:v>
      </x:c>
    </x:row>
    <x:row r="13">
      <x:c r="A13" s="6" t="s">
        <x:v>11</x:v>
      </x:c>
      <x:c r="B13" s="6" t="s">
        <x:v>75</x:v>
      </x:c>
      <x:c r="C13" s="6" t="s">
        <x:v>13</x:v>
      </x:c>
      <x:c r="D13" s="7" t="str">
        <x:f xml:space="preserve">HYPERLINK("https://www.infonalia.es/adjudicaciones1125/25236685.pdf","www.infonalia.es/adjudicaciones1125/25236685.pdf")</x:f>
        <x:v>www.infonalia.es/adjudicaciones1125/25236685.pdf</x:v>
      </x:c>
      <x:c r="E13" s="8" t="s">
        <x:v>76</x:v>
      </x:c>
      <x:c r="F13" s="6" t="s">
        <x:v>77</x:v>
      </x:c>
      <x:c r="G13" s="6" t="s">
        <x:v>78</x:v>
      </x:c>
      <x:c r="H13" s="6" t="s">
        <x:v>79</x:v>
      </x:c>
      <x:c r="I13" s="6" t="s">
        <x:v>80</x:v>
      </x:c>
      <x:c r="J13" s="9" t="n">
        <x:v>200.00</x:v>
      </x:c>
      <x:c r="K13" s="9" t="n">
        <x:v>200.00</x:v>
      </x:c>
    </x:row>
    <x:row r="14">
      <x:c r="A14" s="6" t="s">
        <x:v>11</x:v>
      </x:c>
      <x:c r="B14" s="6" t="s">
        <x:v>81</x:v>
      </x:c>
      <x:c r="C14" s="6" t="s">
        <x:v>13</x:v>
      </x:c>
      <x:c r="D14" s="7" t="str">
        <x:f xml:space="preserve">HYPERLINK("https://www.infonalia.es/adjudicaciones1125/25236937.pdf","www.infonalia.es/adjudicaciones1125/25236937.pdf")</x:f>
        <x:v>www.infonalia.es/adjudicaciones1125/25236937.pdf</x:v>
      </x:c>
      <x:c r="E14" s="8" t="s">
        <x:v>82</x:v>
      </x:c>
      <x:c r="F14" s="6" t="s">
        <x:v>83</x:v>
      </x:c>
      <x:c r="G14" s="6" t="s">
        <x:v>84</x:v>
      </x:c>
      <x:c r="H14" s="6" t="s">
        <x:v>85</x:v>
      </x:c>
      <x:c r="I14" s="6" t="s">
        <x:v>25</x:v>
      </x:c>
      <x:c r="J14" s="9" t="n">
        <x:v>3187.20</x:v>
      </x:c>
      <x:c r="K14" s="9" t="n">
        <x:v>3187.20</x:v>
      </x:c>
    </x:row>
    <x:row r="15">
      <x:c r="A15" s="6" t="s">
        <x:v>86</x:v>
      </x:c>
      <x:c r="B15" s="6" t="s">
        <x:v>87</x:v>
      </x:c>
      <x:c r="C15" s="6" t="s">
        <x:v>13</x:v>
      </x:c>
      <x:c r="D15" s="7" t="str">
        <x:f xml:space="preserve">HYPERLINK("https://www.infonalia.es/adjudicaciones1125/25237037.pdf","www.infonalia.es/adjudicaciones1125/25237037.pdf")</x:f>
        <x:v>www.infonalia.es/adjudicaciones1125/25237037.pdf</x:v>
      </x:c>
      <x:c r="E15" s="8" t="s">
        <x:v>88</x:v>
      </x:c>
      <x:c r="F15" s="6" t="s">
        <x:v>89</x:v>
      </x:c>
      <x:c r="G15" s="6" t="s">
        <x:v>90</x:v>
      </x:c>
      <x:c r="H15" s="6" t="s">
        <x:v>91</x:v>
      </x:c>
      <x:c r="I15" s="6" t="s">
        <x:v>25</x:v>
      </x:c>
      <x:c r="J15" s="9" t="s">
        <x:v>19</x:v>
      </x:c>
      <x:c r="K15" s="9" t="n">
        <x:v>39800.00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