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<x:sst xmlns:x="http://schemas.openxmlformats.org/spreadsheetml/2006/main" count="11" uniqueCount="11">
  <x:si>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</x:si>
  <x:si>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</x:si>
  <x:si>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</x:si>
  <x:si>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</x:si>
  <x:si>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</x:si>
  <x:si>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</x:si>
  <x:si>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</x:si>
  <x:si>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</x:si>
  <x:si>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</x:si>
  <x:si>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</x:si>
  <x:si>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</x:si>
  <x:si>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</x:si>
  <x:si>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LOTE 2 GRUPO MAESTRAT CARPAS ESPECTACULOS Y EVENTOS SL</x:t>
  </x:si>
  <x:si>
    <x:t>05/11/2025 0:00:00</x:t>
  </x:si>
  <x:si>
    <x:t>25215372</x:t>
  </x:si>
  <x:si>
    <x:t>AYUNTAMIENTO DE ASCÓ (TARRAGONA)</x:t>
  </x:si>
  <x:si>
    <x:t>Suministro, en régimen de alquiler de los stands (lote 1) y carpa (lote 2) necesarias para la celebración de la Muestra del Cava en el municipio de Ascó, de acuerdo con el pliego de prescripciones técnicas.</x:t>
  </x:si>
  <x:si>
    <x:t>2745/2025</x:t>
  </x:si>
  <x:si>
    <x:t>Tarragona</x:t>
  </x:si>
  <x:si>
    <x:t>FAB LAB NETWORK SL</x:t>
  </x:si>
  <x:si>
    <x:t>25215379</x:t>
  </x:si>
  <x:si>
    <x:t>FUNDACIÓ BARCELONA MOBILE WORLD CAPITAL FOUNDATION</x:t>
  </x:si>
  <x:si>
    <x:t>El objeto del contrato consiste en la prestación de un servicio de diseño y ejecución del espacio expositivo de MWCapital en el MWC Barcelona 2026, que se celebrará los días 2 a 5 de marzo de 2026 en el recinto ferial de Feria de Barcelona-Gran Vía. Incluye su diseño y conceptualización asimismo por las condiciones administrativas establecidas en el Pliego de Cláusulas Administrativas Particulares (PCAP)</x:t>
  </x:si>
  <x:si>
    <x:t>A/F202516/S</x:t>
  </x:si>
  <x:si>
    <x:t>Barcelona</x:t>
  </x:si>
  <x:si>
    <x:t>ATREVIA COMUNICACION SLU</x:t>
  </x:si>
  <x:si>
    <x:t>25215403</x:t>
  </x:si>
  <x:si>
    <x:t>IMPRENTA DE BILLETES, S.A., MEDIO PROPIO DEL BANCO DE ESPAÑA (IMBISA)</x:t>
  </x:si>
  <x:si>
    <x:t>Contratación de los servicios de comunicación interna y externa de recursos humanos, newsletter, revista interna, análisis de datos y generación de informes, y producción audiovisual</x:t>
  </x:si>
  <x:si>
    <x:t>SOLPED11646</x:t>
  </x:si>
  <x:si>
    <x:t>Madrid</x:t>
  </x:si>
  <x:si>
    <x:t>NEXT MEDIA PROJECT SLU</x:t>
  </x:si>
  <x:si>
    <x:t>25215474</x:t>
  </x:si>
  <x:si>
    <x:t>El objeto del presente contrato es la prestación de un servicio integral para la conceptualización, diseño, desarrollo, producción, transporte, montaje, puesta en marcha, soporte técnico, desmontaje y almacenamiento de un conjunto de un máximo de seis (6) elementos expositivos interactivos de carácter tecnológico y experiencial, que constituirán el núcleo narrativo y conceptual del proyecto anual 2026 de MWCapital.</x:t>
  </x:si>
  <x:si>
    <x:t>A/F202517/S</x:t>
  </x:si>
  <x:si>
    <x:t>Ver detalle de la adjudicación</x:t>
  </x:si>
  <x:si>
    <x:t>QUIMERA ENTERTAINMENT COMPANY, SL</x:t>
  </x:si>
  <x:si>
    <x:t>25215478</x:t>
  </x:si>
  <x:si>
    <x:t>AYUNTAMIENTO DE LA SEU D'URGELL (LLEIDA)</x:t>
  </x:si>
  <x:si>
    <x:t>El objeto del contrato es la dirección técnica del Festival del Juego del Pirineo</x:t>
  </x:si>
  <x:si>
    <x:t>SE CSE 2025/39(A-916)</x:t>
  </x:si>
  <x:si>
    <x:t>Lleida</x:t>
  </x:si>
  <x:si>
    <x:t>ARIANA TORRAS MONEDERO</x:t>
  </x:si>
  <x:si>
    <x:t>25215484</x:t>
  </x:si>
  <x:si>
    <x:t>CONSELL COMARCAL DEL BAGES (BARCELONA)</x:t>
  </x:si>
  <x:si>
    <x:t>El objeto de este contrato de servicios es el diseño y maquetación de la mayoría de soportes de promoción y divulgación vinculados a las funciones, proyectos y objetivos del Consejo Comarcal de El Bages</x:t>
  </x:si>
  <x:si>
    <x:t>2025_1914</x:t>
  </x:si>
  <x:si>
    <x:t>LOTE 3 OPTIMPEOPLE S.L. </x:t>
  </x:si>
  <x:si>
    <x:t>25215542</x:t>
  </x:si>
  <x:si>
    <x:t>CONSELL COMARCAL DE LA RIBERA D'EBRE (TARRAGONA)</x:t>
  </x:si>
  <x:si>
    <x:t>El objeto del contrato consiste en la regulación técnica y cubrir la prestación del servicio para promover e incentivar al sector empresarial, atraer nuevas inversiones y dinamizar las áreas industriales de la Ribera d'Ebre. Y, de la acción 21-02 denominada "Asistencia técnica para la dinamización del sector industrial". Con el objetivo de identificar y mapear las zonas industriales con potencial, mejorar la visibilidad de los polígonos industriales e impulsar una estrategia de dinamización integral que favorezca el desarrollo económico y la atracción de inversiones. Lote 1 Mapeo de las zonas con potencial industrializable de los municipios de la Ribera d'Ebre. Lote 2 Actualización del sitio web de Polígonos Industriales, creación de materiales de marketing y creación de una base de datos empresarial. Lote 3 Acuerdos de colaboración con entidades públicas, programa de incubación de start-ups, programa de soft landing, programa de fomento de la emprendeduría en las escuelas e institutos de la comarca, organización y dinamización de encuentros empresariales en la Ribera de Ebre</x:t>
  </x:si>
  <x:si>
    <x:t>607/2025</x:t>
  </x:si>
  <x:si>
    <x:t>LOTE 1 MADEIRA ARQUITECTURA Y DISEÑO S.L.; LOTE 2 MADEIRA ARQUITECTURA Y DISEÑO S.L. </x:t>
  </x:si>
  <x:si>
    <x:t>25215724</x:t>
  </x:si>
  <x:si>
    <x:t>PRESIDENCIA DE LA DIPUTACIÓN PROVINCIAL DE JAÉN</x:t>
  </x:si>
  <x:si>
    <x:t>Arrendamiento, montaje y desmontaje de los elementos estructurales necesarios para la celebración de la Fiesta Anual del Primer Aceite 2025. Lote 1: “XII Fiesta del Primer Aceite de Jaén” en la ciudad de Martos (Jaén). Lote 2: "Fiesta del Primer Aceite de Jaén” en Fuenlabrada (Madrid)</x:t>
  </x:si>
  <x:si>
    <x:t>CO-2025/001624</x:t>
  </x:si>
  <x:si>
    <x:t>Jaén y Madrid</x:t>
  </x:si>
  <x:si>
    <x:t>PROXIMITY MADRID - AGENCIA DE COMUNICACION, S.L</x:t>
  </x:si>
  <x:si>
    <x:t>25215815</x:t>
  </x:si>
  <x:si>
    <x:t>CONSEJO DE ADMINISTRACIÓN DE LA SOCIEDAD ESTATAL LOTERÍAS Y APUESTAS DEL ESTADO, S.M.E., S.A.</x:t>
  </x:si>
  <x:si>
    <x:t>Servicio integral de creatividad, comunicación y publicidad para los juegos denominados lotos (La Primitiva® y su juego asociado El Joker®, Bonoloto® y El Gordo de La Primitiva®) y sus juegos asociados.</x:t>
  </x:si>
  <x:si>
    <x:t>25/191</x:t>
  </x:si>
  <x:si>
    <x:t>INSTALACIONES Y SISTEMAS PRÓSPER S.A</x:t>
  </x:si>
  <x:si>
    <x:t>25216060</x:t>
  </x:si>
  <x:si>
    <x:t>AYUNTAMIENTO DE MADRID. PRESIDENCIA DEL PLENO</x:t>
  </x:si>
  <x:si>
    <x:t>El objeto principal del presente contrato es regular la prestación de los servicios profesionales audiovisuales de asistencia técnica y mantenimiento, necesarios para la correcta celebración y desarrollo de las sesiones del Pleno del Ayuntamiento de Madrid.</x:t>
  </x:si>
  <x:si>
    <x:t>300/2025/00797</x:t>
  </x:si>
  <x:si>
    <x:t>IRISMEDIA AGENCIA DE MEDIOS S.L</x:t>
  </x:si>
  <x:si>
    <x:t>25216283</x:t>
  </x:si>
  <x:si>
    <x:t>ÁREA DE GOBIERNO DE VICEALCALDÍA, PORTAVOZ, SEGURIDAD Y EMERGENCIAS DEL AYUNTAMIENTO DE MADRID</x:t>
  </x:si>
  <x:si>
    <x:t>Difusión de la campaña de refuerzo “Haz tu magia” promovida por el Área de Gobierno de Urbanismo, Medio Ambiente y Movilidad</x:t>
  </x:si>
  <x:si>
    <x:t>511/2024/09993.1.49</x:t>
  </x:si>
  <x:si>
    <x:t>25216295</x:t>
  </x:si>
  <x:si>
    <x:t>VII Feria del Asociacionismo</x:t>
  </x:si>
  <x:si>
    <x:t>511/2024/09993.1.40</x:t>
  </x:si>
  <x:si>
    <x:t>PROGOURMET SA</x:t>
  </x:si>
  <x:si>
    <x:t>25216404</x:t>
  </x:si>
  <x:si>
    <x:t>GENERALITAT VALENCIANA. SUBSECRETARÍA DE LA CONSEJERÍA DE AGRICULTURA, AGUA, GANADERÍA Y PESCA</x:t>
  </x:si>
  <x:si>
    <x:t>Contrato de alquiler de espacio para la participación de la Consejería de Agricultura, Agua, Ganadería y Pesca en el feria GOURMETS 2026.</x:t>
  </x:si>
  <x:si>
    <x:t>CMAYOR/2025/26Y03/0064</x:t>
  </x:si>
  <x:si>
    <x:t>Desierto</x:t>
  </x:si>
  <x:si>
    <x:t>DESIERTO</x:t>
  </x:si>
  <x:si>
    <x:t>25216472</x:t>
  </x:si>
  <x:si>
    <x:t>MINISTERIO DE TRANSPORTES Y MOVILIDAD SOSTENIBLE. CENTRO NACIONAL DE INFORMACIÓN GEOGRÁFI</x:t>
  </x:si>
  <x:si>
    <x:t>Servicio para la contratación del diseño, construcción, montaje, desmontaje, mantenimiento y asistencia técnica integral del stand en la Feria Internacional de Turismo FITUR 2026 por el O.A. Centro Nacional de Información Geográfica</x:t>
  </x:si>
  <x:si>
    <x:t>2025 00000046</x:t>
  </x:si>
  <x:si>
    <x:t>LOTE 1 SPORTMADNESS EVENTOS SL ; LOTE 2 EMICED DISEÑO INTEGRAL SL </x:t>
  </x:si>
  <x:si>
    <x:t>25216572</x:t>
  </x:si>
  <x:si>
    <x:t>JUNTA DE GOBIERNO DEL AYUNTAMIENTO DE BOADILLA DEL MONTE (MADRID)</x:t>
  </x:si>
  <x:si>
    <x:t>Servicios de organización y producción de las fiestas de Navidad 2025-2026 en Boadilla del Monte. Lote 1: Espacio de ocio familiar. Lote 2: Pista de hielo y Mercado Navideño. Lote 3: Belén viviente.</x:t>
  </x:si>
  <x:si>
    <x:t>EC/50/2025</x:t>
  </x:si>
  <x:si>
    <x:t>LOTE 6 MUNDOIMPRESIÓN 236 S.L. </x:t>
  </x:si>
  <x:si>
    <x:t>25216573</x:t>
  </x:si>
  <x:si>
    <x:t>JUNTA DE GOBIERNO DE LA DIPUTACIÓN PROVINCIAL DE LEÓN</x:t>
  </x:si>
  <x:si>
    <x:t>Celebración de Ferias de los productos de León en Coruña, Gijón, Bilbao, Madrid (o ciudad del norte de España), promoción de las mismas y participación en la ferias SALIMAT 2025, SALAMAQ 2025 Y FERIA DE LA LENTEJA Y EL PAN 2025. Lote 1 Mini feria de los productos de León en La Coruña. Servicios de instalación y decoración del recinto ferial y coordinación de las actividades en la localidad de La Coruña. Lote 2 Mini feria de los productos de León en Gijón. Servicios de instalación y decoración del recinto ferial y coordinación de las actividades en la localidad de Gijón. Lote 3 Mini feria de los productos de León en Bilbao. Servicios de instalación y decoración del recinto ferial y coordinación de las actividades, en la localidad de Bilbao. Lote 4 Mini feria de los productos de León en Madrid u otra ciudad del noroeste. Servicios de instalación y decoración del recinto ferial y coordinación de las actividades, en la localidad de Madrid o ciudad del noroeste de España. Lote 5 Campaña de comunicación en la mini feria de los productos de León en La Coruña previa a la feria del lote 1. Lote 6 Campaña de comunicación en la mini feria de los productos de León en Bilbao previa a la feria del lote 3. Lote 7 Campaña de comunicación en la mini feria de los productos de León en Madrid o ciudad del noroeste de España, previa a la feria del lote 4. Lote 8 Showroom profesional de los productos de León en la localidad de Gijón. Lote 9, Servicios de instalación y decoración del recinto ferial y coordinación de las actividades en la Feria SALIMAT 2025 (Silleda, Pontevedra). Lote 10 Servicios de instalación y decoración del recinto ferial y coordinación de las actividades en la Feria Agroalimentaria del Bierzo 2025 (Carracedelo, León). Lote 11 Servicios de instalación y decoración del recinto ferial y coordinación de las actividades enla Feria SALAMAQ 2025 (Salamanca). Lote 12 Servicios de instalación y decoración del recinto ferial y coordinación de las actividades en la Feria de la Lenteja y el Pan 2025 en Mayorga (Valladolid).</x:t>
  </x:si>
  <x:si>
    <x:t>1410911Z</x:t>
  </x:si>
  <x:si>
    <x:t>Ver pliegos</x:t>
  </x:si>
  <x:si>
    <x:t>LOTE 3 MERINO Y MERINO PRODUCCIONES </x:t>
  </x:si>
  <x:si>
    <x:t>25216605</x:t>
  </x:si>
  <x:si>
    <x:t>AYUNTAMIENTO DE MADRID. DISTRITO DE CHAMBERÍ</x:t>
  </x:si>
  <x:si>
    <x:t>Actividades navideñas en el Distrito de Chamberí. Lote 1: Decoración luminosa navideña. Lote 2: Tren neumático de la Navidad. Lote 3: Desfile navideño en Chamberí.</x:t>
  </x:si>
  <x:si>
    <x:t>300/2025/01425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</x:si>
</x:sst>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HYPERLINK("https://www.infonalia.es/adjudicaciones1125/25215372.pdf","www.infonalia.es/adjudicaciones1125/25215372.pdf")</x:f>
        <x:v>www.infonalia.es/adjudicaciones1125/25215372.pdf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4349.00</x:v>
      </x:c>
      <x:c r="K2" s="9" t="n">
        <x:v>4750.00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HYPERLINK("https://www.infonalia.es/adjudicaciones1125/25215379.pdf","www.infonalia.es/adjudicaciones1125/25215379.pdf")</x:f>
        <x:v>www.infonalia.es/adjudicaciones1125/25215379.pdf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24</x:v>
      </x:c>
      <x:c r="J3" s="9" t="n">
        <x:v>297350.00</x:v>
      </x:c>
      <x:c r="K3" s="9" t="n">
        <x:v>313000.00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HYPERLINK("https://www.infonalia.es/adjudicaciones1125/25215403.pdf","www.infonalia.es/adjudicaciones1125/25215403.pdf")</x:f>
        <x:v>www.infonalia.es/adjudicaciones1125/25215403.pdf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30</x:v>
      </x:c>
      <x:c r="J4" s="9" t="n">
        <x:v>168599.92</x:v>
      </x:c>
      <x:c r="K4" s="9" t="n">
        <x:v>281000.00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HYPERLINK("https://www.infonalia.es/adjudicaciones1125/25215474.pdf","www.infonalia.es/adjudicaciones1125/25215474.pdf")</x:f>
        <x:v>www.infonalia.es/adjudicaciones1125/25215474.pdf</x:v>
      </x:c>
      <x:c r="E5" s="8" t="s">
        <x:v>32</x:v>
      </x:c>
      <x:c r="F5" s="6" t="s">
        <x:v>21</x:v>
      </x:c>
      <x:c r="G5" s="6" t="s">
        <x:v>33</x:v>
      </x:c>
      <x:c r="H5" s="6" t="s">
        <x:v>34</x:v>
      </x:c>
      <x:c r="I5" s="6" t="s">
        <x:v>24</x:v>
      </x:c>
      <x:c r="J5" s="9" t="s">
        <x:v>35</x:v>
      </x:c>
      <x:c r="K5" s="9" t="n">
        <x:v>387000.00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HYPERLINK("https://www.infonalia.es/adjudicaciones1125/25215478.pdf","www.infonalia.es/adjudicaciones1125/25215478.pdf")</x:f>
        <x:v>www.infonalia.es/adjudicaciones1125/25215478.pdf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41</x:v>
      </x:c>
      <x:c r="J6" s="9" t="s">
        <x:v>35</x:v>
      </x:c>
      <x:c r="K6" s="9" t="n">
        <x:v>24793.39</x:v>
      </x:c>
    </x:row>
    <x:row r="7">
      <x:c r="A7" s="6" t="s">
        <x:v>11</x:v>
      </x:c>
      <x:c r="B7" s="6" t="s">
        <x:v>42</x:v>
      </x:c>
      <x:c r="C7" s="6" t="s">
        <x:v>13</x:v>
      </x:c>
      <x:c r="D7" s="7" t="str">
        <x:f xml:space="preserve">HYPERLINK("https://www.infonalia.es/adjudicaciones1125/25215484.pdf","www.infonalia.es/adjudicaciones1125/25215484.pdf")</x:f>
        <x:v>www.infonalia.es/adjudicaciones1125/25215484.pdf</x:v>
      </x:c>
      <x:c r="E7" s="8" t="s">
        <x:v>43</x:v>
      </x:c>
      <x:c r="F7" s="6" t="s">
        <x:v>44</x:v>
      </x:c>
      <x:c r="G7" s="6" t="s">
        <x:v>45</x:v>
      </x:c>
      <x:c r="H7" s="6" t="s">
        <x:v>46</x:v>
      </x:c>
      <x:c r="I7" s="6" t="s">
        <x:v>24</x:v>
      </x:c>
      <x:c r="J7" s="9" t="s">
        <x:v>35</x:v>
      </x:c>
      <x:c r="K7" s="9" t="n">
        <x:v>17749.98</x:v>
      </x:c>
    </x:row>
    <x:row r="8">
      <x:c r="A8" s="6" t="s">
        <x:v>11</x:v>
      </x:c>
      <x:c r="B8" s="6" t="s">
        <x:v>47</x:v>
      </x:c>
      <x:c r="C8" s="6" t="s">
        <x:v>13</x:v>
      </x:c>
      <x:c r="D8" s="7" t="str">
        <x:f xml:space="preserve">HYPERLINK("https://www.infonalia.es/adjudicaciones1125/25215542.pdf","www.infonalia.es/adjudicaciones1125/25215542.pdf")</x:f>
        <x:v>www.infonalia.es/adjudicaciones1125/25215542.pdf</x:v>
      </x:c>
      <x:c r="E8" s="8" t="s">
        <x:v>48</x:v>
      </x:c>
      <x:c r="F8" s="6" t="s">
        <x:v>49</x:v>
      </x:c>
      <x:c r="G8" s="6" t="s">
        <x:v>50</x:v>
      </x:c>
      <x:c r="H8" s="6" t="s">
        <x:v>51</x:v>
      </x:c>
      <x:c r="I8" s="6" t="s">
        <x:v>18</x:v>
      </x:c>
      <x:c r="J8" s="9" t="n">
        <x:v>82351.37</x:v>
      </x:c>
      <x:c r="K8" s="9" t="n">
        <x:v>122727.27</x:v>
      </x:c>
    </x:row>
    <x:row r="9">
      <x:c r="A9" s="6" t="s">
        <x:v>11</x:v>
      </x:c>
      <x:c r="B9" s="6" t="s">
        <x:v>52</x:v>
      </x:c>
      <x:c r="C9" s="6" t="s">
        <x:v>13</x:v>
      </x:c>
      <x:c r="D9" s="7" t="str">
        <x:f xml:space="preserve">HYPERLINK("https://www.infonalia.es/adjudicaciones1125/25215724.pdf","www.infonalia.es/adjudicaciones1125/25215724.pdf")</x:f>
        <x:v>www.infonalia.es/adjudicaciones1125/25215724.pdf</x:v>
      </x:c>
      <x:c r="E9" s="8" t="s">
        <x:v>53</x:v>
      </x:c>
      <x:c r="F9" s="6" t="s">
        <x:v>54</x:v>
      </x:c>
      <x:c r="G9" s="6" t="s">
        <x:v>55</x:v>
      </x:c>
      <x:c r="H9" s="6" t="s">
        <x:v>56</x:v>
      </x:c>
      <x:c r="I9" s="6" t="s">
        <x:v>57</x:v>
      </x:c>
      <x:c r="J9" s="9" t="s">
        <x:v>35</x:v>
      </x:c>
      <x:c r="K9" s="9" t="n">
        <x:v>215000.00</x:v>
      </x:c>
    </x:row>
    <x:row r="10">
      <x:c r="A10" s="6" t="s">
        <x:v>11</x:v>
      </x:c>
      <x:c r="B10" s="6" t="s">
        <x:v>58</x:v>
      </x:c>
      <x:c r="C10" s="6" t="s">
        <x:v>13</x:v>
      </x:c>
      <x:c r="D10" s="7" t="str">
        <x:f xml:space="preserve">HYPERLINK("https://www.infonalia.es/adjudicaciones1125/25215815.pdf","www.infonalia.es/adjudicaciones1125/25215815.pdf")</x:f>
        <x:v>www.infonalia.es/adjudicaciones1125/25215815.pdf</x:v>
      </x:c>
      <x:c r="E10" s="8" t="s">
        <x:v>59</x:v>
      </x:c>
      <x:c r="F10" s="6" t="s">
        <x:v>60</x:v>
      </x:c>
      <x:c r="G10" s="6" t="s">
        <x:v>61</x:v>
      </x:c>
      <x:c r="H10" s="6" t="s">
        <x:v>62</x:v>
      </x:c>
      <x:c r="I10" s="6" t="s">
        <x:v>30</x:v>
      </x:c>
      <x:c r="J10" s="9" t="n">
        <x:v>0.00</x:v>
      </x:c>
      <x:c r="K10" s="9" t="n">
        <x:v>1200000.00</x:v>
      </x:c>
    </x:row>
    <x:row r="11">
      <x:c r="A11" s="6" t="s">
        <x:v>11</x:v>
      </x:c>
      <x:c r="B11" s="6" t="s">
        <x:v>63</x:v>
      </x:c>
      <x:c r="C11" s="6" t="s">
        <x:v>13</x:v>
      </x:c>
      <x:c r="D11" s="7" t="str">
        <x:f xml:space="preserve">HYPERLINK("https://www.infonalia.es/adjudicaciones1125/25216060.pdf","www.infonalia.es/adjudicaciones1125/25216060.pdf")</x:f>
        <x:v>www.infonalia.es/adjudicaciones1125/25216060.pdf</x:v>
      </x:c>
      <x:c r="E11" s="8" t="s">
        <x:v>64</x:v>
      </x:c>
      <x:c r="F11" s="6" t="s">
        <x:v>65</x:v>
      </x:c>
      <x:c r="G11" s="6" t="s">
        <x:v>66</x:v>
      </x:c>
      <x:c r="H11" s="6" t="s">
        <x:v>67</x:v>
      </x:c>
      <x:c r="I11" s="6" t="s">
        <x:v>30</x:v>
      </x:c>
      <x:c r="J11" s="9" t="n">
        <x:v>269694.66</x:v>
      </x:c>
      <x:c r="K11" s="9" t="n">
        <x:v>370495.92</x:v>
      </x:c>
    </x:row>
    <x:row r="12">
      <x:c r="A12" s="6" t="s">
        <x:v>11</x:v>
      </x:c>
      <x:c r="B12" s="6" t="s">
        <x:v>68</x:v>
      </x:c>
      <x:c r="C12" s="6" t="s">
        <x:v>13</x:v>
      </x:c>
      <x:c r="D12" s="7" t="str">
        <x:f xml:space="preserve">HYPERLINK("https://www.infonalia.es/adjudicaciones1125/25216283.pdf","www.infonalia.es/adjudicaciones1125/25216283.pdf")</x:f>
        <x:v>www.infonalia.es/adjudicaciones1125/25216283.pdf</x:v>
      </x:c>
      <x:c r="E12" s="8" t="s">
        <x:v>69</x:v>
      </x:c>
      <x:c r="F12" s="6" t="s">
        <x:v>70</x:v>
      </x:c>
      <x:c r="G12" s="6" t="s">
        <x:v>71</x:v>
      </x:c>
      <x:c r="H12" s="6" t="s">
        <x:v>72</x:v>
      </x:c>
      <x:c r="I12" s="6" t="s">
        <x:v>30</x:v>
      </x:c>
      <x:c r="J12" s="9" t="n">
        <x:v>115000.00</x:v>
      </x:c>
      <x:c r="K12" s="9" t="n">
        <x:v>115000.00</x:v>
      </x:c>
    </x:row>
    <x:row r="13">
      <x:c r="A13" s="6" t="s">
        <x:v>11</x:v>
      </x:c>
      <x:c r="B13" s="6" t="s">
        <x:v>68</x:v>
      </x:c>
      <x:c r="C13" s="6" t="s">
        <x:v>13</x:v>
      </x:c>
      <x:c r="D13" s="7" t="str">
        <x:f xml:space="preserve">HYPERLINK("https://www.infonalia.es/adjudicaciones1125/25216295.pdf","www.infonalia.es/adjudicaciones1125/25216295.pdf")</x:f>
        <x:v>www.infonalia.es/adjudicaciones1125/25216295.pdf</x:v>
      </x:c>
      <x:c r="E13" s="8" t="s">
        <x:v>73</x:v>
      </x:c>
      <x:c r="F13" s="6" t="s">
        <x:v>70</x:v>
      </x:c>
      <x:c r="G13" s="6" t="s">
        <x:v>74</x:v>
      </x:c>
      <x:c r="H13" s="6" t="s">
        <x:v>75</x:v>
      </x:c>
      <x:c r="I13" s="6" t="s">
        <x:v>30</x:v>
      </x:c>
      <x:c r="J13" s="9" t="n">
        <x:v>70330.00</x:v>
      </x:c>
      <x:c r="K13" s="9" t="n">
        <x:v>70330.00</x:v>
      </x:c>
    </x:row>
    <x:row r="14">
      <x:c r="A14" s="6" t="s">
        <x:v>11</x:v>
      </x:c>
      <x:c r="B14" s="6" t="s">
        <x:v>76</x:v>
      </x:c>
      <x:c r="C14" s="6" t="s">
        <x:v>13</x:v>
      </x:c>
      <x:c r="D14" s="7" t="str">
        <x:f xml:space="preserve">HYPERLINK("https://www.infonalia.es/adjudicaciones1125/25216404.pdf","www.infonalia.es/adjudicaciones1125/25216404.pdf")</x:f>
        <x:v>www.infonalia.es/adjudicaciones1125/25216404.pdf</x:v>
      </x:c>
      <x:c r="E14" s="8" t="s">
        <x:v>77</x:v>
      </x:c>
      <x:c r="F14" s="6" t="s">
        <x:v>78</x:v>
      </x:c>
      <x:c r="G14" s="6" t="s">
        <x:v>79</x:v>
      </x:c>
      <x:c r="H14" s="6" t="s">
        <x:v>80</x:v>
      </x:c>
      <x:c r="I14" s="6" t="s">
        <x:v>30</x:v>
      </x:c>
      <x:c r="J14" s="9" t="n">
        <x:v>233158.00</x:v>
      </x:c>
      <x:c r="K14" s="9" t="n">
        <x:v>233158.00</x:v>
      </x:c>
    </x:row>
    <x:row r="15">
      <x:c r="A15" s="6" t="s">
        <x:v>81</x:v>
      </x:c>
      <x:c r="B15" s="6" t="s">
        <x:v>82</x:v>
      </x:c>
      <x:c r="C15" s="6" t="s">
        <x:v>13</x:v>
      </x:c>
      <x:c r="D15" s="7" t="str">
        <x:f xml:space="preserve">HYPERLINK("https://www.infonalia.es/adjudicaciones1125/25216472.pdf","www.infonalia.es/adjudicaciones1125/25216472.pdf")</x:f>
        <x:v>www.infonalia.es/adjudicaciones1125/25216472.pdf</x:v>
      </x:c>
      <x:c r="E15" s="8" t="s">
        <x:v>83</x:v>
      </x:c>
      <x:c r="F15" s="6" t="s">
        <x:v>84</x:v>
      </x:c>
      <x:c r="G15" s="6" t="s">
        <x:v>85</x:v>
      </x:c>
      <x:c r="H15" s="6" t="s">
        <x:v>86</x:v>
      </x:c>
      <x:c r="I15" s="6" t="s">
        <x:v>30</x:v>
      </x:c>
      <x:c r="J15" s="9" t="s">
        <x:v>35</x:v>
      </x:c>
      <x:c r="K15" s="9" t="n">
        <x:v>437966.14</x:v>
      </x:c>
    </x:row>
    <x:row r="16">
      <x:c r="A16" s="6" t="s">
        <x:v>11</x:v>
      </x:c>
      <x:c r="B16" s="6" t="s">
        <x:v>87</x:v>
      </x:c>
      <x:c r="C16" s="6" t="s">
        <x:v>13</x:v>
      </x:c>
      <x:c r="D16" s="7" t="str">
        <x:f xml:space="preserve">HYPERLINK("https://www.infonalia.es/adjudicaciones1125/25216572.pdf","www.infonalia.es/adjudicaciones1125/25216572.pdf")</x:f>
        <x:v>www.infonalia.es/adjudicaciones1125/25216572.pdf</x:v>
      </x:c>
      <x:c r="E16" s="8" t="s">
        <x:v>88</x:v>
      </x:c>
      <x:c r="F16" s="6" t="s">
        <x:v>89</x:v>
      </x:c>
      <x:c r="G16" s="6" t="s">
        <x:v>90</x:v>
      </x:c>
      <x:c r="H16" s="6" t="s">
        <x:v>91</x:v>
      </x:c>
      <x:c r="I16" s="6" t="s">
        <x:v>30</x:v>
      </x:c>
      <x:c r="J16" s="9" t="s">
        <x:v>35</x:v>
      </x:c>
      <x:c r="K16" s="9" t="n">
        <x:v>179817.26</x:v>
      </x:c>
    </x:row>
    <x:row r="17">
      <x:c r="A17" s="6" t="s">
        <x:v>11</x:v>
      </x:c>
      <x:c r="B17" s="6" t="s">
        <x:v>92</x:v>
      </x:c>
      <x:c r="C17" s="6" t="s">
        <x:v>13</x:v>
      </x:c>
      <x:c r="D17" s="7" t="str">
        <x:f xml:space="preserve">HYPERLINK("https://www.infonalia.es/adjudicaciones1125/25216573.pdf","www.infonalia.es/adjudicaciones1125/25216573.pdf")</x:f>
        <x:v>www.infonalia.es/adjudicaciones1125/25216573.pdf</x:v>
      </x:c>
      <x:c r="E17" s="8" t="s">
        <x:v>93</x:v>
      </x:c>
      <x:c r="F17" s="6" t="s">
        <x:v>94</x:v>
      </x:c>
      <x:c r="G17" s="6" t="s">
        <x:v>95</x:v>
      </x:c>
      <x:c r="H17" s="6" t="s">
        <x:v>96</x:v>
      </x:c>
      <x:c r="I17" s="6" t="s">
        <x:v>97</x:v>
      </x:c>
      <x:c r="J17" s="9" t="s">
        <x:v>35</x:v>
      </x:c>
      <x:c r="K17" s="9" t="n">
        <x:v>244150.00</x:v>
      </x:c>
    </x:row>
    <x:row r="18">
      <x:c r="A18" s="6" t="s">
        <x:v>11</x:v>
      </x:c>
      <x:c r="B18" s="6" t="s">
        <x:v>98</x:v>
      </x:c>
      <x:c r="C18" s="6" t="s">
        <x:v>13</x:v>
      </x:c>
      <x:c r="D18" s="7" t="str">
        <x:f xml:space="preserve">HYPERLINK("https://www.infonalia.es/adjudicaciones1125/25216605.pdf","www.infonalia.es/adjudicaciones1125/25216605.pdf")</x:f>
        <x:v>www.infonalia.es/adjudicaciones1125/25216605.pdf</x:v>
      </x:c>
      <x:c r="E18" s="8" t="s">
        <x:v>99</x:v>
      </x:c>
      <x:c r="F18" s="6" t="s">
        <x:v>100</x:v>
      </x:c>
      <x:c r="G18" s="6" t="s">
        <x:v>101</x:v>
      </x:c>
      <x:c r="H18" s="6" t="s">
        <x:v>102</x:v>
      </x:c>
      <x:c r="I18" s="6" t="s">
        <x:v>30</x:v>
      </x:c>
      <x:c r="J18" s="9" t="n">
        <x:v>47950.00</x:v>
      </x:c>
      <x:c r="K18" s="9" t="n">
        <x:v>48387.78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