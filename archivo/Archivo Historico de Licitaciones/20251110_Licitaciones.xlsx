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<x:sst xmlns:x="http://schemas.openxmlformats.org/spreadsheetml/2006/main" count="17" uniqueCount="17">
  <x:si>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</x:si>
  <x:si>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</x:si>
  <x:si>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</x:si>
  <x:si>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</x:si>
  <x:si>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</x:si>
  <x:si>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</x:si>
  <x:si>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</x:si>
  <x:si>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</x:si>
  <x:si>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</x:si>
  <x:si>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</x:si>
  <x:si>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</x:si>
  <x:si>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</x:si>
  <x:si>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</x:si>
  <x:si>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</x:si>
  <x:si>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</x:si>
  <x:si>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</x:si>
  <x:si>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</x:si>
  <x:si>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</x:si>
  <x:si>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</x:si>
  <x:si>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07/12/2025</x:t>
  </x:si>
  <x:si>
    <x:t>2025158700</x:t>
  </x:si>
  <x:si>
    <x:t>10/11/2025</x:t>
  </x:si>
  <x:si>
    <x:t>MINISTERIO DE DEFENSA. INTENDENCIA DE MADRID</x:t>
  </x:si>
  <x:si>
    <x:t>T.A Asistencia Técnica para la elaboración del plan de comunicación y su seguimiento durante la conmemoración del centenario del Buque Escuela JSE.</x:t>
  </x:si>
  <x:si>
    <x:t>2025/AR21U/00002164E</x:t>
  </x:si>
  <x:si>
    <x:t>Importe sin impuestos</x:t>
  </x:si>
  <x:si>
    <x:t/>
  </x:si>
  <x:si>
    <x:t>-----</x:t>
  </x:si>
  <x:si>
    <x:t>09/11/2025</x:t>
  </x:si>
  <x:si>
    <x:t/>
  </x:si>
  <x:si>
    <x:t>Madrid</x:t>
  </x:si>
  <x:si>
    <x:t>24/11/2025</x:t>
  </x:si>
  <x:si>
    <x:t>2025158708</x:t>
  </x:si>
  <x:si>
    <x:t>SECRETARÍA GENERAL DE LA FEDERACIÓN ESPAÑOLA DE MUNICIPIOS Y PROVINCIAS</x:t>
  </x:si>
  <x:si>
    <x:t>Contrato de los servicios para el diseño y desarrollo y de una red de ontologías aplicables al ámbito Smart City en el espacio de datos de infraestructuras urbanas inteligentes (EDINT), en el marco del Plan de Recuperación, Transformación y Resiliencia financiado por la Unión Europea – Next Generation EU.</x:t>
  </x:si>
  <x:si>
    <x:t>CF_10_2025</x:t>
  </x:si>
  <x:si>
    <x:t/>
  </x:si>
  <x:si>
    <x:t>09/12/2025</x:t>
  </x:si>
  <x:si>
    <x:t>2025158728</x:t>
  </x:si>
  <x:si>
    <x:t>MINISTERIO DE HACIENDA. DIRECCIÓN DEL SERVICIO DE GESTIÓN ECONÓMICA DE LA AGENCIA ESTATAL DE LA ADMINISTRACIÓN TRIBUTARIA</x:t>
  </x:si>
  <x:si>
    <x:t>Creatividad, diseño y producción de una campaña de publicidad de sensibilización sobre la necesidad de cumplir con las obligaciones fiscales y asistencia a la ciudadanía en el cumplimiento de sus obligaciones fiscales.</x:t>
  </x:si>
  <x:si>
    <x:t>25890107500</x:t>
  </x:si>
  <x:si>
    <x:t/>
  </x:si>
  <x:si>
    <x:t>Ver pliegos</x:t>
  </x:si>
  <x:si>
    <x:t>2025158944</x:t>
  </x:si>
  <x:si>
    <x:t>AYUNTAMIENTO DE SANTA COLOMA DE GRAMENET (BARCELONA)</x:t>
  </x:si>
  <x:si>
    <x:t>Contratación de una central de medios para la gestión e inserción de la publicidad institucional del Ayuntamiento de Santa Coloma de Gramenet en medios de comunicación locales y generalistas (prensa escrita, prensa digital y radio); en redes sociales (Facebook, X (antes Twitter), Instagram, TikTok y Youtube); patrocinios y colaboraciones en actos y promociones y la gestión de la inserción de anuncios oficiales de carácter obligatorio, encartes, esquelas y clasificados en los diarios de mayor difusión en la zona. Complementariamente es objeto del contrato la promoción del medio ambiente</x:t>
  </x:si>
  <x:si>
    <x:t>2025-SE-OH-39</x:t>
  </x:si>
  <x:si>
    <x:t>07/11/2025</x:t>
  </x:si>
  <x:si>
    <x:t/>
  </x:si>
  <x:si>
    <x:t>Barcelona</x:t>
  </x:si>
  <x:si>
    <x:t>2025159078</x:t>
  </x:si>
  <x:si>
    <x:t>RECTORADO DE LA UNIVERSIDAD AUTÓNOMA DE MADRID</x:t>
  </x:si>
  <x:si>
    <x:t>Publicidad, promoción, información y marketing de la oferta académica del Centro de Postgrado de la UAM, siendo el objetivo general potenciar y promocionar a nivel nacional e internacional, especialmente en Latinoamérica, la oferta de másteres universitarios oficiales de la UAM, de modo que llegue al mayor número de potenciales estudiantes y sus prescriptores.</x:t>
  </x:si>
  <x:si>
    <x:t>A-15/26</x:t>
  </x:si>
  <x:si>
    <x:t/>
  </x:si>
  <x:si>
    <x:t>2025159126</x:t>
  </x:si>
  <x:si>
    <x:t>UNIVERSITAT ROVIRA I VIRGILI</x:t>
  </x:si>
  <x:si>
    <x:t>Servicio de diseño, producción, transporte de materiales, mantenimiento, montaje y desmontaje del stand de la Universidad Rovira i Virgili en el Salón de la Enseñanza de Barcelona SE 11/26</x:t>
  </x:si>
  <x:si>
    <x:t>11/26</x:t>
  </x:si>
  <x:si>
    <x:t/>
  </x:si>
  <x:si>
    <x:t>2025159139</x:t>
  </x:si>
  <x:si>
    <x:t>FUNDACIÓ PER A LA UNIVERSITAT OBERTA DE CATALUNYA</x:t>
  </x:si>
  <x:si>
    <x:t>Servicio especializado en la producción de materiales formativos online a medida, capaz de llevar a cabo de forma autónoma, integrada y paralela las diferentes fases del proceso: diseño instruccional, creación de contenidos, desarrollo multimedia y técnico, siguiendo el modelo pedagógico de la UOC y garantizando la calidad y la eficiencia en la ejecución[Lote 1 Virtualización integral de un proyecto formativo para el entorno digital - Lote 2 Generación de productos específicos: tipos infografía interactiva, videotutoriales vídeos dinámicos.]</x:t>
  </x:si>
  <x:si>
    <x:t>OSE00023/2025</x:t>
  </x:si>
  <x:si>
    <x:t/>
  </x:si>
  <x:si>
    <x:t>Catalunya</x:t>
  </x:si>
  <x:si>
    <x:t>28/11/2025</x:t>
  </x:si>
  <x:si>
    <x:t>2025159144</x:t>
  </x:si>
  <x:si>
    <x:t>MINISTERIO DE DEFENSA. JEFATURA DE ASUNTOS ECONÓMICOS DEL ESTADO MAYOR DEL EJÉRCITO</x:t>
  </x:si>
  <x:si>
    <x:t>Servicio de clipping de prensa escrita, digital, online, radio y televisión, a nivel nacional y provincial, para la confección diaria del resumen de prensa del Ejército de Tierra</x:t>
  </x:si>
  <x:si>
    <x:t>2025/ETSAE0902/00001544E</x:t>
  </x:si>
  <x:si>
    <x:t/>
  </x:si>
  <x:si>
    <x:t>Catalunya - Plataforma de Contratación</x:t>
  </x:si>
  <x:si>
    <x:t>17/11/2025</x:t>
  </x:si>
  <x:si>
    <x:t>2025159309</x:t>
  </x:si>
  <x:si>
    <x:t>AYUNTAMIENTO DE TARRAGONA. DEPARTAMENTO DE CULTURA</x:t>
  </x:si>
  <x:si>
    <x:t>Servicio de impresión, encuadernación y entrega de diferentes ediciones del Plan estratégico Tarragona Cultura 2033</x:t>
  </x:si>
  <x:si>
    <x:t>2025/3910-G626_1</x:t>
  </x:si>
  <x:si>
    <x:t>IVA excuido</x:t>
  </x:si>
  <x:si>
    <x:t/>
  </x:si>
  <x:si>
    <x:t/>
  </x:si>
  <x:si>
    <x:t>Tarragona</x:t>
  </x:si>
  <x:si>
    <x:t>13/11/2025</x:t>
  </x:si>
  <x:si>
    <x:t>2025159312</x:t>
  </x:si>
  <x:si>
    <x:t>GENERALITAT DE CATALUNYA. DEPARTAMENTO DE EDUCACIÓN Y FORMACIÓN PROFESIONAL SERVICIOS CENTRALES</x:t>
  </x:si>
  <x:si>
    <x:t>Servicio de organización del encuentro preparatorio de la selección catalana para la participación en el Spainskills 2026</x:t>
  </x:si>
  <x:si>
    <x:t>ED-2026-17</x:t>
  </x:si>
  <x:si>
    <x:t/>
  </x:si>
  <x:si>
    <x:t/>
  </x:si>
  <x:si>
    <x:t>2025159315</x:t>
  </x:si>
  <x:si>
    <x:t>AYUNTAMIENTO DE BREDA (GIRONA)</x:t>
  </x:si>
  <x:si>
    <x:t>Iniciar el expediente de contratación de Servicios de información y comunicación local, mediante procedimiento abierto simplificado.</x:t>
  </x:si>
  <x:si>
    <x:t>Alerta futura</x:t>
  </x:si>
  <x:si>
    <x:t>Ver texto íntegro del anuncio</x:t>
  </x:si>
  <x:si>
    <x:t>------</x:t>
  </x:si>
  <x:si>
    <x:t/>
  </x:si>
  <x:si>
    <x:t>Girona</x:t>
  </x:si>
  <x:si>
    <x:t>2025159317</x:t>
  </x:si>
  <x:si>
    <x:t>GRANOLLERS ESCENA, S.L</x:t>
  </x:si>
  <x:si>
    <x:t>Plan anual de contratación para 2026 de Granollers Escena SLU</x:t>
  </x:si>
  <x:si>
    <x:t>---------</x:t>
  </x:si>
  <x:si>
    <x:t/>
  </x:si>
  <x:si>
    <x:t/>
  </x:si>
  <x:si>
    <x:t>12/11/2025</x:t>
  </x:si>
  <x:si>
    <x:t>2025159365</x:t>
  </x:si>
  <x:si>
    <x:t>JUNTA DE GOBIERNO DEL AYUNTAMIENTO DE ALCORCÓN (MADRID)</x:t>
  </x:si>
  <x:si>
    <x:t>La casita de la Navidad: "Navidad en familia"</x:t>
  </x:si>
  <x:si>
    <x:t>2025/02.07.01.01/307</x:t>
  </x:si>
  <x:si>
    <x:t/>
  </x:si>
  <x:si>
    <x:t>2025159466</x:t>
  </x:si>
  <x:si>
    <x:t>JUNTA DE GOBIERNO DEL AYUNTAMIENTO DE MIERES (ASTURIAS)</x:t>
  </x:si>
  <x:si>
    <x:t>Suministro de carpas plegables para eventos y actividades organizadas por las distintas áreas del Ayuntamiento de Mieres.</x:t>
  </x:si>
  <x:si>
    <x:t>2025/13062</x:t>
  </x:si>
  <x:si>
    <x:t/>
  </x:si>
  <x:si>
    <x:t>Asturias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</x:si>
</x:sst>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256198.34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HYPERLINK("https://contrataciondelestado.es/wps/poc?uri=deeplink:detalle_licitacion&amp;idEvl=jk%2B%2Fx4t20peopEMYCmrbmw%3D%3D","contrataciondelestado.es/wps/poc?uri=deeplink:detalle_licitacion&amp;idEvl=jk%2B%2Fx4t20peopEMYCmrbmw%3D%3D")</x:f>
        <x:v>contrataciondelestado.es/wps/poc?uri=deeplink:detalle_licitacion&amp;idEvl=jk%2B%2Fx4t20peopEMYCmrbmw%3D%3D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HYPERLINK("https://www.infonalia.es/licitaciones1125/2025158700.pdf","www.infonalia.es/licitaciones1125/2025158700.pdf")</x:f>
        <x:v>www.infonalia.es/licitaciones1125/2025158700.pdf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446886.45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HYPERLINK("https://contrataciondelestado.es/wps/poc?uri=deeplink:detalle_licitacion&amp;idEvl=EUEW6XcF2o4adbH3CysQuQ%3D%3D","contrataciondelestado.es/wps/poc?uri=deeplink:detalle_licitacion&amp;idEvl=EUEW6XcF2o4adbH3CysQuQ%3D%3D")</x:f>
        <x:v>contrataciondelestado.es/wps/poc?uri=deeplink:detalle_licitacion&amp;idEvl=EUEW6XcF2o4adbH3CysQuQ%3D%3D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HYPERLINK("https://www.infonalia.es/licitaciones1125/2025158708.pdf","www.infonalia.es/licitaciones1125/2025158708.pdf")</x:f>
        <x:v>www.infonalia.es/licitaciones1125/2025158708.pdf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560000.00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HYPERLINK("https://contrataciondelestado.es/wps/poc?uri=deeplink:detalle_licitacion&amp;idEvl=%2FHoVVQgUIIBPpzdqOdhuWg%3D%3D","contrataciondelestado.es/wps/poc?uri=deeplink:detalle_licitacion&amp;idEvl=%2FHoVVQgUIIBPpzdqOdhuWg%3D%3D")</x:f>
        <x:v>contrataciondelestado.es/wps/poc?uri=deeplink:detalle_licitacion&amp;idEvl=%2FHoVVQgUIIBPpzdqOdhuWg%3D%3D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HYPERLINK("https://www.infonalia.es/licitaciones1125/2025158728.pdf","www.infonalia.es/licitaciones1125/2025158728.pdf")</x:f>
        <x:v>www.infonalia.es/licitaciones1125/2025158728.pdf</x:v>
      </x:c>
    </x:row>
    <x:row r="5">
      <x:c r="A5" s="6" t="s">
        <x:v>17</x:v>
      </x:c>
      <x:c r="B5" s="6" t="s">
        <x:v>18</x:v>
      </x:c>
      <x:c r="C5" s="7" t="s">
        <x:v>37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244026.00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HYPERLINK("https://contractaciopublica.cat/ca/detall-publicacio/7be47f76-4beb-4557-80b8-2c62c25e6ecc/300611080","contractaciopublica.cat/ca/detall-publicacio/7be47f76-4beb-4557-80b8-2c62c25e6ecc/300611080")</x:f>
        <x:v>contractaciopublica.cat/ca/detall-publicacio/7be47f76-4beb-4557-80b8-2c62c25e6ecc/300611080</x:v>
      </x:c>
      <x:c r="M5" s="11" t="s">
        <x:v>27</x:v>
      </x:c>
      <x:c r="N5" s="13" t="s">
        <x:v>48</x:v>
      </x:c>
      <x:c r="O5" s="11" t="s">
        <x:v>49</x:v>
      </x:c>
      <x:c r="P5" s="11" t="s">
        <x:v>50</x:v>
      </x:c>
      <x:c r="Q5" s="14" t="str">
        <x:f xml:space="preserve">HYPERLINK("https://www.infonalia.es/licitaciones1125/2025158944.pdf","www.infonalia.es/licitaciones1125/2025158944.pdf")</x:f>
        <x:v>www.infonalia.es/licitaciones1125/2025158944.pdf</x:v>
      </x:c>
    </x:row>
    <x:row r="6">
      <x:c r="A6" s="6" t="s">
        <x:v>17</x:v>
      </x:c>
      <x:c r="B6" s="6" t="s">
        <x:v>18</x:v>
      </x:c>
      <x:c r="C6" s="7" t="s">
        <x:v>31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49586.78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HYPERLINK("https://contrataciondelestado.es/wps/poc?uri=deeplink:detalle_licitacion&amp;idEvl=SOkz7cvWvHRxseVhcqrkhw%3D%3D","contrataciondelestado.es/wps/poc?uri=deeplink:detalle_licitacion&amp;idEvl=SOkz7cvWvHRxseVhcqrkhw%3D%3D")</x:f>
        <x:v>contrataciondelestado.es/wps/poc?uri=deeplink:detalle_licitacion&amp;idEvl=SOkz7cvWvHRxseVhcqrkhw%3D%3D</x:v>
      </x:c>
      <x:c r="M6" s="11" t="s">
        <x:v>27</x:v>
      </x:c>
      <x:c r="N6" s="13" t="s">
        <x:v>48</x:v>
      </x:c>
      <x:c r="O6" s="11" t="s">
        <x:v>55</x:v>
      </x:c>
      <x:c r="P6" s="11" t="s">
        <x:v>30</x:v>
      </x:c>
      <x:c r="Q6" s="14" t="str">
        <x:f xml:space="preserve">HYPERLINK("https://www.infonalia.es/licitaciones1125/2025159078.pdf","www.infonalia.es/licitaciones1125/2025159078.pdf")</x:f>
        <x:v>www.infonalia.es/licitaciones1125/2025159078.pdf</x:v>
      </x:c>
    </x:row>
    <x:row r="7">
      <x:c r="A7" s="6" t="s">
        <x:v>17</x:v>
      </x:c>
      <x:c r="B7" s="6" t="s">
        <x:v>18</x:v>
      </x:c>
      <x:c r="C7" s="7" t="s">
        <x:v>31</x:v>
      </x:c>
      <x:c r="D7" s="8" t="s">
        <x:v>56</x:v>
      </x:c>
      <x:c r="E7" s="9" t="s">
        <x:v>21</x:v>
      </x:c>
      <x:c r="F7" s="6" t="s">
        <x:v>57</x:v>
      </x:c>
      <x:c r="G7" s="6" t="s">
        <x:v>58</x:v>
      </x:c>
      <x:c r="H7" s="6" t="s">
        <x:v>59</x:v>
      </x:c>
      <x:c r="I7" s="10" t="n">
        <x:v>36611.57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HYPERLINK("https://contractaciopublica.cat/ca/detall-publicacio/295233ff-9d17-4d80-86e2-a3e625a2f87e/300611279","contractaciopublica.cat/ca/detall-publicacio/295233ff-9d17-4d80-86e2-a3e625a2f87e/300611279")</x:f>
        <x:v>contractaciopublica.cat/ca/detall-publicacio/295233ff-9d17-4d80-86e2-a3e625a2f87e/300611279</x:v>
      </x:c>
      <x:c r="M7" s="11" t="s">
        <x:v>27</x:v>
      </x:c>
      <x:c r="N7" s="13" t="s">
        <x:v>48</x:v>
      </x:c>
      <x:c r="O7" s="11" t="s">
        <x:v>60</x:v>
      </x:c>
      <x:c r="P7" s="11" t="s">
        <x:v>50</x:v>
      </x:c>
      <x:c r="Q7" s="14" t="str">
        <x:f xml:space="preserve">HYPERLINK("https://www.infonalia.es/licitaciones1125/2025159126.pdf","www.infonalia.es/licitaciones1125/2025159126.pdf")</x:f>
        <x:v>www.infonalia.es/licitaciones1125/2025159126.pdf</x:v>
      </x:c>
    </x:row>
    <x:row r="8">
      <x:c r="A8" s="6" t="s">
        <x:v>17</x:v>
      </x:c>
      <x:c r="B8" s="6" t="s">
        <x:v>18</x:v>
      </x:c>
      <x:c r="C8" s="7" t="s">
        <x:v>31</x:v>
      </x:c>
      <x:c r="D8" s="8" t="s">
        <x:v>61</x:v>
      </x:c>
      <x:c r="E8" s="9" t="s">
        <x:v>21</x:v>
      </x:c>
      <x:c r="F8" s="6" t="s">
        <x:v>62</x:v>
      </x:c>
      <x:c r="G8" s="6" t="s">
        <x:v>63</x:v>
      </x:c>
      <x:c r="H8" s="6" t="s">
        <x:v>64</x:v>
      </x:c>
      <x:c r="I8" s="10" t="n">
        <x:v>49999.00</x:v>
      </x:c>
      <x:c r="J8" s="11" t="s">
        <x:v>25</x:v>
      </x:c>
      <x:c r="K8" s="11" t="s">
        <x:v>26</x:v>
      </x:c>
      <x:c r="L8" s="12" t="str">
        <x:f xml:space="preserve">HYPERLINK("https://contractaciopublica.cat/ca/detall-publicacio/277c26a8-3ddf-4d0e-9399-7bf55a808e3c/300524008","contractaciopublica.cat/ca/detall-publicacio/277c26a8-3ddf-4d0e-9399-7bf55a808e3c/300524008")</x:f>
        <x:v>contractaciopublica.cat/ca/detall-publicacio/277c26a8-3ddf-4d0e-9399-7bf55a808e3c/300524008</x:v>
      </x:c>
      <x:c r="M8" s="11" t="s">
        <x:v>27</x:v>
      </x:c>
      <x:c r="N8" s="13" t="s">
        <x:v>48</x:v>
      </x:c>
      <x:c r="O8" s="11" t="s">
        <x:v>65</x:v>
      </x:c>
      <x:c r="P8" s="11" t="s">
        <x:v>66</x:v>
      </x:c>
      <x:c r="Q8" s="14" t="str">
        <x:f xml:space="preserve">HYPERLINK("https://www.infonalia.es/licitaciones1125/2025159139.pdf","www.infonalia.es/licitaciones1125/2025159139.pdf")</x:f>
        <x:v>www.infonalia.es/licitaciones1125/2025159139.pdf</x:v>
      </x:c>
    </x:row>
    <x:row r="9">
      <x:c r="A9" s="6" t="s">
        <x:v>17</x:v>
      </x:c>
      <x:c r="B9" s="6" t="s">
        <x:v>18</x:v>
      </x:c>
      <x:c r="C9" s="7" t="s">
        <x:v>67</x:v>
      </x:c>
      <x:c r="D9" s="8" t="s">
        <x:v>68</x:v>
      </x:c>
      <x:c r="E9" s="9" t="s">
        <x:v>21</x:v>
      </x:c>
      <x:c r="F9" s="6" t="s">
        <x:v>69</x:v>
      </x:c>
      <x:c r="G9" s="6" t="s">
        <x:v>70</x:v>
      </x:c>
      <x:c r="H9" s="6" t="s">
        <x:v>71</x:v>
      </x:c>
      <x:c r="I9" s="10" t="n">
        <x:v>23140.50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HYPERLINK("https://contrataciondelestado.es/wps/poc?uri=deeplink:detalle_licitacion&amp;idEvl=Oy%2B%2FWSyY74aGCFcHcNGIlQ%3D%3D","contrataciondelestado.es/wps/poc?uri=deeplink:detalle_licitacion&amp;idEvl=Oy%2B%2FWSyY74aGCFcHcNGIlQ%3D%3D")</x:f>
        <x:v>contrataciondelestado.es/wps/poc?uri=deeplink:detalle_licitacion&amp;idEvl=Oy%2B%2FWSyY74aGCFcHcNGIlQ%3D%3D</x:v>
      </x:c>
      <x:c r="M9" s="11" t="s">
        <x:v>27</x:v>
      </x:c>
      <x:c r="N9" s="13" t="s">
        <x:v>48</x:v>
      </x:c>
      <x:c r="O9" s="11" t="s">
        <x:v>72</x:v>
      </x:c>
      <x:c r="P9" s="11" t="s">
        <x:v>30</x:v>
      </x:c>
      <x:c r="Q9" s="14" t="str">
        <x:f xml:space="preserve">HYPERLINK("https://www.infonalia.es/licitaciones1125/2025159144.pdf","www.infonalia.es/licitaciones1125/2025159144.pdf")</x:f>
        <x:v>www.infonalia.es/licitaciones1125/2025159144.pdf</x:v>
      </x:c>
    </x:row>
    <x:row r="10">
      <x:c r="A10" s="6" t="s">
        <x:v>17</x:v>
      </x:c>
      <x:c r="B10" s="6" t="s">
        <x:v>73</x:v>
      </x:c>
      <x:c r="C10" s="7" t="s">
        <x:v>74</x:v>
      </x:c>
      <x:c r="D10" s="8" t="s">
        <x:v>75</x:v>
      </x:c>
      <x:c r="E10" s="9" t="s">
        <x:v>21</x:v>
      </x:c>
      <x:c r="F10" s="6" t="s">
        <x:v>76</x:v>
      </x:c>
      <x:c r="G10" s="6" t="s">
        <x:v>77</x:v>
      </x:c>
      <x:c r="H10" s="6" t="s">
        <x:v>78</x:v>
      </x:c>
      <x:c r="I10" s="10" t="n">
        <x:v>11983.47</x:v>
      </x:c>
      <x:c r="J10" s="11" t="s">
        <x:v>79</x:v>
      </x:c>
      <x:c r="K10" s="11" t="s">
        <x:v>80</x:v>
      </x:c>
      <x:c r="L10" s="12" t="str">
        <x:f xml:space="preserve">HYPERLINK("https://contractaciopublica.cat/es/detall-publicacio/300611255","contractaciopublica.cat/es/detall-publicacio/300611255")</x:f>
        <x:v>contractaciopublica.cat/es/detall-publicacio/300611255</x:v>
      </x:c>
      <x:c r="M10" s="11" t="s">
        <x:v>27</x:v>
      </x:c>
      <x:c r="N10" s="13" t="s">
        <x:v>48</x:v>
      </x:c>
      <x:c r="O10" s="11" t="s">
        <x:v>81</x:v>
      </x:c>
      <x:c r="P10" s="11" t="s">
        <x:v>82</x:v>
      </x:c>
      <x:c r="Q10" s="14" t="str">
        <x:f xml:space="preserve">HYPERLINK("https://www.infonalia.es/licitaciones1125/2025159309.pdf","www.infonalia.es/licitaciones1125/2025159309.pdf")</x:f>
        <x:v>www.infonalia.es/licitaciones1125/2025159309.pdf</x:v>
      </x:c>
    </x:row>
    <x:row r="11">
      <x:c r="A11" s="6" t="s">
        <x:v>17</x:v>
      </x:c>
      <x:c r="B11" s="6" t="s">
        <x:v>73</x:v>
      </x:c>
      <x:c r="C11" s="7" t="s">
        <x:v>83</x:v>
      </x:c>
      <x:c r="D11" s="8" t="s">
        <x:v>84</x:v>
      </x:c>
      <x:c r="E11" s="9" t="s">
        <x:v>21</x:v>
      </x:c>
      <x:c r="F11" s="6" t="s">
        <x:v>85</x:v>
      </x:c>
      <x:c r="G11" s="6" t="s">
        <x:v>86</x:v>
      </x:c>
      <x:c r="H11" s="6" t="s">
        <x:v>87</x:v>
      </x:c>
      <x:c r="I11" s="10" t="n">
        <x:v>14500.00</x:v>
      </x:c>
      <x:c r="J11" s="11" t="s">
        <x:v>79</x:v>
      </x:c>
      <x:c r="K11" s="11" t="s">
        <x:v>88</x:v>
      </x:c>
      <x:c r="L11" s="12" t="str">
        <x:f xml:space="preserve">HYPERLINK("https://contractaciopublica.cat/es/detall-publicacio/300609395","contractaciopublica.cat/es/detall-publicacio/300609395")</x:f>
        <x:v>contractaciopublica.cat/es/detall-publicacio/300609395</x:v>
      </x:c>
      <x:c r="M11" s="11" t="s">
        <x:v>27</x:v>
      </x:c>
      <x:c r="N11" s="13" t="s">
        <x:v>48</x:v>
      </x:c>
      <x:c r="O11" s="11" t="s">
        <x:v>89</x:v>
      </x:c>
      <x:c r="P11" s="11" t="s">
        <x:v>66</x:v>
      </x:c>
      <x:c r="Q11" s="14" t="str">
        <x:f xml:space="preserve">HYPERLINK("https://www.infonalia.es/licitaciones1125/2025159312.pdf","www.infonalia.es/licitaciones1125/2025159312.pdf")</x:f>
        <x:v>www.infonalia.es/licitaciones1125/2025159312.pdf</x:v>
      </x:c>
    </x:row>
    <x:row r="12">
      <x:c r="A12" s="6" t="s">
        <x:v>17</x:v>
      </x:c>
      <x:c r="B12" s="6" t="s">
        <x:v>73</x:v>
      </x:c>
      <x:c r="C12" s="7" t="s">
        <x:v>26</x:v>
      </x:c>
      <x:c r="D12" s="8" t="s">
        <x:v>90</x:v>
      </x:c>
      <x:c r="E12" s="9" t="s">
        <x:v>21</x:v>
      </x:c>
      <x:c r="F12" s="6" t="s">
        <x:v>91</x:v>
      </x:c>
      <x:c r="G12" s="6" t="s">
        <x:v>92</x:v>
      </x:c>
      <x:c r="H12" s="6" t="s">
        <x:v>93</x:v>
      </x:c>
      <x:c r="I12" s="10"/>
      <x:c r="J12" s="11" t="s">
        <x:v>94</x:v>
      </x:c>
      <x:c r="K12" s="11" t="s">
        <x:v>95</x:v>
      </x:c>
      <x:c r="L12" s="12" t="str">
        <x:f xml:space="preserve">HYPERLINK("https://contractaciopublica.cat/es/detall-publicacio/300611926","contractaciopublica.cat/es/detall-publicacio/300611926")</x:f>
        <x:v>contractaciopublica.cat/es/detall-publicacio/300611926</x:v>
      </x:c>
      <x:c r="M12" s="11" t="s">
        <x:v>27</x:v>
      </x:c>
      <x:c r="N12" s="13" t="s">
        <x:v>48</x:v>
      </x:c>
      <x:c r="O12" s="11" t="s">
        <x:v>96</x:v>
      </x:c>
      <x:c r="P12" s="11" t="s">
        <x:v>97</x:v>
      </x:c>
      <x:c r="Q12" s="14" t="str">
        <x:f xml:space="preserve">HYPERLINK("https://www.infonalia.es/licitaciones1125/2025159315.pdf","www.infonalia.es/licitaciones1125/2025159315.pdf")</x:f>
        <x:v>www.infonalia.es/licitaciones1125/2025159315.pdf</x:v>
      </x:c>
    </x:row>
    <x:row r="13">
      <x:c r="A13" s="6" t="s">
        <x:v>17</x:v>
      </x:c>
      <x:c r="B13" s="6" t="s">
        <x:v>73</x:v>
      </x:c>
      <x:c r="C13" s="7" t="s">
        <x:v>26</x:v>
      </x:c>
      <x:c r="D13" s="8" t="s">
        <x:v>98</x:v>
      </x:c>
      <x:c r="E13" s="9" t="s">
        <x:v>21</x:v>
      </x:c>
      <x:c r="F13" s="6" t="s">
        <x:v>99</x:v>
      </x:c>
      <x:c r="G13" s="6" t="s">
        <x:v>100</x:v>
      </x:c>
      <x:c r="H13" s="6" t="s">
        <x:v>93</x:v>
      </x:c>
      <x:c r="I13" s="10"/>
      <x:c r="J13" s="11" t="s">
        <x:v>101</x:v>
      </x:c>
      <x:c r="K13" s="11" t="s">
        <x:v>102</x:v>
      </x:c>
      <x:c r="L13" s="12" t="str">
        <x:f xml:space="preserve">HYPERLINK("https://contractaciopublica.cat/es/detall-publicacio/300611360","contractaciopublica.cat/es/detall-publicacio/300611360")</x:f>
        <x:v>contractaciopublica.cat/es/detall-publicacio/300611360</x:v>
      </x:c>
      <x:c r="M13" s="11" t="s">
        <x:v>27</x:v>
      </x:c>
      <x:c r="N13" s="13" t="s">
        <x:v>48</x:v>
      </x:c>
      <x:c r="O13" s="11" t="s">
        <x:v>103</x:v>
      </x:c>
      <x:c r="P13" s="11" t="s">
        <x:v>50</x:v>
      </x:c>
      <x:c r="Q13" s="14" t="str">
        <x:f xml:space="preserve">HYPERLINK("https://www.infonalia.es/licitaciones1125/2025159317.pdf","www.infonalia.es/licitaciones1125/2025159317.pdf")</x:f>
        <x:v>www.infonalia.es/licitaciones1125/2025159317.pdf</x:v>
      </x:c>
    </x:row>
    <x:row r="14">
      <x:c r="A14" s="6" t="s">
        <x:v>17</x:v>
      </x:c>
      <x:c r="B14" s="6" t="s">
        <x:v>18</x:v>
      </x:c>
      <x:c r="C14" s="7" t="s">
        <x:v>104</x:v>
      </x:c>
      <x:c r="D14" s="8" t="s">
        <x:v>105</x:v>
      </x:c>
      <x:c r="E14" s="9" t="s">
        <x:v>21</x:v>
      </x:c>
      <x:c r="F14" s="6" t="s">
        <x:v>106</x:v>
      </x:c>
      <x:c r="G14" s="6" t="s">
        <x:v>107</x:v>
      </x:c>
      <x:c r="H14" s="6" t="s">
        <x:v>108</x:v>
      </x:c>
      <x:c r="I14" s="10" t="n">
        <x:v>6000.00</x:v>
      </x:c>
      <x:c r="J14" s="11" t="s">
        <x:v>25</x:v>
      </x:c>
      <x:c r="K14" s="11" t="s">
        <x:v>26</x:v>
      </x:c>
      <x:c r="L14" s="12" t="str">
        <x:f xml:space="preserve">HYPERLINK("https://contrataciondelestado.es/wps/poc?uri=deeplink:detalle_licitacion&amp;idEvl=7YKzFPgKflPmnwcj%2BxbdTg%3D%3D","contrataciondelestado.es/wps/poc?uri=deeplink:detalle_licitacion&amp;idEvl=7YKzFPgKflPmnwcj%2BxbdTg%3D%3D")</x:f>
        <x:v>contrataciondelestado.es/wps/poc?uri=deeplink:detalle_licitacion&amp;idEvl=7YKzFPgKflPmnwcj%2BxbdTg%3D%3D</x:v>
      </x:c>
      <x:c r="M14" s="11" t="s">
        <x:v>27</x:v>
      </x:c>
      <x:c r="N14" s="13" t="s">
        <x:v>48</x:v>
      </x:c>
      <x:c r="O14" s="11" t="s">
        <x:v>109</x:v>
      </x:c>
      <x:c r="P14" s="11" t="s">
        <x:v>30</x:v>
      </x:c>
      <x:c r="Q14" s="14" t="str">
        <x:f xml:space="preserve">HYPERLINK("https://www.infonalia.es/licitaciones1125/2025159365.pdf","www.infonalia.es/licitaciones1125/2025159365.pdf")</x:f>
        <x:v>www.infonalia.es/licitaciones1125/2025159365.pdf</x:v>
      </x:c>
    </x:row>
    <x:row r="15">
      <x:c r="A15" s="6" t="s">
        <x:v>17</x:v>
      </x:c>
      <x:c r="B15" s="6" t="s">
        <x:v>18</x:v>
      </x:c>
      <x:c r="C15" s="7" t="s">
        <x:v>31</x:v>
      </x:c>
      <x:c r="D15" s="8" t="s">
        <x:v>110</x:v>
      </x:c>
      <x:c r="E15" s="9" t="s">
        <x:v>21</x:v>
      </x:c>
      <x:c r="F15" s="6" t="s">
        <x:v>111</x:v>
      </x:c>
      <x:c r="G15" s="6" t="s">
        <x:v>112</x:v>
      </x:c>
      <x:c r="H15" s="6" t="s">
        <x:v>113</x:v>
      </x:c>
      <x:c r="I15" s="10" t="n">
        <x:v>32400.00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HYPERLINK("https://contrataciondelestado.es/wps/poc?uri=deeplink:detalle_licitacion&amp;idEvl=2J%2Bg%2F1VuWfIUqXM96WStVA%3D%3D","contrataciondelestado.es/wps/poc?uri=deeplink:detalle_licitacion&amp;idEvl=2J%2Bg%2F1VuWfIUqXM96WStVA%3D%3D")</x:f>
        <x:v>contrataciondelestado.es/wps/poc?uri=deeplink:detalle_licitacion&amp;idEvl=2J%2Bg%2F1VuWfIUqXM96WStVA%3D%3D</x:v>
      </x:c>
      <x:c r="M15" s="11" t="s">
        <x:v>27</x:v>
      </x:c>
      <x:c r="N15" s="13" t="s">
        <x:v>21</x:v>
      </x:c>
      <x:c r="O15" s="11" t="s">
        <x:v>114</x:v>
      </x:c>
      <x:c r="P15" s="11" t="s">
        <x:v>115</x:v>
      </x:c>
      <x:c r="Q15" s="14" t="str">
        <x:f xml:space="preserve">HYPERLINK("https://www.infonalia.es/licitaciones1125/2025159466.pdf","www.infonalia.es/licitaciones1125/2025159466.pdf")</x:f>
        <x:v>www.infonalia.es/licitaciones1125/2025159466.pdf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