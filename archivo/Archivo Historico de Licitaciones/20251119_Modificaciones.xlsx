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Modificaciones" sheetId="1" r:id="rId1"/>
  </x:sheets>
  <x:definedNames>
    <x:definedName name="_xlnm._FilterDatabase" localSheetId="0" hidden="1">Modificaciones!$A$1:$F$1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<x:sst xmlns:x="http://schemas.openxmlformats.org/spreadsheetml/2006/main" count="6" uniqueCount="6">
  <x:si>
    <x:t>Referencia</x:t>
  </x:si>
  <x:si>
    <x:t>Tipo</x:t>
  </x:si>
  <x:si>
    <x:t>OrganismoConvocante</x:t>
  </x:si>
  <x:si>
    <x:t>Objeto</x:t>
  </x:si>
  <x:si>
    <x:t>Modificación</x:t>
  </x:si>
  <x:si>
    <x:t>Anuncio</x:t>
  </x:si>
  <x:si>
    <x:t>2025155305</x:t>
  </x:si>
  <x:si>
    <x:t>Aclaración / Ampliación de pliegos</x:t>
  </x:si>
  <x:si>
    <x:t>AYUNTAMIENTO DE LLEIDA</x:t>
  </x:si>
  <x:si>
    <x:t>Contratación de un servicio de fotografía y vídeo profesional por el Ayuntamiento de Lleida y establecimiento de un mecanismo de trabajo profesional audiovisual en relación con los actos oficiales y actividades municipales que dependen de la Sección de Comunicación. Organizar un sistema de trabajo para la realización, retoque y archivo de las fotografías y vídeos solicitadas por la Sección de Comunicación.</x:t>
  </x:si>
  <x:si>
    <x:t>2025155412</x:t>
  </x:si>
  <x:si>
    <x:t>Corrección de errores</x:t>
  </x:si>
  <x:si>
    <x:t>MINISTERIO DE VIVIENDA Y AGENDA URBANA. SECRETARÍA GENERAL DE AGENDA URBANA, VIVIENDA Y ARQUITECTURA</x:t>
  </x:si>
  <x:si>
    <x:t>Servicio de organización y ejecución de dos actos de inauguración de exposiciones y un acto de entrega de premios vinculados a la programación de la Casa de la Arquitectura</x:t>
  </x:si>
  <x:si>
    <x:t>2025163499</x:t>
  </x:si>
  <x:si>
    <x:t>ALCALDÍA DEL AYUNTAMIENTO DE LANGREO (ASTURIAS)</x:t>
  </x:si>
  <x:si>
    <x:t>Servicio de consultoría y asistencia técnica para la elaboración del Plan Estratégico de Turismo Langreo 2030.</x:t>
  </x:si>
  <x:si>
    <x:t>2025164305</x:t>
  </x:si>
  <x:si>
    <x:t>DIPUTACIÓN DE BARCELONA</x:t>
  </x:si>
  <x:si>
    <x:t>Organización y dinamización de espacios de participación (Living Labs) en distintos parques de la Red de Parques Naturales. Proyecto LIFE21-ipc-es-life-ecoadapt50 (ll4cc, wp3). El trabajo a contratar forma parte del apoyo externo necesario para la gestión del proyecto LIFE-eCOadapt50/101069781 (Exp 2021/0019157.), subvención concedida por la Unión Europea en el marco de la convocatoria “LIFE-2021-STRAT-CLIMA-SIP-twostage”.</x:t>
  </x:si>
</x:sst>
</file>

<file path=xl/styles.xml><?xml version="1.0" encoding="utf-8"?>
<styleSheet xmlns="http://schemas.openxmlformats.org/spreadsheetml/2006/main"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1" applyFont="1" applyBorder="1" applyAlignment="1" applyProtection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F2"/>
  <x:sheetViews>
    <x:sheetView showGridLines="0" tabSelected="1" zoomScaleNormal="100" workbookViewId="0">
      <x:selection sqref="A1:XFD1"/>
    </x:sheetView>
  </x:sheetViews>
  <x:sheetFormatPr baseColWidth="10" defaultColWidth="11.5703125" defaultRowHeight="12.75"/>
  <x:cols>
    <x:col min="1" max="1" width="11" style="1" customWidth="1"/>
    <x:col min="2" max="2" width="26.140625" style="1" customWidth="1"/>
    <x:col min="3" max="3" width="25" style="1" customWidth="1"/>
    <x:col min="4" max="4" width="48.85546875" style="1" customWidth="1"/>
    <x:col min="5" max="5" width="41.42578125" style="1" customWidth="1"/>
    <x:col min="6" max="6" width="38.7109375" style="1" customWidth="1"/>
    <x:col min="7" max="16384" width="11.5703125" style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3" t="s">
        <x:v>6</x:v>
      </x:c>
      <x:c r="B2" s="4" t="s">
        <x:v>7</x:v>
      </x:c>
      <x:c r="C2" s="4" t="s">
        <x:v>8</x:v>
      </x:c>
      <x:c r="D2" s="4" t="s">
        <x:v>9</x:v>
      </x:c>
      <x:c r="E2" s="5" t="str">
        <x:f xml:space="preserve">HYPERLINK("https://www.infonalia.es/modificaciones1125/2025155305.pdf","www.infonalia.es/modificaciones1125/2025155305.pdf")</x:f>
        <x:v>www.infonalia.es/modificaciones1125/2025155305.pdf</x:v>
      </x:c>
      <x:c r="F2" s="5" t="str">
        <x:f xml:space="preserve">HYPERLINK("https://www.infonalia.es/licitaciones1125/2025155305.pdf","www.infonalia.es/licitaciones1125/2025155305.pdf")</x:f>
        <x:v>www.infonalia.es/licitaciones1125/2025155305.pdf</x:v>
      </x:c>
    </x:row>
    <x:row r="3">
      <x:c r="A3" s="3" t="s">
        <x:v>10</x:v>
      </x:c>
      <x:c r="B3" s="4" t="s">
        <x:v>11</x:v>
      </x:c>
      <x:c r="C3" s="4" t="s">
        <x:v>12</x:v>
      </x:c>
      <x:c r="D3" s="4" t="s">
        <x:v>13</x:v>
      </x:c>
      <x:c r="E3" s="5" t="str">
        <x:f xml:space="preserve">HYPERLINK("https://www.infonalia.es/modificaciones1125/2025155412.pdf","www.infonalia.es/modificaciones1125/2025155412.pdf")</x:f>
        <x:v>www.infonalia.es/modificaciones1125/2025155412.pdf</x:v>
      </x:c>
      <x:c r="F3" s="5" t="str">
        <x:f xml:space="preserve">HYPERLINK("https://www.infonalia.es/licitaciones1125/2025155412.pdf","www.infonalia.es/licitaciones1125/2025155412.pdf")</x:f>
        <x:v>www.infonalia.es/licitaciones1125/2025155412.pdf</x:v>
      </x:c>
    </x:row>
    <x:row r="4">
      <x:c r="A4" s="3" t="s">
        <x:v>14</x:v>
      </x:c>
      <x:c r="B4" s="4" t="s">
        <x:v>11</x:v>
      </x:c>
      <x:c r="C4" s="4" t="s">
        <x:v>15</x:v>
      </x:c>
      <x:c r="D4" s="4" t="s">
        <x:v>16</x:v>
      </x:c>
      <x:c r="E4" s="5" t="str">
        <x:f xml:space="preserve">HYPERLINK("https://www.infonalia.es/modificaciones1125/2025163499.pdf","www.infonalia.es/modificaciones1125/2025163499.pdf")</x:f>
        <x:v>www.infonalia.es/modificaciones1125/2025163499.pdf</x:v>
      </x:c>
      <x:c r="F4" s="5" t="str">
        <x:f xml:space="preserve">HYPERLINK("https://www.infonalia.es/licitaciones1125/2025163499.pdf","www.infonalia.es/licitaciones1125/2025163499.pdf")</x:f>
        <x:v>www.infonalia.es/licitaciones1125/2025163499.pdf</x:v>
      </x:c>
    </x:row>
    <x:row r="5">
      <x:c r="A5" s="3" t="s">
        <x:v>17</x:v>
      </x:c>
      <x:c r="B5" s="4" t="s">
        <x:v>7</x:v>
      </x:c>
      <x:c r="C5" s="4" t="s">
        <x:v>18</x:v>
      </x:c>
      <x:c r="D5" s="4" t="s">
        <x:v>19</x:v>
      </x:c>
      <x:c r="E5" s="5" t="str">
        <x:f xml:space="preserve">HYPERLINK("https://www.infonalia.es/modificaciones1125/2025164305.pdf","www.infonalia.es/modificaciones1125/2025164305.pdf")</x:f>
        <x:v>www.infonalia.es/modificaciones1125/2025164305.pdf</x:v>
      </x:c>
      <x:c r="F5" s="5" t="str">
        <x:f xml:space="preserve">HYPERLINK("https://www.infonalia.es/licitaciones1125/2025164305.pdf","www.infonalia.es/licitaciones1125/2025164305.pdf")</x:f>
        <x:v>www.infonalia.es/licitaciones1125/2025164305.pdf</x:v>
      </x:c>
    </x:row>
  </x:sheetData>
  <x:autoFilter ref="A1:F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Modificaciones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1</cp:revision>
  <dcterms:created xsi:type="dcterms:W3CDTF">2024-12-04T08:51:00Z</dcterms:created>
  <dcterms:modified xsi:type="dcterms:W3CDTF">2025-01-20T07:55:35Z</dcterms:modified>
  <dc:language>es-ES</dc:language>
</cp:coreProperties>
</file>