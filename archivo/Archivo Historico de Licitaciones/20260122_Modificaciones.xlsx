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<x:sst xmlns:x="http://schemas.openxmlformats.org/spreadsheetml/2006/main" count="6" uniqueCount="6">
  <x:si>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</x:si>
  <x:si>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</x:si>
  <x:si>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</x:si>
  <x:si>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</x:si>
  <x:si>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</x:si>
  <x:si>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</x:si>
  <x:si>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2026003653</x:t>
  </x:si>
  <x:si>
    <x:t>Corrección de errores</x:t>
  </x:si>
  <x:si>
    <x:t>MADRID DESTINO CULTURA TURISMO Y NEGOCIO, S.A.</x:t>
  </x:si>
  <x:si>
    <x:t>Contratación del montaje y desmontaje de la exposición pelo de tormenta. Homenaje a Francisco Nieva</x:t>
  </x:si>
  <x:si>
    <x:t>2026003901</x:t>
  </x:si>
  <x:si>
    <x:t>JUNTA DE CONTRATACIÓN DEL MINISTERIO DE CULTURA Y DEPORTE</x:t>
  </x:si>
  <x:si>
    <x:t>Asistencia técnica para la planificación, el diseño y el seguimiento de las campañas de medios publicitarios del Ministerio de Cultura que requieran la contratación de servicios de compra de espacios en medios de comunicación y demás soportes publicitarios</x:t>
  </x:si>
  <x:si>
    <x:t>2026004430</x:t>
  </x:si>
  <x:si>
    <x:t>Aclaración / Ampliación de pliegos</x:t>
  </x:si>
  <x:si>
    <x:t>AYUNTAMIENTO DE CERVERA (LLEIDA)</x:t>
  </x:si>
  <x:si>
    <x:t>Contratación de publicidad y comunicación del Festival de Pascua de Cervera. Festival de música clásica catalana 2026-2027. Gestión de la publicidad, gestión web, gestión redes sociales, rueda de prensa y atención a los medios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</x:si>
</x:sst>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HYPERLINK("https://www.infonalia.es/modificaciones0126/2026003653.pdf","www.infonalia.es/modificaciones0126/2026003653.pdf")</x:f>
        <x:v>www.infonalia.es/modificaciones0126/2026003653.pdf</x:v>
      </x:c>
      <x:c r="F2" s="5" t="str">
        <x:f xml:space="preserve">HYPERLINK("https://www.infonalia.es/licitaciones0126/2026003653.pdf","www.infonalia.es/licitaciones0126/2026003653.pdf")</x:f>
        <x:v>www.infonalia.es/licitaciones0126/2026003653.pdf</x:v>
      </x:c>
    </x:row>
    <x:row r="3">
      <x:c r="A3" s="3" t="s">
        <x:v>10</x:v>
      </x:c>
      <x:c r="B3" s="4" t="s">
        <x:v>7</x:v>
      </x:c>
      <x:c r="C3" s="4" t="s">
        <x:v>11</x:v>
      </x:c>
      <x:c r="D3" s="4" t="s">
        <x:v>12</x:v>
      </x:c>
      <x:c r="E3" s="5" t="str">
        <x:f xml:space="preserve">HYPERLINK("https://www.infonalia.es/modificaciones0126/2026003901.pdf","www.infonalia.es/modificaciones0126/2026003901.pdf")</x:f>
        <x:v>www.infonalia.es/modificaciones0126/2026003901.pdf</x:v>
      </x:c>
      <x:c r="F3" s="5" t="str">
        <x:f xml:space="preserve">HYPERLINK("https://www.infonalia.es/licitaciones0126/2026003901.pdf","www.infonalia.es/licitaciones0126/2026003901.pdf")</x:f>
        <x:v>www.infonalia.es/licitaciones0126/2026003901.pdf</x:v>
      </x:c>
    </x:row>
    <x:row r="4">
      <x:c r="A4" s="3" t="s">
        <x:v>13</x:v>
      </x:c>
      <x:c r="B4" s="4" t="s">
        <x:v>14</x:v>
      </x:c>
      <x:c r="C4" s="4" t="s">
        <x:v>15</x:v>
      </x:c>
      <x:c r="D4" s="4" t="s">
        <x:v>16</x:v>
      </x:c>
      <x:c r="E4" s="5" t="str">
        <x:f xml:space="preserve">HYPERLINK("https://www.infonalia.es/modificaciones0126/2026004430.pdf","www.infonalia.es/modificaciones0126/2026004430.pdf")</x:f>
        <x:v>www.infonalia.es/modificaciones0126/2026004430.pdf</x:v>
      </x:c>
      <x:c r="F4" s="5" t="str">
        <x:f xml:space="preserve">HYPERLINK("https://www.infonalia.es/licitaciones0126/2026004430.pdf","www.infonalia.es/licitaciones0126/2026004430.pdf")</x:f>
        <x:v>www.infonalia.es/licitaciones0126/2026004430.pdf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