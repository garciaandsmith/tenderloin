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<x:sst xmlns:x="http://schemas.openxmlformats.org/spreadsheetml/2006/main" count="11" uniqueCount="11">
  <x:si>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</x:si>
  <x:si>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</x:si>
  <x:si>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</x:si>
  <x:si>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</x:si>
  <x:si>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</x:si>
  <x:si>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</x:si>
  <x:si>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</x:si>
  <x:si>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</x:si>
  <x:si>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</x:si>
  <x:si>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</x:si>
  <x:si>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</x:si>
  <x:si>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</x:si>
  <x:si>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TELEFÓNICA BROADCAST SERVICES, S.L.U</x:t>
  </x:si>
  <x:si>
    <x:t>28/11/2025 0:00:00</x:t>
  </x:si>
  <x:si>
    <x:t>25237195</x:t>
  </x:si>
  <x:si>
    <x:t>RADIO TELEVISIÓN MADRID, S.A.</x:t>
  </x:si>
  <x:si>
    <x:t>El objeto de la presente licitación consiste en la contratación del Servicio de retransmisión en directo en HD y llave en mano de la tradicional carrera de San Silvestre 2025, que cubre una distancia de 10 km, el día 31 de diciembre. La generación de una señal HD en directo y lista para emisión. Esta señal contendrá la carrera popular y la carrera internacional de San Silvestre 2025, con los comentarios y presentaciones necesarios. Los presentadores y comentaristas son por cuenta de RTVM.</x:t>
  </x:si>
  <x:si>
    <x:t>2025-0519-INF</x:t>
  </x:si>
  <x:si>
    <x:t>Madrid</x:t>
  </x:si>
  <x:si>
    <x:t>Ver detalle de la adjudicación</x:t>
  </x:si>
  <x:si>
    <x:t>RURALISMO ILUSTRADO SLL</x:t>
  </x:si>
  <x:si>
    <x:t>25237232</x:t>
  </x:si>
  <x:si>
    <x:t>PRESIDENCIA DE LA MANCOMUNIDAD DE SERVICIOS DEL VALLE DEL NALÓN</x:t>
  </x:si>
  <x:si>
    <x:t>Servicios de diseño, desarrollo y ejecución de un plan de promoción de productos locales y el turismo gastronómico en la comarca turística Valle del Nalón.</x:t>
  </x:si>
  <x:si>
    <x:t>SCI/2025/18</x:t>
  </x:si>
  <x:si>
    <x:t>Asturias</x:t>
  </x:si>
  <x:si>
    <x:t>CATVL 97, SLU</x:t>
  </x:si>
  <x:si>
    <x:t>25237259</x:t>
  </x:si>
  <x:si>
    <x:t>AYUNTAMIENTO DE OLOT (GIRONA)</x:t>
  </x:si>
  <x:si>
    <x:t>El objeto de este Pliego de Cláusulas Particulares (PCAP) es el establecimiento de las condiciones que regirán la adjudicación, por parte del Ayuntamiento de Olot, del contrato del servicio de gestión de redes sociales y creación de contenidos del área de cultura y educación, de acuerdo con las características y requisitos exigidos en el presente documento y en el Pliego de Prescripciones</x:t>
  </x:si>
  <x:si>
    <x:t>CCS12025000065</x:t>
  </x:si>
  <x:si>
    <x:t>Girona</x:t>
  </x:si>
  <x:si>
    <x:t>LA FACTORIA DELS ANUNCIS SLU</x:t>
  </x:si>
  <x:si>
    <x:t>25237263</x:t>
  </x:si>
  <x:si>
    <x:t>INSTITUTO DE CULTURA DE BARCELONA</x:t>
  </x:si>
  <x:si>
    <x:t>Diseño gráfico, retoque de imágenes, adaptación, maquetación, producción, distribución, instalación, mantenimiento, supervisión y retirada de los diferentes elementos de comunicación y publicidad y cobertura fotográfica, de locución y de refuerzo a la coordinación de la campaña del LLUM BCN 2026</x:t>
  </x:si>
  <x:si>
    <x:t>006_25001755</x:t>
  </x:si>
  <x:si>
    <x:t>Barcelona</x:t>
  </x:si>
  <x:si>
    <x:t>LOTE 2 INFOBIBLIOTECAS S.L.</x:t>
  </x:si>
  <x:si>
    <x:t>25237294</x:t>
  </x:si>
  <x:si>
    <x:t>AYUNTAMIENTO DE GRANOLLERS (BARCELONA)</x:t>
  </x:si>
  <x:si>
    <x:t>Suministro de fondos documentales para la red urbana de bibliotecas de Granollers. • LOTE 1: Fondo de libros • LOTE 2: Fondo audiovisual • LOTE 3: Juegos de mesa</x:t>
  </x:si>
  <x:si>
    <x:t>2025/037 (45/2025/CONT)</x:t>
  </x:si>
  <x:si>
    <x:t>LOTE 1  JOAN CARBONELL RODRIGUEZ; LOTE 2 CHALLENGE SPAIN EVENTS SL ; LOTE 3 GIMNASTIC DE TARRAGONA SAD ; LOTE 4  RPM RACING, SLU; LOTE 5  TELECYL, SA; LOTE 6 FEDERACIÓ CATALANA DE TENNIS TAULA ; LOTE 7 RUNNING SOLUTIONS, SL ; LOTE 8 CLUB TENNIS TAULA GANXETS DE REUS ; LOTE 10 CLUB TENNIS REUS MONTEROLS </x:t>
  </x:si>
  <x:si>
    <x:t>25237299</x:t>
  </x:si>
  <x:si>
    <x:t>PATRONAT DE TURISME DE LA DIPUTACIÓ DE TARRAGONA</x:t>
  </x:si>
  <x:si>
    <x:t>Patrocinio de eventos deportivos y equipos deportivos para visibilizar y difundir las marcas “Costa Daurada” y/o “Terres de l'Ebre” y de los valores asociados a las mismas. 15 Lotes</x:t>
  </x:si>
  <x:si>
    <x:t>8004330048-2025-0000139</x:t>
  </x:si>
  <x:si>
    <x:t>Tarragona</x:t>
  </x:si>
  <x:si>
    <x:t>LEADING SOLUTIONS SALES &amp; SERVICES SL</x:t>
  </x:si>
  <x:si>
    <x:t>25237357</x:t>
  </x:si>
  <x:si>
    <x:t>JUNTA DE GOBIERNO DEL AYUNTAMIENTO DE SIERO (ASTURIAS)</x:t>
  </x:si>
  <x:si>
    <x:t>Contrato del servicio complementario de atención al público en los equipamientos dependientes de la Fundación Municipal de Cultura de Siero</x:t>
  </x:si>
  <x:si>
    <x:t>107193004</x:t>
  </x:si>
  <x:si>
    <x:t>LA FACTORIA DELS ANUNCIS, SLU</x:t>
  </x:si>
  <x:si>
    <x:t>25237542</x:t>
  </x:si>
  <x:si>
    <x:t>Servicios para la ejecución de las tareas de diseño gráfico, retoque de imágenes, adaptación, maquetación, producción, instalación, mantenimiento, distribución, supervisión y retirada de los diferentes elementos de comunicación y publicidad, así como las tareas de refuerzo en la coordinación de la campaña del Grec Festival 2026</x:t>
  </x:si>
  <x:si>
    <x:t>006_25001595</x:t>
  </x:si>
  <x:si>
    <x:t>MOTIVE DISSENY I COMUNICACIÓ S.L</x:t>
  </x:si>
  <x:si>
    <x:t>25237563</x:t>
  </x:si>
  <x:si>
    <x:t>BADALONA CULTURA, SL</x:t>
  </x:si>
  <x:si>
    <x:t>Bases de la convocatoria del concurso para la conceptualización, diseño y desarrollo de la imagen gráfica oficial y del cartel del 26º Festival Internacional de Magia de Badalona – Memorial Li-Chang.</x:t>
  </x:si>
  <x:si>
    <x:t>BC2025_CON28</x:t>
  </x:si>
  <x:si>
    <x:t>FRANCESC &amp; TAHULL,SL</x:t>
  </x:si>
  <x:si>
    <x:t>25237575</x:t>
  </x:si>
  <x:si>
    <x:t>DIPUTACIÓN DE LLEIDA</x:t>
  </x:si>
  <x:si>
    <x:t>Producción y difusión de contenidos informativos relacionados con eventos, actos y comunicaciones de carácter cultural, deportivo y turístico que se desarrollen en todo el territorio leridano, organizados por la Diputación de Lleida, sus organismos autónomos, así como por los entes locales y entidades del territorio de las comarcas de Lleida, Alt Pirineu y Aran, a los que la Diputación presta apoyo comunicativo</x:t>
  </x:si>
  <x:si>
    <x:t>2025/100-4324</x:t>
  </x:si>
  <x:si>
    <x:t>Lleida</x:t>
  </x:si>
  <x:si>
    <x:t>CONMUNICA MEDIATRADER, S.L.U</x:t>
  </x:si>
  <x:si>
    <x:t>25237676</x:t>
  </x:si>
  <x:si>
    <x:t>MINISTERIO DE ECONOMÍA, COMERCIO Y EMPRESA. INSTITUTO NACIONAL DE ESTADÍSTICA INE</x:t>
  </x:si>
  <x:si>
    <x:t>Asistencia técnica para el impulso, gestión y seguimiento de la comunicación del Instituto Nacional de Estadística</x:t>
  </x:si>
  <x:si>
    <x:t>2025N0075007</x:t>
  </x:si>
  <x:si>
    <x:t>LOTE 1 NOE CONCEPTOS ESPECIALES SL; LOTE 4 GESTIÓN DE EVENTOS Y FERIAS INTERNACIONALES SL; LOTE 5 GESTIÓN DE EVENTOS Y FERIAS INTERNACIONALES SL; LOTE 6 GESTIÓN DE EVENTOS Y FERIAS INTERNACIONALES SL; LOTE 7 NOE CONCEPTOS ESPECIALES SL</x:t>
  </x:si>
  <x:si>
    <x:t>25237971</x:t>
  </x:si>
  <x:si>
    <x:t>PROMOTORA DE EXPORTACIONS CATALANES, SA (PRODECA)</x:t>
  </x:si>
  <x:si>
    <x:t>Servicio de diseño, montaje, desmontaje, mantenimiento y supervisión de los stands que conforman los pabellones de Cataluña en siete ferias. Lote 1: ISM 2026. Lote 2: Fruit Logistica 2026. Lote 3: Biofach 2026. Lote 4: Prowein 2026. Lote 5: WINE PARIS 2026. Lote 6: Gulfood 2026. Lote 7: Saudi Food Show 2026.</x:t>
  </x:si>
  <x:si>
    <x:t>PRODECA-2026-1</x:t>
  </x:si>
  <x:si>
    <x:t>Ver pliegos</x:t>
  </x:si>
  <x:si>
    <x:t>VARIOS ADJUDICATARIOS. VER TEXTO ÍNTEGRO DE LA ADJUDICACIÓN</x:t>
  </x:si>
  <x:si>
    <x:t>25237989</x:t>
  </x:si>
  <x:si>
    <x:t>JAVIER DEL REAL</x:t>
  </x:si>
  <x:si>
    <x:t>25238067</x:t>
  </x:si>
  <x:si>
    <x:t>DIRECCIÓN GENERAL DE LA FUNDACIÓN DEL TEATRO REAL</x:t>
  </x:si>
  <x:si>
    <x:t>Servicio de cobertura gráfica, edición de fotografías, y vídeos de producciones artísticas, y otras actividades relacionadas, para la Fundación del Teatro Real F.S.P.</x:t>
  </x:si>
  <x:si>
    <x:t>CL_042/2025</x:t>
  </x:si>
  <x:si>
    <x:t>FTR 2025 ABBSOLUTE COMUNICACIÓN S.L.- EVENTISIMO S.L.U. LEY 18/1982 DE 26 DE MAYO</x:t>
  </x:si>
  <x:si>
    <x:t>25238362</x:t>
  </x:si>
  <x:si>
    <x:t>GERENCIA DE PRODETUR S.A.U</x:t>
  </x:si>
  <x:si>
    <x:t>Contratación en régimen de alquiler de diferentes elementos distintivos y necesarios en el stand expositivo de Prodetur MP, S.A.U., con motivo de la participación en FITUR 2026. Consistirán en configurar el espacio abierto destino como una experiencia interactiva incorporando tecnología y materiales de calidad y personalizar el espacio privado con equipamiento y mobiliario funcional</x:t>
  </x:si>
  <x:si>
    <x:t>A41555749-2025/001414-PcN</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</x:si>
</x:sst>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HYPERLINK("https://www.infonalia.es/adjudicaciones1125/25237195.pdf","www.infonalia.es/adjudicaciones1125/25237195.pdf")</x:f>
        <x:v>www.infonalia.es/adjudicaciones1125/25237195.pdf</x:v>
      </x:c>
      <x:c r="E2" s="8" t="s">
        <x:v>14</x:v>
      </x:c>
      <x:c r="F2" s="6" t="s">
        <x:v>15</x:v>
      </x:c>
      <x:c r="G2" s="6" t="s">
        <x:v>16</x:v>
      </x:c>
      <x:c r="H2" s="6" t="s">
        <x:v>17</x:v>
      </x:c>
      <x:c r="I2" s="6" t="s">
        <x:v>18</x:v>
      </x:c>
      <x:c r="J2" s="9" t="s">
        <x:v>19</x:v>
      </x:c>
      <x:c r="K2" s="9" t="n">
        <x:v>60496.99</x:v>
      </x:c>
    </x:row>
    <x:row r="3">
      <x:c r="A3" s="6" t="s">
        <x:v>11</x:v>
      </x:c>
      <x:c r="B3" s="6" t="s">
        <x:v>20</x:v>
      </x:c>
      <x:c r="C3" s="6" t="s">
        <x:v>13</x:v>
      </x:c>
      <x:c r="D3" s="7" t="str">
        <x:f xml:space="preserve">HYPERLINK("https://www.infonalia.es/adjudicaciones1125/25237232.pdf","www.infonalia.es/adjudicaciones1125/25237232.pdf")</x:f>
        <x:v>www.infonalia.es/adjudicaciones1125/25237232.pdf</x:v>
      </x:c>
      <x:c r="E3" s="8" t="s">
        <x:v>21</x:v>
      </x:c>
      <x:c r="F3" s="6" t="s">
        <x:v>22</x:v>
      </x:c>
      <x:c r="G3" s="6" t="s">
        <x:v>23</x:v>
      </x:c>
      <x:c r="H3" s="6" t="s">
        <x:v>24</x:v>
      </x:c>
      <x:c r="I3" s="6" t="s">
        <x:v>25</x:v>
      </x:c>
      <x:c r="J3" s="9" t="n">
        <x:v>38776.86</x:v>
      </x:c>
      <x:c r="K3" s="9" t="n">
        <x:v>45619.83</x:v>
      </x:c>
    </x:row>
    <x:row r="4">
      <x:c r="A4" s="6" t="s">
        <x:v>11</x:v>
      </x:c>
      <x:c r="B4" s="6" t="s">
        <x:v>26</x:v>
      </x:c>
      <x:c r="C4" s="6" t="s">
        <x:v>13</x:v>
      </x:c>
      <x:c r="D4" s="7" t="str">
        <x:f xml:space="preserve">HYPERLINK("https://www.infonalia.es/adjudicaciones1125/25237259.pdf","www.infonalia.es/adjudicaciones1125/25237259.pdf")</x:f>
        <x:v>www.infonalia.es/adjudicaciones1125/25237259.pdf</x:v>
      </x:c>
      <x:c r="E4" s="8" t="s">
        <x:v>27</x:v>
      </x:c>
      <x:c r="F4" s="6" t="s">
        <x:v>28</x:v>
      </x:c>
      <x:c r="G4" s="6" t="s">
        <x:v>29</x:v>
      </x:c>
      <x:c r="H4" s="6" t="s">
        <x:v>30</x:v>
      </x:c>
      <x:c r="I4" s="6" t="s">
        <x:v>31</x:v>
      </x:c>
      <x:c r="J4" s="9" t="s">
        <x:v>19</x:v>
      </x:c>
      <x:c r="K4" s="9" t="n">
        <x:v>66000.00</x:v>
      </x:c>
    </x:row>
    <x:row r="5">
      <x:c r="A5" s="6" t="s">
        <x:v>11</x:v>
      </x:c>
      <x:c r="B5" s="6" t="s">
        <x:v>32</x:v>
      </x:c>
      <x:c r="C5" s="6" t="s">
        <x:v>13</x:v>
      </x:c>
      <x:c r="D5" s="7" t="str">
        <x:f xml:space="preserve">HYPERLINK("https://www.infonalia.es/adjudicaciones1125/25237263.pdf","www.infonalia.es/adjudicaciones1125/25237263.pdf")</x:f>
        <x:v>www.infonalia.es/adjudicaciones1125/25237263.pdf</x:v>
      </x:c>
      <x:c r="E5" s="8" t="s">
        <x:v>33</x:v>
      </x:c>
      <x:c r="F5" s="6" t="s">
        <x:v>34</x:v>
      </x:c>
      <x:c r="G5" s="6" t="s">
        <x:v>35</x:v>
      </x:c>
      <x:c r="H5" s="6" t="s">
        <x:v>36</x:v>
      </x:c>
      <x:c r="I5" s="6" t="s">
        <x:v>37</x:v>
      </x:c>
      <x:c r="J5" s="9" t="s">
        <x:v>19</x:v>
      </x:c>
      <x:c r="K5" s="9" t="n">
        <x:v>69069.58</x:v>
      </x:c>
    </x:row>
    <x:row r="6">
      <x:c r="A6" s="6" t="s">
        <x:v>11</x:v>
      </x:c>
      <x:c r="B6" s="6" t="s">
        <x:v>38</x:v>
      </x:c>
      <x:c r="C6" s="6" t="s">
        <x:v>13</x:v>
      </x:c>
      <x:c r="D6" s="7" t="str">
        <x:f xml:space="preserve">HYPERLINK("https://www.infonalia.es/adjudicaciones1125/25237294.pdf","www.infonalia.es/adjudicaciones1125/25237294.pdf")</x:f>
        <x:v>www.infonalia.es/adjudicaciones1125/25237294.pdf</x:v>
      </x:c>
      <x:c r="E6" s="8" t="s">
        <x:v>39</x:v>
      </x:c>
      <x:c r="F6" s="6" t="s">
        <x:v>40</x:v>
      </x:c>
      <x:c r="G6" s="6" t="s">
        <x:v>41</x:v>
      </x:c>
      <x:c r="H6" s="6" t="s">
        <x:v>42</x:v>
      </x:c>
      <x:c r="I6" s="6" t="s">
        <x:v>37</x:v>
      </x:c>
      <x:c r="J6" s="9" t="s">
        <x:v>19</x:v>
      </x:c>
      <x:c r="K6" s="9" t="n">
        <x:v>69802.93</x:v>
      </x:c>
    </x:row>
    <x:row r="7">
      <x:c r="A7" s="6" t="s">
        <x:v>11</x:v>
      </x:c>
      <x:c r="B7" s="6" t="s">
        <x:v>43</x:v>
      </x:c>
      <x:c r="C7" s="6" t="s">
        <x:v>13</x:v>
      </x:c>
      <x:c r="D7" s="7" t="str">
        <x:f xml:space="preserve">HYPERLINK("https://www.infonalia.es/adjudicaciones1125/25237299.pdf","www.infonalia.es/adjudicaciones1125/25237299.pdf")</x:f>
        <x:v>www.infonalia.es/adjudicaciones1125/25237299.pdf</x:v>
      </x:c>
      <x:c r="E7" s="8" t="s">
        <x:v>44</x:v>
      </x:c>
      <x:c r="F7" s="6" t="s">
        <x:v>45</x:v>
      </x:c>
      <x:c r="G7" s="6" t="s">
        <x:v>46</x:v>
      </x:c>
      <x:c r="H7" s="6" t="s">
        <x:v>47</x:v>
      </x:c>
      <x:c r="I7" s="6" t="s">
        <x:v>48</x:v>
      </x:c>
      <x:c r="J7" s="9" t="s">
        <x:v>19</x:v>
      </x:c>
      <x:c r="K7" s="9" t="n">
        <x:v>960000.00</x:v>
      </x:c>
    </x:row>
    <x:row r="8">
      <x:c r="A8" s="6" t="s">
        <x:v>11</x:v>
      </x:c>
      <x:c r="B8" s="6" t="s">
        <x:v>49</x:v>
      </x:c>
      <x:c r="C8" s="6" t="s">
        <x:v>13</x:v>
      </x:c>
      <x:c r="D8" s="7" t="str">
        <x:f xml:space="preserve">HYPERLINK("https://www.infonalia.es/adjudicaciones1125/25237357.pdf","www.infonalia.es/adjudicaciones1125/25237357.pdf")</x:f>
        <x:v>www.infonalia.es/adjudicaciones1125/25237357.pdf</x:v>
      </x:c>
      <x:c r="E8" s="8" t="s">
        <x:v>50</x:v>
      </x:c>
      <x:c r="F8" s="6" t="s">
        <x:v>51</x:v>
      </x:c>
      <x:c r="G8" s="6" t="s">
        <x:v>52</x:v>
      </x:c>
      <x:c r="H8" s="6" t="s">
        <x:v>53</x:v>
      </x:c>
      <x:c r="I8" s="6" t="s">
        <x:v>25</x:v>
      </x:c>
      <x:c r="J8" s="9" t="n">
        <x:v>95571.20</x:v>
      </x:c>
      <x:c r="K8" s="9" t="n">
        <x:v>105009.12</x:v>
      </x:c>
    </x:row>
    <x:row r="9">
      <x:c r="A9" s="6" t="s">
        <x:v>11</x:v>
      </x:c>
      <x:c r="B9" s="6" t="s">
        <x:v>54</x:v>
      </x:c>
      <x:c r="C9" s="6" t="s">
        <x:v>13</x:v>
      </x:c>
      <x:c r="D9" s="7" t="str">
        <x:f xml:space="preserve">HYPERLINK("https://www.infonalia.es/adjudicaciones1125/25237542.pdf","www.infonalia.es/adjudicaciones1125/25237542.pdf")</x:f>
        <x:v>www.infonalia.es/adjudicaciones1125/25237542.pdf</x:v>
      </x:c>
      <x:c r="E9" s="8" t="s">
        <x:v>55</x:v>
      </x:c>
      <x:c r="F9" s="6" t="s">
        <x:v>34</x:v>
      </x:c>
      <x:c r="G9" s="6" t="s">
        <x:v>56</x:v>
      </x:c>
      <x:c r="H9" s="6" t="s">
        <x:v>57</x:v>
      </x:c>
      <x:c r="I9" s="6" t="s">
        <x:v>37</x:v>
      </x:c>
      <x:c r="J9" s="9" t="s">
        <x:v>19</x:v>
      </x:c>
      <x:c r="K9" s="9" t="n">
        <x:v>173553.72</x:v>
      </x:c>
    </x:row>
    <x:row r="10">
      <x:c r="A10" s="6" t="s">
        <x:v>11</x:v>
      </x:c>
      <x:c r="B10" s="6" t="s">
        <x:v>58</x:v>
      </x:c>
      <x:c r="C10" s="6" t="s">
        <x:v>13</x:v>
      </x:c>
      <x:c r="D10" s="7" t="str">
        <x:f xml:space="preserve">HYPERLINK("https://www.infonalia.es/adjudicaciones1125/25237563.pdf","www.infonalia.es/adjudicaciones1125/25237563.pdf")</x:f>
        <x:v>www.infonalia.es/adjudicaciones1125/25237563.pdf</x:v>
      </x:c>
      <x:c r="E10" s="8" t="s">
        <x:v>59</x:v>
      </x:c>
      <x:c r="F10" s="6" t="s">
        <x:v>60</x:v>
      </x:c>
      <x:c r="G10" s="6" t="s">
        <x:v>61</x:v>
      </x:c>
      <x:c r="H10" s="6" t="s">
        <x:v>62</x:v>
      </x:c>
      <x:c r="I10" s="6" t="s">
        <x:v>37</x:v>
      </x:c>
      <x:c r="J10" s="9" t="s">
        <x:v>19</x:v>
      </x:c>
      <x:c r="K10" s="9" t="n">
        <x:v>4500.00</x:v>
      </x:c>
    </x:row>
    <x:row r="11">
      <x:c r="A11" s="6" t="s">
        <x:v>11</x:v>
      </x:c>
      <x:c r="B11" s="6" t="s">
        <x:v>63</x:v>
      </x:c>
      <x:c r="C11" s="6" t="s">
        <x:v>13</x:v>
      </x:c>
      <x:c r="D11" s="7" t="str">
        <x:f xml:space="preserve">HYPERLINK("https://www.infonalia.es/adjudicaciones1125/25237575.pdf","www.infonalia.es/adjudicaciones1125/25237575.pdf")</x:f>
        <x:v>www.infonalia.es/adjudicaciones1125/25237575.pdf</x:v>
      </x:c>
      <x:c r="E11" s="8" t="s">
        <x:v>64</x:v>
      </x:c>
      <x:c r="F11" s="6" t="s">
        <x:v>65</x:v>
      </x:c>
      <x:c r="G11" s="6" t="s">
        <x:v>66</x:v>
      </x:c>
      <x:c r="H11" s="6" t="s">
        <x:v>67</x:v>
      </x:c>
      <x:c r="I11" s="6" t="s">
        <x:v>68</x:v>
      </x:c>
      <x:c r="J11" s="9" t="s">
        <x:v>19</x:v>
      </x:c>
      <x:c r="K11" s="9" t="n">
        <x:v>99144.00</x:v>
      </x:c>
    </x:row>
    <x:row r="12">
      <x:c r="A12" s="6" t="s">
        <x:v>11</x:v>
      </x:c>
      <x:c r="B12" s="6" t="s">
        <x:v>69</x:v>
      </x:c>
      <x:c r="C12" s="6" t="s">
        <x:v>13</x:v>
      </x:c>
      <x:c r="D12" s="7" t="str">
        <x:f xml:space="preserve">HYPERLINK("https://www.infonalia.es/adjudicaciones1125/25237676.pdf","www.infonalia.es/adjudicaciones1125/25237676.pdf")</x:f>
        <x:v>www.infonalia.es/adjudicaciones1125/25237676.pdf</x:v>
      </x:c>
      <x:c r="E12" s="8" t="s">
        <x:v>70</x:v>
      </x:c>
      <x:c r="F12" s="6" t="s">
        <x:v>71</x:v>
      </x:c>
      <x:c r="G12" s="6" t="s">
        <x:v>72</x:v>
      </x:c>
      <x:c r="H12" s="6" t="s">
        <x:v>73</x:v>
      </x:c>
      <x:c r="I12" s="6" t="s">
        <x:v>18</x:v>
      </x:c>
      <x:c r="J12" s="9" t="n">
        <x:v>252777.00</x:v>
      </x:c>
      <x:c r="K12" s="9" t="n">
        <x:v>391450.44</x:v>
      </x:c>
    </x:row>
    <x:row r="13">
      <x:c r="A13" s="6" t="s">
        <x:v>11</x:v>
      </x:c>
      <x:c r="B13" s="6" t="s">
        <x:v>74</x:v>
      </x:c>
      <x:c r="C13" s="6" t="s">
        <x:v>13</x:v>
      </x:c>
      <x:c r="D13" s="7" t="str">
        <x:f xml:space="preserve">HYPERLINK("https://www.infonalia.es/adjudicaciones1125/25237971.pdf","www.infonalia.es/adjudicaciones1125/25237971.pdf")</x:f>
        <x:v>www.infonalia.es/adjudicaciones1125/25237971.pdf</x:v>
      </x:c>
      <x:c r="E13" s="8" t="s">
        <x:v>75</x:v>
      </x:c>
      <x:c r="F13" s="6" t="s">
        <x:v>76</x:v>
      </x:c>
      <x:c r="G13" s="6" t="s">
        <x:v>77</x:v>
      </x:c>
      <x:c r="H13" s="6" t="s">
        <x:v>78</x:v>
      </x:c>
      <x:c r="I13" s="6" t="s">
        <x:v>79</x:v>
      </x:c>
      <x:c r="J13" s="9" t="s">
        <x:v>19</x:v>
      </x:c>
      <x:c r="K13" s="9" t="n">
        <x:v>874621.29</x:v>
      </x:c>
    </x:row>
    <x:row r="14">
      <x:c r="A14" s="6" t="s">
        <x:v>11</x:v>
      </x:c>
      <x:c r="B14" s="6" t="s">
        <x:v>80</x:v>
      </x:c>
      <x:c r="C14" s="6" t="s">
        <x:v>13</x:v>
      </x:c>
      <x:c r="D14" s="7" t="str">
        <x:f xml:space="preserve">HYPERLINK("https://www.infonalia.es/adjudicaciones1125/25237989.pdf","www.infonalia.es/adjudicaciones1125/25237989.pdf")</x:f>
        <x:v>www.infonalia.es/adjudicaciones1125/25237989.pdf</x:v>
      </x:c>
      <x:c r="E14" s="8" t="s">
        <x:v>81</x:v>
      </x:c>
      <x:c r="F14" s="6" t="s">
        <x:v>45</x:v>
      </x:c>
      <x:c r="G14" s="6" t="s">
        <x:v>46</x:v>
      </x:c>
      <x:c r="H14" s="6" t="s">
        <x:v>47</x:v>
      </x:c>
      <x:c r="I14" s="6" t="s">
        <x:v>48</x:v>
      </x:c>
      <x:c r="J14" s="9" t="s">
        <x:v>19</x:v>
      </x:c>
      <x:c r="K14" s="9" t="n">
        <x:v>960000.00</x:v>
      </x:c>
    </x:row>
    <x:row r="15">
      <x:c r="A15" s="6" t="s">
        <x:v>11</x:v>
      </x:c>
      <x:c r="B15" s="6" t="s">
        <x:v>82</x:v>
      </x:c>
      <x:c r="C15" s="6" t="s">
        <x:v>13</x:v>
      </x:c>
      <x:c r="D15" s="7" t="str">
        <x:f xml:space="preserve">HYPERLINK("https://www.infonalia.es/adjudicaciones1125/25238067.pdf","www.infonalia.es/adjudicaciones1125/25238067.pdf")</x:f>
        <x:v>www.infonalia.es/adjudicaciones1125/25238067.pdf</x:v>
      </x:c>
      <x:c r="E15" s="8" t="s">
        <x:v>83</x:v>
      </x:c>
      <x:c r="F15" s="6" t="s">
        <x:v>84</x:v>
      </x:c>
      <x:c r="G15" s="6" t="s">
        <x:v>85</x:v>
      </x:c>
      <x:c r="H15" s="6" t="s">
        <x:v>86</x:v>
      </x:c>
      <x:c r="I15" s="6" t="s">
        <x:v>18</x:v>
      </x:c>
      <x:c r="J15" s="9" t="n">
        <x:v>33000.00</x:v>
      </x:c>
      <x:c r="K15" s="9" t="n">
        <x:v>35000.00</x:v>
      </x:c>
    </x:row>
    <x:row r="16">
      <x:c r="A16" s="6" t="s">
        <x:v>11</x:v>
      </x:c>
      <x:c r="B16" s="6" t="s">
        <x:v>87</x:v>
      </x:c>
      <x:c r="C16" s="6" t="s">
        <x:v>13</x:v>
      </x:c>
      <x:c r="D16" s="7" t="str">
        <x:f xml:space="preserve">HYPERLINK("https://www.infonalia.es/adjudicaciones1125/25238362.pdf","www.infonalia.es/adjudicaciones1125/25238362.pdf")</x:f>
        <x:v>www.infonalia.es/adjudicaciones1125/25238362.pdf</x:v>
      </x:c>
      <x:c r="E16" s="8" t="s">
        <x:v>88</x:v>
      </x:c>
      <x:c r="F16" s="6" t="s">
        <x:v>89</x:v>
      </x:c>
      <x:c r="G16" s="6" t="s">
        <x:v>90</x:v>
      </x:c>
      <x:c r="H16" s="6" t="s">
        <x:v>91</x:v>
      </x:c>
      <x:c r="I16" s="6" t="s">
        <x:v>18</x:v>
      </x:c>
      <x:c r="J16" s="9" t="n">
        <x:v>19097.45</x:v>
      </x:c>
      <x:c r="K16" s="9" t="n">
        <x:v>19097.45</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