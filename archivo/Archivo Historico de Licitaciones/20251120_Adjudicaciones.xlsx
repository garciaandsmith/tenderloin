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<x:sst xmlns:x="http://schemas.openxmlformats.org/spreadsheetml/2006/main" count="11" uniqueCount="11">
  <x:si>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</x:si>
  <x:si>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</x:si>
  <x:si>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</x:si>
  <x:si>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</x:si>
  <x:si>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</x:si>
  <x:si>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</x:si>
  <x:si>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</x:si>
  <x:si>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</x:si>
  <x:si>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</x:si>
  <x:si>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</x:si>
  <x:si>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</x:si>
  <x:si>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</x:si>
  <x:si>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EVENTOS INFIMA SL</x:t>
  </x:si>
  <x:si>
    <x:t>20/11/2025 0:00:00</x:t>
  </x:si>
  <x:si>
    <x:t>25229379</x:t>
  </x:si>
  <x:si>
    <x:t>AYUNTAMIENTO DE MADRID. DISTRITO DE CHAMARTÍN</x:t>
  </x:si>
  <x:si>
    <x:t>El presente contrato tiene por objeto la organización, producción y comunicación del evento denominado: Gala de la Música 2025, que se celebrará el próximo 30 de noviembre de 2025, en la Sala de Cámara del Auditorio Nacional de Música (Madrid), en horario de tarde, con una duración aproximada de 120 minutos</x:t>
  </x:si>
  <x:si>
    <x:t>300/2025/02598</x:t>
  </x:si>
  <x:si>
    <x:t>Madrid</x:t>
  </x:si>
  <x:si>
    <x:t>DESARROLLO INTEGRAL PARA MUSEOS Y EXPOSICIONES</x:t>
  </x:si>
  <x:si>
    <x:t>25229387</x:t>
  </x:si>
  <x:si>
    <x:t>SOCIEDAD MERCANTIL ESTATAL DE ACCIÓN CULTURAL S.A.</x:t>
  </x:si>
  <x:si>
    <x:t>Producción, montaje y desmontaje de los elementos expositivos (constructivos y equipamientos), así como instalación y posterior desmontaje de las piezas de las exposiciones: - Carmen Martín Gaite. Un paradigma de mujer de letras - Ignacio Aldecoa. El oficio de escribir, que se celebrarán en Madrid, en la Biblioteca Nacional de España, del 18 de diciembre de 2025 al 14 de junio de 2026.</x:t>
  </x:si>
  <x:si>
    <x:t>071025/03 PAS</x:t>
  </x:si>
  <x:si>
    <x:t>NOISY STUDIO, S.L.U</x:t>
  </x:si>
  <x:si>
    <x:t>25229443</x:t>
  </x:si>
  <x:si>
    <x:t>PARADORES DE TURISMO DE ESPAÑA, S.M.E., S.A.</x:t>
  </x:si>
  <x:si>
    <x:t>Contratación del servicio de diseño, construcción, montaje, desmontaje y servicios complementarios del espacio en el que se ubicará el stand de Paradores de Turismo de España, S.M.E., S.A. durante la celebración de la feria FITUR 2026.</x:t>
  </x:si>
  <x:si>
    <x:t>2025-0490</x:t>
  </x:si>
  <x:si>
    <x:t>MUSICAL SPORT S.L</x:t>
  </x:si>
  <x:si>
    <x:t>25229518</x:t>
  </x:si>
  <x:si>
    <x:t>ALCALDÍA DEL AYUNTAMIENTO DE COSLADA (MADRID)</x:t>
  </x:si>
  <x:si>
    <x:t>Gestión, producción y realización de cuatro mercados temáticos para Navidad y San Isidro 2025, 2026 y 2027.</x:t>
  </x:si>
  <x:si>
    <x:t>2025/57</x:t>
  </x:si>
  <x:si>
    <x:t>MEDIAPLUS EQUMEDIA, S.L</x:t>
  </x:si>
  <x:si>
    <x:t>25229523</x:t>
  </x:si>
  <x:si>
    <x:t>FÁBRICA NACIONAL DE MONEDA Y TIMBRE - REAL CASA DE LA MONEDA</x:t>
  </x:si>
  <x:si>
    <x:t>Acciones publicitarias</x:t>
  </x:si>
  <x:si>
    <x:t>2025/60160120</x:t>
  </x:si>
  <x:si>
    <x:t>INFORMÁTICA ABANA, S.L</x:t>
  </x:si>
  <x:si>
    <x:t>25229626</x:t>
  </x:si>
  <x:si>
    <x:t>JUNTA DE CONTRATACIÓN DEL MINISTERIO DE CULTURA Y DEPORTE</x:t>
  </x:si>
  <x:si>
    <x:t>Evaluación del estado de conservación, limpieza y digitalización de 8.870 placas de vidrio del archivo fotográfico Laurent de la Subdirección General del Instituto del Patrimonio Cultural de España.</x:t>
  </x:si>
  <x:si>
    <x:t>JS250047</x:t>
  </x:si>
  <x:si>
    <x:t>INSPIRING BENEFITS SL</x:t>
  </x:si>
  <x:si>
    <x:t>25230117</x:t>
  </x:si>
  <x:si>
    <x:t>AENA. DIRECCIÓN DE CONTRATACIÓN</x:t>
  </x:si>
  <x:si>
    <x:t>Promoción y comercialización de los servicios de los aparcamientos de Aena S.M.E. S.A. a través del portal de descuentos de Inspiring Benefits, S.L</x:t>
  </x:si>
  <x:si>
    <x:t>DSC-504/2025</x:t>
  </x:si>
  <x:si>
    <x:t>ROMUALDO MANUEL FAURA BERNABÉ</x:t>
  </x:si>
  <x:si>
    <x:t>25230272</x:t>
  </x:si>
  <x:si>
    <x:t>ÁREA DE GOBIERNO DE VICEALCALDÍA, PORTAVOZ, SEGURIDAD Y EMERGENCIAS DEL AYUNTAMIENTO DE MADRID</x:t>
  </x:si>
  <x:si>
    <x:t>Edición y maquetación de trípticos y elementos sobre publicitarios sobre los Servicios Sociales de Chamartín.</x:t>
  </x:si>
  <x:si>
    <x:t>145/2023/00612.2.58</x:t>
  </x:si>
  <x:si>
    <x:t>SIT PROYECTOS, DISEÑO Y CONSERVACIÓN, S.L</x:t>
  </x:si>
  <x:si>
    <x:t>25230296</x:t>
  </x:si>
  <x:si>
    <x:t>COMUNIDAD DE MADRID. CONSEJERÍA DE CULTURA, TURISMO Y DEPORTE</x:t>
  </x:si>
  <x:si>
    <x:t>Contratación de los servicios de montaje y desmontaje necesarios para la adecuada ejecución de la exposición de Jordi Teixidor, en la Sala de Exposiciones Alcalá 31, situada en la calle Alcalá 31, entre el 7 de enero y el 24 de abril de 2026.</x:t>
  </x:si>
  <x:si>
    <x:t>C-333A/026-25 (A/SER-029806/2025)</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</x:si>
</x:sst>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HYPERLINK("https://www.infonalia.es/adjudicaciones1125/25229379.pdf","www.infonalia.es/adjudicaciones1125/25229379.pdf")</x:f>
        <x:v>www.infonalia.es/adjudicaciones1125/25229379.pdf</x:v>
      </x:c>
      <x:c r="E2" s="8" t="s">
        <x:v>14</x:v>
      </x:c>
      <x:c r="F2" s="6" t="s">
        <x:v>15</x:v>
      </x:c>
      <x:c r="G2" s="6" t="s">
        <x:v>16</x:v>
      </x:c>
      <x:c r="H2" s="6" t="s">
        <x:v>17</x:v>
      </x:c>
      <x:c r="I2" s="6" t="s">
        <x:v>18</x:v>
      </x:c>
      <x:c r="J2" s="9" t="n">
        <x:v>54600.00</x:v>
      </x:c>
      <x:c r="K2" s="9" t="n">
        <x:v>59999.98</x:v>
      </x:c>
    </x:row>
    <x:row r="3">
      <x:c r="A3" s="6" t="s">
        <x:v>11</x:v>
      </x:c>
      <x:c r="B3" s="6" t="s">
        <x:v>19</x:v>
      </x:c>
      <x:c r="C3" s="6" t="s">
        <x:v>13</x:v>
      </x:c>
      <x:c r="D3" s="7" t="str">
        <x:f xml:space="preserve">HYPERLINK("https://www.infonalia.es/adjudicaciones1125/25229387.pdf","www.infonalia.es/adjudicaciones1125/25229387.pdf")</x:f>
        <x:v>www.infonalia.es/adjudicaciones1125/25229387.pdf</x:v>
      </x:c>
      <x:c r="E3" s="8" t="s">
        <x:v>20</x:v>
      </x:c>
      <x:c r="F3" s="6" t="s">
        <x:v>21</x:v>
      </x:c>
      <x:c r="G3" s="6" t="s">
        <x:v>22</x:v>
      </x:c>
      <x:c r="H3" s="6" t="s">
        <x:v>23</x:v>
      </x:c>
      <x:c r="I3" s="6" t="s">
        <x:v>18</x:v>
      </x:c>
      <x:c r="J3" s="9" t="n">
        <x:v>139708.76</x:v>
      </x:c>
      <x:c r="K3" s="9" t="n">
        <x:v>140000.00</x:v>
      </x:c>
    </x:row>
    <x:row r="4">
      <x:c r="A4" s="6" t="s">
        <x:v>11</x:v>
      </x:c>
      <x:c r="B4" s="6" t="s">
        <x:v>24</x:v>
      </x:c>
      <x:c r="C4" s="6" t="s">
        <x:v>13</x:v>
      </x:c>
      <x:c r="D4" s="7" t="str">
        <x:f xml:space="preserve">HYPERLINK("https://www.infonalia.es/adjudicaciones1125/25229443.pdf","www.infonalia.es/adjudicaciones1125/25229443.pdf")</x:f>
        <x:v>www.infonalia.es/adjudicaciones1125/25229443.pdf</x:v>
      </x:c>
      <x:c r="E4" s="8" t="s">
        <x:v>25</x:v>
      </x:c>
      <x:c r="F4" s="6" t="s">
        <x:v>26</x:v>
      </x:c>
      <x:c r="G4" s="6" t="s">
        <x:v>27</x:v>
      </x:c>
      <x:c r="H4" s="6" t="s">
        <x:v>28</x:v>
      </x:c>
      <x:c r="I4" s="6" t="s">
        <x:v>18</x:v>
      </x:c>
      <x:c r="J4" s="9" t="n">
        <x:v>176800.00</x:v>
      </x:c>
      <x:c r="K4" s="9" t="n">
        <x:v>180000.00</x:v>
      </x:c>
    </x:row>
    <x:row r="5">
      <x:c r="A5" s="6" t="s">
        <x:v>11</x:v>
      </x:c>
      <x:c r="B5" s="6" t="s">
        <x:v>29</x:v>
      </x:c>
      <x:c r="C5" s="6" t="s">
        <x:v>13</x:v>
      </x:c>
      <x:c r="D5" s="7" t="str">
        <x:f xml:space="preserve">HYPERLINK("https://www.infonalia.es/adjudicaciones1125/25229518.pdf","www.infonalia.es/adjudicaciones1125/25229518.pdf")</x:f>
        <x:v>www.infonalia.es/adjudicaciones1125/25229518.pdf</x:v>
      </x:c>
      <x:c r="E5" s="8" t="s">
        <x:v>30</x:v>
      </x:c>
      <x:c r="F5" s="6" t="s">
        <x:v>31</x:v>
      </x:c>
      <x:c r="G5" s="6" t="s">
        <x:v>32</x:v>
      </x:c>
      <x:c r="H5" s="6" t="s">
        <x:v>33</x:v>
      </x:c>
      <x:c r="I5" s="6" t="s">
        <x:v>18</x:v>
      </x:c>
      <x:c r="J5" s="9" t="n">
        <x:v>9600.00</x:v>
      </x:c>
      <x:c r="K5" s="9" t="n">
        <x:v>15200.00</x:v>
      </x:c>
    </x:row>
    <x:row r="6">
      <x:c r="A6" s="6" t="s">
        <x:v>11</x:v>
      </x:c>
      <x:c r="B6" s="6" t="s">
        <x:v>34</x:v>
      </x:c>
      <x:c r="C6" s="6" t="s">
        <x:v>13</x:v>
      </x:c>
      <x:c r="D6" s="7" t="str">
        <x:f xml:space="preserve">HYPERLINK("https://www.infonalia.es/adjudicaciones1125/25229523.pdf","www.infonalia.es/adjudicaciones1125/25229523.pdf")</x:f>
        <x:v>www.infonalia.es/adjudicaciones1125/25229523.pdf</x:v>
      </x:c>
      <x:c r="E6" s="8" t="s">
        <x:v>35</x:v>
      </x:c>
      <x:c r="F6" s="6" t="s">
        <x:v>36</x:v>
      </x:c>
      <x:c r="G6" s="6" t="s">
        <x:v>37</x:v>
      </x:c>
      <x:c r="H6" s="6" t="s">
        <x:v>38</x:v>
      </x:c>
      <x:c r="I6" s="6" t="s">
        <x:v>18</x:v>
      </x:c>
      <x:c r="J6" s="9" t="n">
        <x:v>48004.80</x:v>
      </x:c>
      <x:c r="K6" s="9" t="n">
        <x:v>300000.00</x:v>
      </x:c>
    </x:row>
    <x:row r="7">
      <x:c r="A7" s="6" t="s">
        <x:v>11</x:v>
      </x:c>
      <x:c r="B7" s="6" t="s">
        <x:v>39</x:v>
      </x:c>
      <x:c r="C7" s="6" t="s">
        <x:v>13</x:v>
      </x:c>
      <x:c r="D7" s="7" t="str">
        <x:f xml:space="preserve">HYPERLINK("https://www.infonalia.es/adjudicaciones1125/25229626.pdf","www.infonalia.es/adjudicaciones1125/25229626.pdf")</x:f>
        <x:v>www.infonalia.es/adjudicaciones1125/25229626.pdf</x:v>
      </x:c>
      <x:c r="E7" s="8" t="s">
        <x:v>40</x:v>
      </x:c>
      <x:c r="F7" s="6" t="s">
        <x:v>41</x:v>
      </x:c>
      <x:c r="G7" s="6" t="s">
        <x:v>42</x:v>
      </x:c>
      <x:c r="H7" s="6" t="s">
        <x:v>43</x:v>
      </x:c>
      <x:c r="I7" s="6" t="s">
        <x:v>18</x:v>
      </x:c>
      <x:c r="J7" s="9" t="n">
        <x:v>99000.00</x:v>
      </x:c>
      <x:c r="K7" s="9" t="n">
        <x:v>110872.41</x:v>
      </x:c>
    </x:row>
    <x:row r="8">
      <x:c r="A8" s="6" t="s">
        <x:v>11</x:v>
      </x:c>
      <x:c r="B8" s="6" t="s">
        <x:v>44</x:v>
      </x:c>
      <x:c r="C8" s="6" t="s">
        <x:v>13</x:v>
      </x:c>
      <x:c r="D8" s="7" t="str">
        <x:f xml:space="preserve">HYPERLINK("https://www.infonalia.es/adjudicaciones1125/25230117.pdf","www.infonalia.es/adjudicaciones1125/25230117.pdf")</x:f>
        <x:v>www.infonalia.es/adjudicaciones1125/25230117.pdf</x:v>
      </x:c>
      <x:c r="E8" s="8" t="s">
        <x:v>45</x:v>
      </x:c>
      <x:c r="F8" s="6" t="s">
        <x:v>46</x:v>
      </x:c>
      <x:c r="G8" s="6" t="s">
        <x:v>47</x:v>
      </x:c>
      <x:c r="H8" s="6" t="s">
        <x:v>48</x:v>
      </x:c>
      <x:c r="I8" s="6" t="s">
        <x:v>18</x:v>
      </x:c>
      <x:c r="J8" s="9" t="n">
        <x:v>25000.00</x:v>
      </x:c>
      <x:c r="K8" s="9" t="n">
        <x:v>25000.00</x:v>
      </x:c>
    </x:row>
    <x:row r="9">
      <x:c r="A9" s="6" t="s">
        <x:v>11</x:v>
      </x:c>
      <x:c r="B9" s="6" t="s">
        <x:v>49</x:v>
      </x:c>
      <x:c r="C9" s="6" t="s">
        <x:v>13</x:v>
      </x:c>
      <x:c r="D9" s="7" t="str">
        <x:f xml:space="preserve">HYPERLINK("https://www.infonalia.es/adjudicaciones1125/25230272.pdf","www.infonalia.es/adjudicaciones1125/25230272.pdf")</x:f>
        <x:v>www.infonalia.es/adjudicaciones1125/25230272.pdf</x:v>
      </x:c>
      <x:c r="E9" s="8" t="s">
        <x:v>50</x:v>
      </x:c>
      <x:c r="F9" s="6" t="s">
        <x:v>51</x:v>
      </x:c>
      <x:c r="G9" s="6" t="s">
        <x:v>52</x:v>
      </x:c>
      <x:c r="H9" s="6" t="s">
        <x:v>53</x:v>
      </x:c>
      <x:c r="I9" s="6" t="s">
        <x:v>18</x:v>
      </x:c>
      <x:c r="J9" s="9" t="n">
        <x:v>539.50</x:v>
      </x:c>
      <x:c r="K9" s="9" t="n">
        <x:v>539.50</x:v>
      </x:c>
    </x:row>
    <x:row r="10">
      <x:c r="A10" s="6" t="s">
        <x:v>11</x:v>
      </x:c>
      <x:c r="B10" s="6" t="s">
        <x:v>54</x:v>
      </x:c>
      <x:c r="C10" s="6" t="s">
        <x:v>13</x:v>
      </x:c>
      <x:c r="D10" s="7" t="str">
        <x:f xml:space="preserve">HYPERLINK("https://www.infonalia.es/adjudicaciones1125/25230296.pdf","www.infonalia.es/adjudicaciones1125/25230296.pdf")</x:f>
        <x:v>www.infonalia.es/adjudicaciones1125/25230296.pdf</x:v>
      </x:c>
      <x:c r="E10" s="8" t="s">
        <x:v>55</x:v>
      </x:c>
      <x:c r="F10" s="6" t="s">
        <x:v>56</x:v>
      </x:c>
      <x:c r="G10" s="6" t="s">
        <x:v>57</x:v>
      </x:c>
      <x:c r="H10" s="6" t="s">
        <x:v>58</x:v>
      </x:c>
      <x:c r="I10" s="6" t="s">
        <x:v>18</x:v>
      </x:c>
      <x:c r="J10" s="9" t="n">
        <x:v>56928.84</x:v>
      </x:c>
      <x:c r="K10" s="9" t="n">
        <x:v>79750.00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