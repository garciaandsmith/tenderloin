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<x:sst xmlns:x="http://schemas.openxmlformats.org/spreadsheetml/2006/main" count="11" uniqueCount="11">
  <x:si>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</x:si>
  <x:si>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</x:si>
  <x:si>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</x:si>
  <x:si>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</x:si>
  <x:si>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</x:si>
  <x:si>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</x:si>
  <x:si>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</x:si>
  <x:si>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</x:si>
  <x:si>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</x:si>
  <x:si>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</x:si>
  <x:si>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</x:si>
  <x:si>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</x:si>
  <x:si>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FLUMOTION SERVICES SA</x:t>
  </x:si>
  <x:si>
    <x:t>09/12/2025 0:00:00</x:t>
  </x:si>
  <x:si>
    <x:t>25245587</x:t>
  </x:si>
  <x:si>
    <x:t>AYUNTAMIENTO DE SABADELL (BARCELONA)</x:t>
  </x:si>
  <x:si>
    <x:t>El objeto de la presente licitación es la contratación del servicio de retransmisión garantizada por streaming en internet de la señal de audio y vídeo proveniente del Pleno Municipal</x:t>
  </x:si>
  <x:si>
    <x:t>TIC/2025/31</x:t>
  </x:si>
  <x:si>
    <x:t>Barcelona</x:t>
  </x:si>
  <x:si>
    <x:t>TANDEM PROJECTS SL</x:t>
  </x:si>
  <x:si>
    <x:t>25245595</x:t>
  </x:si>
  <x:si>
    <x:t>TRANSPORTS DE BARCELONA, SA</x:t>
  </x:si>
  <x:si>
    <x:t>Servicio de soporte para la dinamización del Tik Tok de TMB.</x:t>
  </x:si>
  <x:si>
    <x:t>15013423</x:t>
  </x:si>
  <x:si>
    <x:t>LAIA SAIS</x:t>
  </x:si>
  <x:si>
    <x:t>25245606</x:t>
  </x:si>
  <x:si>
    <x:t>AYUNTAMIENTO DE GIRONA</x:t>
  </x:si>
  <x:si>
    <x:t>El objeto de este contrato es el servicio de diseño de soportes digitales e impresos del Teatro Municipal de Girona, con las características especificadas en el Pliego de prescripciones técnicas</x:t>
  </x:si>
  <x:si>
    <x:t>2025027615</x:t>
  </x:si>
  <x:si>
    <x:t>Girona</x:t>
  </x:si>
  <x:si>
    <x:t>LOTE 2 XAVIER MITJANS GATELL; LOTE 3 TECNOPERPAL S.L.</x:t>
  </x:si>
  <x:si>
    <x:t>25245607</x:t>
  </x:si>
  <x:si>
    <x:t>AYUNTAMIENTO DEL VENDRELL (TARRAGONA)</x:t>
  </x:si>
  <x:si>
    <x:t>El objeto de este contrato es el servicio de: creación del “branding” de la nueva marca turística de El Vendrell, y diseño, maquetación, traducción e impresión de nuevos materiales divulgativos para realizar un marketing innovador y eficaz [LOT 1]; guionización, diseño, edición y realización y producción de materiales audiovisuales promocionales [LOT 2]; suministro e instalación de pantalla LED, su hardware de control y software de visualización [LOT 3]; y evolución y mejora del portal turístico “www.elvendrellturistic.com” [LOTE 4]</x:t>
  </x:si>
  <x:si>
    <x:t>GCON2025000018</x:t>
  </x:si>
  <x:si>
    <x:t>Tarragona</x:t>
  </x:si>
  <x:si>
    <x:t>Ver detalle de la adjudicación</x:t>
  </x:si>
  <x:si>
    <x:t>INICIATIVES EVENTS SL</x:t>
  </x:si>
  <x:si>
    <x:t>25245754</x:t>
  </x:si>
  <x:si>
    <x:t>INSTITUTO CATALÁN DE LAS EMPRESAS CULTURALES</x:t>
  </x:si>
  <x:si>
    <x:t>Servicios técnicos (sonido, iluminación, multimedia y concejalía) necesarios para las diversas actividades que se llevan a cabo en el centro de artes Santa Mònica.</x:t>
  </x:si>
  <x:si>
    <x:t>ICEC-2026-6</x:t>
  </x:si>
  <x:si>
    <x:t>LOTE 1 HIBERUS IT DEVELOPMENT SERVICES, S.L.U.; LOTE 2 NEXT MEDIA PROJECT, S.L.U</x:t>
  </x:si>
  <x:si>
    <x:t>25245781</x:t>
  </x:si>
  <x:si>
    <x:t>CONSORCIO DE TURISMO DE BARCELONA</x:t>
  </x:si>
  <x:si>
    <x:t>El objeto del presente procedimiento de contratación, convocado por el CTB, es el desarrollo, mantenimiento y actualización de la plataforma digital This is Barcelona (Lote 1), así como la definición y elaboración de los contenidos de este nuevo entorno tecnológico. La empresa contratista tendrá que desarrollar las funciones previstas en la cláusula 4.1. del Pliego de Prescripciones Técnicas (en adelante, PPT) con respecto al lote núm. 1 y en la cláusula 4.2. en el marco del lote núm. 2, sin perjuicio de las demás tareas y requisitos especificados en cualquiera de los apartados del PPT mencionado, que también serán de obligado cumplimiento. Lote 2 Contenidos This is Barcelona</x:t>
  </x:si>
  <x:si>
    <x:t>PO 2024 10</x:t>
  </x:si>
  <x:si>
    <x:t>SINGULAR FACT, S.L</x:t>
  </x:si>
  <x:si>
    <x:t>25245926</x:t>
  </x:si>
  <x:si>
    <x:t>COMUNIDAD DE MADRID. CONSEJERÍA DE SANIDAD</x:t>
  </x:si>
  <x:si>
    <x:t>El objeto del contrato es la prestación de los servicios audiovisuales necesarios para la creación de vídeos cortos sobre temas de salud dirigidos a la ciudadanía. La creación incluye las tareas de preproducción, producción y postproducción. Las piezas resultantes estarán concebidas para su difusión a través de la web y la plataforma digital de aprendizaje de la Escuela Madrileña de Salud. La plataforma utilizada es “Moodle”, sistema de gestión de la enseñanza que permite construir recursos formativos online a través de Internet. La plataforma está basada actualmente en software de código abierto, versión Versión 3.9.4, y “BigBlueButton” (versión 2.5.18). Los trabajos de creación comprenden: - La preproducción: guionización y planificación de la producción, siguiendo las indicaciones de la Escuela Madrileña de Salud, que proporcionará los contenidos. - La producción: logística y grabación. - La postproducción: o Edición de vídeo y audio: montaje, ajustes, efectos, grabación de off si fuera necesario, correcciones de color, creación y animación de grafismos, subtítulos y música original. o Grabación de la interpretación en lengua de signos española e inserción de ésta en el vídeo, debidamente ajustada a tiempo. El número de unidades a ejecutar es una cantidad estimada máxima, tratándose de un contrato en el que el adjudicatario se obliga a ejecutar el servicio de forma sucesiva y por precio unitario de acuerdo con las necesidades que tenga la Administración según lo previsto en el artículo 17 de la Ley de Contratos del Sector Público.</x:t>
  </x:si>
  <x:si>
    <x:t>A/SER-032388/2025</x:t>
  </x:si>
  <x:si>
    <x:t>Madrid</x:t>
  </x:si>
  <x:si>
    <x:t>TRANSIT PROJECTES,SL</x:t>
  </x:si>
  <x:si>
    <x:t>25246056</x:t>
  </x:si>
  <x:si>
    <x:t>AYUNTAMIENTO DE BARCELONA</x:t>
  </x:si>
  <x:si>
    <x:t>Contrato de servicios para la gestión, la dinamización, la coordinación y la organización de los servicios del Centro Cívico Cotxeres Borrell del Distrito del Eixample</x:t>
  </x:si>
  <x:si>
    <x:t>001_25000094</x:t>
  </x:si>
  <x:si>
    <x:t>LLORENTE Y CUENCA MADRID SL</x:t>
  </x:si>
  <x:si>
    <x:t>25246076</x:t>
  </x:si>
  <x:si>
    <x:t>JUNTA DE CONTRATACIÓN DEL MINISTERIO DE INCLUSIÓN, SEGURIDAD SOCIAL Y MIGRACIONES</x:t>
  </x:si>
  <x:si>
    <x:t>Servicio de creatividad y asistencia técnica para el diseño, realización y producción de la campaña publicitaria y de comunicación del Ministerio de Inclusión, Seguridad Social y Migraciones “Migración, fuente de riqueza”</x:t>
  </x:si>
  <x:si>
    <x:t>202501JC0009</x:t>
  </x:si>
  <x:si>
    <x:t>LAGRAFICA CREATIVE EXPERIENCE, SL</x:t>
  </x:si>
  <x:si>
    <x:t>25246211</x:t>
  </x:si>
  <x:si>
    <x:t>INSTITUTO DE CULTURA DE BARCELONA</x:t>
  </x:si>
  <x:si>
    <x:t>Servicio de adaptaciones gráficas de los materiales de comunicación de programas de la Red de Centros Cívicos de Barcelona, gestionada por el Instituto de Cultura de Barcelona, con medidas de contratación pública sostenible</x:t>
  </x:si>
  <x:si>
    <x:t>006_2500 0946</x:t>
  </x:si>
  <x:si>
    <x:t>INGENIO MEDIA SL</x:t>
  </x:si>
  <x:si>
    <x:t>25246230</x:t>
  </x:si>
  <x:si>
    <x:t>JUNTA DE GOBIERNO DEL AYUNTAMIENTO DE LEGANÉS (MADRID)</x:t>
  </x:si>
  <x:si>
    <x:t>La prestación del servicio de Organización y ejecución de diversas actividades promovidas por la Delegación de Economía, Desarrollo Local, Comercio y Empleo en materia de promoción del comercio local durante la navidad 2025 denominada Feria de la Navidad 2025.</x:t>
  </x:si>
  <x:si>
    <x:t>2025/0231</x:t>
  </x:si>
  <x:si>
    <x:t>LOTE 1 KARAVAN PRODUCTION FILMS SL; LOTE 3 MANIFESTA COMUNICACIO CORPORATIVA, SL; LOTE 4 PLAYBRAND, SL; LOTE 5 POMETA GRAFICA, SL</x:t>
  </x:si>
  <x:si>
    <x:t>25246396</x:t>
  </x:si>
  <x:si>
    <x:t>PROMOTORA DE EXPORTACIONS CATALANES, SA (PRODECA)</x:t>
  </x:si>
  <x:si>
    <x:t>Servicios de elaboración de materiales comunicativos para Prodeca, con el fin de apoyar a Prodeca en la realización de actividades de comunicación online y offline; la creación de eventos de marketing y la elaboración de contenidos de comunicación para una mejora del posicionamiento percibido del sector agroalimentario. Lote 1 Servicios audiovisuales. Lote 2 Servicios de diseño gráfico. Lote 3 Servicios de gabinete de prensa. Lote 4 Servicios de redes sociales. Lote 5 Servicios de programación web.</x:t>
  </x:si>
  <x:si>
    <x:t>PRODECA-2025-35</x:t>
  </x:si>
  <x:si>
    <x:t>Catalunya</x:t>
  </x:si>
  <x:si>
    <x:t>SPECIALIST COMPUTER CENTRES, S.L</x:t>
  </x:si>
  <x:si>
    <x:t>25246405</x:t>
  </x:si>
  <x:si>
    <x:t>MINISTERIO DE HACIENDA. D.G. DE RACIONALIZACIÓN Y CENTRALIZACIÓN DE LA CONTRATACIÓN</x:t>
  </x:si>
  <x:si>
    <x:t>Actualización De Licenciamiento Para Plataforma De Virtualización De Infraestructura Con Destino Al Departamento De Informática Tributaria De La Agencia Estatal De Administración Tributaria (Servicio De Gestion Economica De La A.E.A.T.)</x:t>
  </x:si>
  <x:si>
    <x:t>CEA5766/2025</x:t>
  </x:si>
  <x:si>
    <x:t>UTE GESEIN – SOLUTIA SDA 25/2022</x:t>
  </x:si>
  <x:si>
    <x:t>25246407</x:t>
  </x:si>
  <x:si>
    <x:t>Suministro De Licencias Para La Evaluación De La Inteligencia De Amenazas Para Rediris (Entidad Publica Empresarial Red.Es, M.P.)</x:t>
  </x:si>
  <x:si>
    <x:t>CEA5639/2025</x:t>
  </x:si>
  <x:si>
    <x:t>INTERNATIONAL BUSINESS MACHINES, S.A.</x:t>
  </x:si>
  <x:si>
    <x:t>25246416</x:t>
  </x:si>
  <x:si>
    <x:t>Ampliación, Actualización Y Soporte De Software De Sistema Para La Ejecución Y Desarrollo De Aplicaciones En Los Entornos Mainframe Y Sistemas Abiertos Con Destino A La Gerencia De Informática De La Seguridad Social. (Gerencia De Informatica De La Seguridad Social)</x:t>
  </x:si>
  <x:si>
    <x:t>CEA5950/2025</x:t>
  </x:si>
  <x:si>
    <x:t>TELEFONICA SOLUCIONES DE INFORMATICA Y COMUNICACIONES DE ESPAÑA S.A.U.</x:t>
  </x:si>
  <x:si>
    <x:t>25246422</x:t>
  </x:si>
  <x:si>
    <x:t>Ampliación De Capacidades En El Licenciamiento De La Solución Para Reforzar La Seguridad De La Navegación Aislada Con Destino A La Agencia Estatal De Administración Tributaria. (Servicio De Gestion Economica De La A.E.A.T.)</x:t>
  </x:si>
  <x:si>
    <x:t>CEA5907/2025</x:t>
  </x:si>
  <x:si>
    <x:t>ATOS IT SOLUTIONS AND SERVICES IBERIA S.L</x:t>
  </x:si>
  <x:si>
    <x:t>25246426</x:t>
  </x:si>
  <x:si>
    <x:t>Renovación De Licencias De Software Antivirus Con Destino A La Intervención General De La Administración Del Estado. (Oficina De Informatica Presupuestaria (O.I.P.))</x:t>
  </x:si>
  <x:si>
    <x:t>CEA5837/2025</x:t>
  </x:si>
  <x:si>
    <x:t>SYVALUE S.L</x:t>
  </x:si>
  <x:si>
    <x:t>25246428</x:t>
  </x:si>
  <x:si>
    <x:t>Renovación De Licencias De Software De Virtualización De Servidores Con Destino A La Subsecretaria Del Ministerio De Hacienda (Subsecretaria De Hacienda)</x:t>
  </x:si>
  <x:si>
    <x:t>CEA5876/2025</x:t>
  </x:si>
  <x:si>
    <x:t>SPAIN MEDIA CONSULTING S.L</x:t>
  </x:si>
  <x:si>
    <x:t>25246497</x:t>
  </x:si>
  <x:si>
    <x:t>MADRID DESTINO CULTURA TURISMO Y NEGOCIO, S.A.</x:t>
  </x:si>
  <x:si>
    <x:t>Patrocinio de la 2º y 3º Edicion del evento Forbes Travel Summit Madrid, de conformidad con lo establecido en el pliego de prescripciones técnicas y en el de cláusulas administrativas particulares</x:t>
  </x:si>
  <x:si>
    <x:t>SP25-00562</x:t>
  </x:si>
  <x:si>
    <x:t>EXCELTUR ALIANZA PARA LA EXCELENCIA TURISTICA</x:t>
  </x:si>
  <x:si>
    <x:t>25246622</x:t>
  </x:si>
  <x:si>
    <x:t>MADRID CULTURA Y TURISMO, S.A.U.</x:t>
  </x:si>
  <x:si>
    <x:t>Patrocinio publicitario del XIII Foro de Liderazgo Turístico de Exceltur 2026 el 20 de enero de 2026 en Madrid</x:t>
  </x:si>
  <x:si>
    <x:t>NSP093/2025</x:t>
  </x:si>
  <x:si>
    <x:t>C.D.ATLETICO TORCAL F.S</x:t>
  </x:si>
  <x:si>
    <x:t>25246682</x:t>
  </x:si>
  <x:si>
    <x:t>EMPRESA PÚBLICA PARA LA GESTIÓN DEL TURISMO Y EL DEPORTE DE ANDALUCÍA, S.A</x:t>
  </x:si>
  <x:si>
    <x:t>Patrocinio Nueces de Ronda Atlético Torcal Futbol Sala Femenino temporada 2025- 2026</x:t>
  </x:si>
  <x:si>
    <x:t>C2N06-05JC-1125-0192</x:t>
  </x:si>
  <x:si>
    <x:t>------</x:t>
  </x:si>
  <x:si>
    <x:t>IRISMEDIA AGENCIA DE MEDIOS S.L</x:t>
  </x:si>
  <x:si>
    <x:t>25246737</x:t>
  </x:si>
  <x:si>
    <x:t>ÁREA DE GOBIERNO DE VICEALCALDÍA, PORTAVOZ, SEGURIDAD Y EMERGENCIAS DEL AYUNTAMIENTO DE MADRID</x:t>
  </x:si>
  <x:si>
    <x:t>Difusión de la campaña Tienda EMT Madrid</x:t>
  </x:si>
  <x:si>
    <x:t>511/2024/09993.1.56</x:t>
  </x:si>
  <x:si>
    <x:t>25246743</x:t>
  </x:si>
  <x:si>
    <x:t>Movilidad navideña</x:t>
  </x:si>
  <x:si>
    <x:t>511/2024/09993.1.55</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</x:si>
</x:sst>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HYPERLINK("https://www.infonalia.es/adjudicaciones1225/25245587.pdf","www.infonalia.es/adjudicaciones1225/25245587.pdf")</x:f>
        <x:v>www.infonalia.es/adjudicaciones1225/25245587.pdf</x:v>
      </x:c>
      <x:c r="E2" s="8" t="s">
        <x:v>14</x:v>
      </x:c>
      <x:c r="F2" s="6" t="s">
        <x:v>15</x:v>
      </x:c>
      <x:c r="G2" s="6" t="s">
        <x:v>16</x:v>
      </x:c>
      <x:c r="H2" s="6" t="s">
        <x:v>17</x:v>
      </x:c>
      <x:c r="I2" s="6" t="s">
        <x:v>18</x:v>
      </x:c>
      <x:c r="J2" s="9" t="n">
        <x:v>2988.00</x:v>
      </x:c>
      <x:c r="K2" s="9" t="n">
        <x:v>3533.06</x:v>
      </x:c>
    </x:row>
    <x:row r="3">
      <x:c r="A3" s="6" t="s">
        <x:v>11</x:v>
      </x:c>
      <x:c r="B3" s="6" t="s">
        <x:v>19</x:v>
      </x:c>
      <x:c r="C3" s="6" t="s">
        <x:v>13</x:v>
      </x:c>
      <x:c r="D3" s="7" t="str">
        <x:f xml:space="preserve">HYPERLINK("https://www.infonalia.es/adjudicaciones1225/25245595.pdf","www.infonalia.es/adjudicaciones1225/25245595.pdf")</x:f>
        <x:v>www.infonalia.es/adjudicaciones1225/25245595.pdf</x:v>
      </x:c>
      <x:c r="E3" s="8" t="s">
        <x:v>20</x:v>
      </x:c>
      <x:c r="F3" s="6" t="s">
        <x:v>21</x:v>
      </x:c>
      <x:c r="G3" s="6" t="s">
        <x:v>22</x:v>
      </x:c>
      <x:c r="H3" s="6" t="s">
        <x:v>23</x:v>
      </x:c>
      <x:c r="I3" s="6" t="s">
        <x:v>18</x:v>
      </x:c>
      <x:c r="J3" s="9" t="n">
        <x:v>37970.00</x:v>
      </x:c>
      <x:c r="K3" s="9" t="n">
        <x:v>45000.00</x:v>
      </x:c>
    </x:row>
    <x:row r="4">
      <x:c r="A4" s="6" t="s">
        <x:v>11</x:v>
      </x:c>
      <x:c r="B4" s="6" t="s">
        <x:v>24</x:v>
      </x:c>
      <x:c r="C4" s="6" t="s">
        <x:v>13</x:v>
      </x:c>
      <x:c r="D4" s="7" t="str">
        <x:f xml:space="preserve">HYPERLINK("https://www.infonalia.es/adjudicaciones1225/25245606.pdf","www.infonalia.es/adjudicaciones1225/25245606.pdf")</x:f>
        <x:v>www.infonalia.es/adjudicaciones1225/25245606.pdf</x:v>
      </x:c>
      <x:c r="E4" s="8" t="s">
        <x:v>25</x:v>
      </x:c>
      <x:c r="F4" s="6" t="s">
        <x:v>26</x:v>
      </x:c>
      <x:c r="G4" s="6" t="s">
        <x:v>27</x:v>
      </x:c>
      <x:c r="H4" s="6" t="s">
        <x:v>28</x:v>
      </x:c>
      <x:c r="I4" s="6" t="s">
        <x:v>29</x:v>
      </x:c>
      <x:c r="J4" s="9" t="n">
        <x:v>8224.92</x:v>
      </x:c>
      <x:c r="K4" s="9" t="n">
        <x:v>8224.92</x:v>
      </x:c>
    </x:row>
    <x:row r="5">
      <x:c r="A5" s="6" t="s">
        <x:v>11</x:v>
      </x:c>
      <x:c r="B5" s="6" t="s">
        <x:v>30</x:v>
      </x:c>
      <x:c r="C5" s="6" t="s">
        <x:v>13</x:v>
      </x:c>
      <x:c r="D5" s="7" t="str">
        <x:f xml:space="preserve">HYPERLINK("https://www.infonalia.es/adjudicaciones1225/25245607.pdf","www.infonalia.es/adjudicaciones1225/25245607.pdf")</x:f>
        <x:v>www.infonalia.es/adjudicaciones1225/25245607.pdf</x:v>
      </x:c>
      <x:c r="E5" s="8" t="s">
        <x:v>31</x:v>
      </x:c>
      <x:c r="F5" s="6" t="s">
        <x:v>32</x:v>
      </x:c>
      <x:c r="G5" s="6" t="s">
        <x:v>33</x:v>
      </x:c>
      <x:c r="H5" s="6" t="s">
        <x:v>34</x:v>
      </x:c>
      <x:c r="I5" s="6" t="s">
        <x:v>35</x:v>
      </x:c>
      <x:c r="J5" s="9" t="s">
        <x:v>36</x:v>
      </x:c>
      <x:c r="K5" s="9" t="n">
        <x:v>103747.27</x:v>
      </x:c>
    </x:row>
    <x:row r="6">
      <x:c r="A6" s="6" t="s">
        <x:v>11</x:v>
      </x:c>
      <x:c r="B6" s="6" t="s">
        <x:v>37</x:v>
      </x:c>
      <x:c r="C6" s="6" t="s">
        <x:v>13</x:v>
      </x:c>
      <x:c r="D6" s="7" t="str">
        <x:f xml:space="preserve">HYPERLINK("https://www.infonalia.es/adjudicaciones1225/25245754.pdf","www.infonalia.es/adjudicaciones1225/25245754.pdf")</x:f>
        <x:v>www.infonalia.es/adjudicaciones1225/25245754.pdf</x:v>
      </x:c>
      <x:c r="E6" s="8" t="s">
        <x:v>38</x:v>
      </x:c>
      <x:c r="F6" s="6" t="s">
        <x:v>39</x:v>
      </x:c>
      <x:c r="G6" s="6" t="s">
        <x:v>40</x:v>
      </x:c>
      <x:c r="H6" s="6" t="s">
        <x:v>41</x:v>
      </x:c>
      <x:c r="I6" s="6" t="s">
        <x:v>18</x:v>
      </x:c>
      <x:c r="J6" s="9" t="n">
        <x:v>43009.50</x:v>
      </x:c>
      <x:c r="K6" s="9" t="n">
        <x:v>44250.00</x:v>
      </x:c>
    </x:row>
    <x:row r="7">
      <x:c r="A7" s="6" t="s">
        <x:v>11</x:v>
      </x:c>
      <x:c r="B7" s="6" t="s">
        <x:v>42</x:v>
      </x:c>
      <x:c r="C7" s="6" t="s">
        <x:v>13</x:v>
      </x:c>
      <x:c r="D7" s="7" t="str">
        <x:f xml:space="preserve">HYPERLINK("https://www.infonalia.es/adjudicaciones1225/25245781.pdf","www.infonalia.es/adjudicaciones1225/25245781.pdf")</x:f>
        <x:v>www.infonalia.es/adjudicaciones1225/25245781.pdf</x:v>
      </x:c>
      <x:c r="E7" s="8" t="s">
        <x:v>43</x:v>
      </x:c>
      <x:c r="F7" s="6" t="s">
        <x:v>44</x:v>
      </x:c>
      <x:c r="G7" s="6" t="s">
        <x:v>45</x:v>
      </x:c>
      <x:c r="H7" s="6" t="s">
        <x:v>46</x:v>
      </x:c>
      <x:c r="I7" s="6" t="s">
        <x:v>18</x:v>
      </x:c>
      <x:c r="J7" s="9" t="s">
        <x:v>36</x:v>
      </x:c>
      <x:c r="K7" s="9" t="n">
        <x:v>3054600.00</x:v>
      </x:c>
    </x:row>
    <x:row r="8">
      <x:c r="A8" s="6" t="s">
        <x:v>11</x:v>
      </x:c>
      <x:c r="B8" s="6" t="s">
        <x:v>47</x:v>
      </x:c>
      <x:c r="C8" s="6" t="s">
        <x:v>13</x:v>
      </x:c>
      <x:c r="D8" s="7" t="str">
        <x:f xml:space="preserve">HYPERLINK("https://www.infonalia.es/adjudicaciones1225/25245926.pdf","www.infonalia.es/adjudicaciones1225/25245926.pdf")</x:f>
        <x:v>www.infonalia.es/adjudicaciones1225/25245926.pdf</x:v>
      </x:c>
      <x:c r="E8" s="8" t="s">
        <x:v>48</x:v>
      </x:c>
      <x:c r="F8" s="6" t="s">
        <x:v>49</x:v>
      </x:c>
      <x:c r="G8" s="6" t="s">
        <x:v>50</x:v>
      </x:c>
      <x:c r="H8" s="6" t="s">
        <x:v>51</x:v>
      </x:c>
      <x:c r="I8" s="6" t="s">
        <x:v>52</x:v>
      </x:c>
      <x:c r="J8" s="9" t="n">
        <x:v>44460.00</x:v>
      </x:c>
      <x:c r="K8" s="9" t="n">
        <x:v>62160.00</x:v>
      </x:c>
    </x:row>
    <x:row r="9">
      <x:c r="A9" s="6" t="s">
        <x:v>11</x:v>
      </x:c>
      <x:c r="B9" s="6" t="s">
        <x:v>53</x:v>
      </x:c>
      <x:c r="C9" s="6" t="s">
        <x:v>13</x:v>
      </x:c>
      <x:c r="D9" s="7" t="str">
        <x:f xml:space="preserve">HYPERLINK("https://www.infonalia.es/adjudicaciones1225/25246056.pdf","www.infonalia.es/adjudicaciones1225/25246056.pdf")</x:f>
        <x:v>www.infonalia.es/adjudicaciones1225/25246056.pdf</x:v>
      </x:c>
      <x:c r="E9" s="8" t="s">
        <x:v>54</x:v>
      </x:c>
      <x:c r="F9" s="6" t="s">
        <x:v>55</x:v>
      </x:c>
      <x:c r="G9" s="6" t="s">
        <x:v>56</x:v>
      </x:c>
      <x:c r="H9" s="6" t="s">
        <x:v>57</x:v>
      </x:c>
      <x:c r="I9" s="6" t="s">
        <x:v>18</x:v>
      </x:c>
      <x:c r="J9" s="9" t="n">
        <x:v>2215932.78</x:v>
      </x:c>
      <x:c r="K9" s="9" t="n">
        <x:v>2252463.99</x:v>
      </x:c>
    </x:row>
    <x:row r="10">
      <x:c r="A10" s="6" t="s">
        <x:v>11</x:v>
      </x:c>
      <x:c r="B10" s="6" t="s">
        <x:v>58</x:v>
      </x:c>
      <x:c r="C10" s="6" t="s">
        <x:v>13</x:v>
      </x:c>
      <x:c r="D10" s="7" t="str">
        <x:f xml:space="preserve">HYPERLINK("https://www.infonalia.es/adjudicaciones1225/25246076.pdf","www.infonalia.es/adjudicaciones1225/25246076.pdf")</x:f>
        <x:v>www.infonalia.es/adjudicaciones1225/25246076.pdf</x:v>
      </x:c>
      <x:c r="E10" s="8" t="s">
        <x:v>59</x:v>
      </x:c>
      <x:c r="F10" s="6" t="s">
        <x:v>60</x:v>
      </x:c>
      <x:c r="G10" s="6" t="s">
        <x:v>61</x:v>
      </x:c>
      <x:c r="H10" s="6" t="s">
        <x:v>62</x:v>
      </x:c>
      <x:c r="I10" s="6" t="s">
        <x:v>52</x:v>
      </x:c>
      <x:c r="J10" s="9" t="n">
        <x:v>275000.00</x:v>
      </x:c>
      <x:c r="K10" s="9" t="n">
        <x:v>404262.38</x:v>
      </x:c>
    </x:row>
    <x:row r="11">
      <x:c r="A11" s="6" t="s">
        <x:v>11</x:v>
      </x:c>
      <x:c r="B11" s="6" t="s">
        <x:v>63</x:v>
      </x:c>
      <x:c r="C11" s="6" t="s">
        <x:v>13</x:v>
      </x:c>
      <x:c r="D11" s="7" t="str">
        <x:f xml:space="preserve">HYPERLINK("https://www.infonalia.es/adjudicaciones1225/25246211.pdf","www.infonalia.es/adjudicaciones1225/25246211.pdf")</x:f>
        <x:v>www.infonalia.es/adjudicaciones1225/25246211.pdf</x:v>
      </x:c>
      <x:c r="E11" s="8" t="s">
        <x:v>64</x:v>
      </x:c>
      <x:c r="F11" s="6" t="s">
        <x:v>65</x:v>
      </x:c>
      <x:c r="G11" s="6" t="s">
        <x:v>66</x:v>
      </x:c>
      <x:c r="H11" s="6" t="s">
        <x:v>67</x:v>
      </x:c>
      <x:c r="I11" s="6" t="s">
        <x:v>18</x:v>
      </x:c>
      <x:c r="J11" s="9" t="n">
        <x:v>31249.97</x:v>
      </x:c>
      <x:c r="K11" s="9" t="n">
        <x:v>34722.19</x:v>
      </x:c>
    </x:row>
    <x:row r="12">
      <x:c r="A12" s="6" t="s">
        <x:v>11</x:v>
      </x:c>
      <x:c r="B12" s="6" t="s">
        <x:v>68</x:v>
      </x:c>
      <x:c r="C12" s="6" t="s">
        <x:v>13</x:v>
      </x:c>
      <x:c r="D12" s="7" t="str">
        <x:f xml:space="preserve">HYPERLINK("https://www.infonalia.es/adjudicaciones1225/25246230.pdf","www.infonalia.es/adjudicaciones1225/25246230.pdf")</x:f>
        <x:v>www.infonalia.es/adjudicaciones1225/25246230.pdf</x:v>
      </x:c>
      <x:c r="E12" s="8" t="s">
        <x:v>69</x:v>
      </x:c>
      <x:c r="F12" s="6" t="s">
        <x:v>70</x:v>
      </x:c>
      <x:c r="G12" s="6" t="s">
        <x:v>71</x:v>
      </x:c>
      <x:c r="H12" s="6" t="s">
        <x:v>72</x:v>
      </x:c>
      <x:c r="I12" s="6" t="s">
        <x:v>52</x:v>
      </x:c>
      <x:c r="J12" s="9" t="n">
        <x:v>44651.63</x:v>
      </x:c>
      <x:c r="K12" s="9" t="n">
        <x:v>59615.00</x:v>
      </x:c>
    </x:row>
    <x:row r="13">
      <x:c r="A13" s="6" t="s">
        <x:v>11</x:v>
      </x:c>
      <x:c r="B13" s="6" t="s">
        <x:v>73</x:v>
      </x:c>
      <x:c r="C13" s="6" t="s">
        <x:v>13</x:v>
      </x:c>
      <x:c r="D13" s="7" t="str">
        <x:f xml:space="preserve">HYPERLINK("https://www.infonalia.es/adjudicaciones1225/25246396.pdf","www.infonalia.es/adjudicaciones1225/25246396.pdf")</x:f>
        <x:v>www.infonalia.es/adjudicaciones1225/25246396.pdf</x:v>
      </x:c>
      <x:c r="E13" s="8" t="s">
        <x:v>74</x:v>
      </x:c>
      <x:c r="F13" s="6" t="s">
        <x:v>75</x:v>
      </x:c>
      <x:c r="G13" s="6" t="s">
        <x:v>76</x:v>
      </x:c>
      <x:c r="H13" s="6" t="s">
        <x:v>77</x:v>
      </x:c>
      <x:c r="I13" s="6" t="s">
        <x:v>78</x:v>
      </x:c>
      <x:c r="J13" s="9" t="s">
        <x:v>36</x:v>
      </x:c>
      <x:c r="K13" s="9" t="n">
        <x:v>125286.00</x:v>
      </x:c>
    </x:row>
    <x:row r="14">
      <x:c r="A14" s="6" t="s">
        <x:v>11</x:v>
      </x:c>
      <x:c r="B14" s="6" t="s">
        <x:v>79</x:v>
      </x:c>
      <x:c r="C14" s="6" t="s">
        <x:v>13</x:v>
      </x:c>
      <x:c r="D14" s="7" t="str">
        <x:f xml:space="preserve">HYPERLINK("https://www.infonalia.es/adjudicaciones1225/25246405.pdf","www.infonalia.es/adjudicaciones1225/25246405.pdf")</x:f>
        <x:v>www.infonalia.es/adjudicaciones1225/25246405.pdf</x:v>
      </x:c>
      <x:c r="E14" s="8" t="s">
        <x:v>80</x:v>
      </x:c>
      <x:c r="F14" s="6" t="s">
        <x:v>81</x:v>
      </x:c>
      <x:c r="G14" s="6" t="s">
        <x:v>82</x:v>
      </x:c>
      <x:c r="H14" s="6" t="s">
        <x:v>83</x:v>
      </x:c>
      <x:c r="I14" s="6" t="s">
        <x:v>52</x:v>
      </x:c>
      <x:c r="J14" s="9" t="n">
        <x:v>4745499.00</x:v>
      </x:c>
      <x:c r="K14" s="9" t="n">
        <x:v>4746649.44</x:v>
      </x:c>
    </x:row>
    <x:row r="15">
      <x:c r="A15" s="6" t="s">
        <x:v>11</x:v>
      </x:c>
      <x:c r="B15" s="6" t="s">
        <x:v>84</x:v>
      </x:c>
      <x:c r="C15" s="6" t="s">
        <x:v>13</x:v>
      </x:c>
      <x:c r="D15" s="7" t="str">
        <x:f xml:space="preserve">HYPERLINK("https://www.infonalia.es/adjudicaciones1225/25246407.pdf","www.infonalia.es/adjudicaciones1225/25246407.pdf")</x:f>
        <x:v>www.infonalia.es/adjudicaciones1225/25246407.pdf</x:v>
      </x:c>
      <x:c r="E15" s="8" t="s">
        <x:v>85</x:v>
      </x:c>
      <x:c r="F15" s="6" t="s">
        <x:v>81</x:v>
      </x:c>
      <x:c r="G15" s="6" t="s">
        <x:v>86</x:v>
      </x:c>
      <x:c r="H15" s="6" t="s">
        <x:v>87</x:v>
      </x:c>
      <x:c r="I15" s="6" t="s">
        <x:v>52</x:v>
      </x:c>
      <x:c r="J15" s="9" t="n">
        <x:v>8800000.00</x:v>
      </x:c>
      <x:c r="K15" s="9" t="n">
        <x:v>9000000.00</x:v>
      </x:c>
    </x:row>
    <x:row r="16">
      <x:c r="A16" s="6" t="s">
        <x:v>11</x:v>
      </x:c>
      <x:c r="B16" s="6" t="s">
        <x:v>88</x:v>
      </x:c>
      <x:c r="C16" s="6" t="s">
        <x:v>13</x:v>
      </x:c>
      <x:c r="D16" s="7" t="str">
        <x:f xml:space="preserve">HYPERLINK("https://www.infonalia.es/adjudicaciones1225/25246416.pdf","www.infonalia.es/adjudicaciones1225/25246416.pdf")</x:f>
        <x:v>www.infonalia.es/adjudicaciones1225/25246416.pdf</x:v>
      </x:c>
      <x:c r="E16" s="8" t="s">
        <x:v>89</x:v>
      </x:c>
      <x:c r="F16" s="6" t="s">
        <x:v>81</x:v>
      </x:c>
      <x:c r="G16" s="6" t="s">
        <x:v>90</x:v>
      </x:c>
      <x:c r="H16" s="6" t="s">
        <x:v>91</x:v>
      </x:c>
      <x:c r="I16" s="6" t="s">
        <x:v>52</x:v>
      </x:c>
      <x:c r="J16" s="9" t="n">
        <x:v>47127589.93</x:v>
      </x:c>
      <x:c r="K16" s="9" t="n">
        <x:v>47128500.00</x:v>
      </x:c>
    </x:row>
    <x:row r="17">
      <x:c r="A17" s="6" t="s">
        <x:v>11</x:v>
      </x:c>
      <x:c r="B17" s="6" t="s">
        <x:v>92</x:v>
      </x:c>
      <x:c r="C17" s="6" t="s">
        <x:v>13</x:v>
      </x:c>
      <x:c r="D17" s="7" t="str">
        <x:f xml:space="preserve">HYPERLINK("https://www.infonalia.es/adjudicaciones1225/25246422.pdf","www.infonalia.es/adjudicaciones1225/25246422.pdf")</x:f>
        <x:v>www.infonalia.es/adjudicaciones1225/25246422.pdf</x:v>
      </x:c>
      <x:c r="E17" s="8" t="s">
        <x:v>93</x:v>
      </x:c>
      <x:c r="F17" s="6" t="s">
        <x:v>81</x:v>
      </x:c>
      <x:c r="G17" s="6" t="s">
        <x:v>94</x:v>
      </x:c>
      <x:c r="H17" s="6" t="s">
        <x:v>95</x:v>
      </x:c>
      <x:c r="I17" s="6" t="s">
        <x:v>52</x:v>
      </x:c>
      <x:c r="J17" s="9" t="n">
        <x:v>298000.00</x:v>
      </x:c>
      <x:c r="K17" s="9" t="n">
        <x:v>300000.00</x:v>
      </x:c>
    </x:row>
    <x:row r="18">
      <x:c r="A18" s="6" t="s">
        <x:v>11</x:v>
      </x:c>
      <x:c r="B18" s="6" t="s">
        <x:v>96</x:v>
      </x:c>
      <x:c r="C18" s="6" t="s">
        <x:v>13</x:v>
      </x:c>
      <x:c r="D18" s="7" t="str">
        <x:f xml:space="preserve">HYPERLINK("https://www.infonalia.es/adjudicaciones1225/25246426.pdf","www.infonalia.es/adjudicaciones1225/25246426.pdf")</x:f>
        <x:v>www.infonalia.es/adjudicaciones1225/25246426.pdf</x:v>
      </x:c>
      <x:c r="E18" s="8" t="s">
        <x:v>97</x:v>
      </x:c>
      <x:c r="F18" s="6" t="s">
        <x:v>81</x:v>
      </x:c>
      <x:c r="G18" s="6" t="s">
        <x:v>98</x:v>
      </x:c>
      <x:c r="H18" s="6" t="s">
        <x:v>99</x:v>
      </x:c>
      <x:c r="I18" s="6" t="s">
        <x:v>52</x:v>
      </x:c>
      <x:c r="J18" s="9" t="n">
        <x:v>156185.59</x:v>
      </x:c>
      <x:c r="K18" s="9" t="n">
        <x:v>160088.80</x:v>
      </x:c>
    </x:row>
    <x:row r="19">
      <x:c r="A19" s="6" t="s">
        <x:v>11</x:v>
      </x:c>
      <x:c r="B19" s="6" t="s">
        <x:v>100</x:v>
      </x:c>
      <x:c r="C19" s="6" t="s">
        <x:v>13</x:v>
      </x:c>
      <x:c r="D19" s="7" t="str">
        <x:f xml:space="preserve">HYPERLINK("https://www.infonalia.es/adjudicaciones1225/25246428.pdf","www.infonalia.es/adjudicaciones1225/25246428.pdf")</x:f>
        <x:v>www.infonalia.es/adjudicaciones1225/25246428.pdf</x:v>
      </x:c>
      <x:c r="E19" s="8" t="s">
        <x:v>101</x:v>
      </x:c>
      <x:c r="F19" s="6" t="s">
        <x:v>81</x:v>
      </x:c>
      <x:c r="G19" s="6" t="s">
        <x:v>102</x:v>
      </x:c>
      <x:c r="H19" s="6" t="s">
        <x:v>103</x:v>
      </x:c>
      <x:c r="I19" s="6" t="s">
        <x:v>52</x:v>
      </x:c>
      <x:c r="J19" s="9" t="n">
        <x:v>1016359.15</x:v>
      </x:c>
      <x:c r="K19" s="9" t="n">
        <x:v>1020000.00</x:v>
      </x:c>
    </x:row>
    <x:row r="20">
      <x:c r="A20" s="6" t="s">
        <x:v>11</x:v>
      </x:c>
      <x:c r="B20" s="6" t="s">
        <x:v>104</x:v>
      </x:c>
      <x:c r="C20" s="6" t="s">
        <x:v>13</x:v>
      </x:c>
      <x:c r="D20" s="7" t="str">
        <x:f xml:space="preserve">HYPERLINK("https://www.infonalia.es/adjudicaciones1225/25246497.pdf","www.infonalia.es/adjudicaciones1225/25246497.pdf")</x:f>
        <x:v>www.infonalia.es/adjudicaciones1225/25246497.pdf</x:v>
      </x:c>
      <x:c r="E20" s="8" t="s">
        <x:v>105</x:v>
      </x:c>
      <x:c r="F20" s="6" t="s">
        <x:v>106</x:v>
      </x:c>
      <x:c r="G20" s="6" t="s">
        <x:v>107</x:v>
      </x:c>
      <x:c r="H20" s="6" t="s">
        <x:v>108</x:v>
      </x:c>
      <x:c r="I20" s="6" t="s">
        <x:v>52</x:v>
      </x:c>
      <x:c r="J20" s="9" t="n">
        <x:v>29900.00</x:v>
      </x:c>
      <x:c r="K20" s="9" t="n">
        <x:v>29900.00</x:v>
      </x:c>
    </x:row>
    <x:row r="21">
      <x:c r="A21" s="6" t="s">
        <x:v>11</x:v>
      </x:c>
      <x:c r="B21" s="6" t="s">
        <x:v>109</x:v>
      </x:c>
      <x:c r="C21" s="6" t="s">
        <x:v>13</x:v>
      </x:c>
      <x:c r="D21" s="7" t="str">
        <x:f xml:space="preserve">HYPERLINK("https://www.infonalia.es/adjudicaciones1225/25246622.pdf","www.infonalia.es/adjudicaciones1225/25246622.pdf")</x:f>
        <x:v>www.infonalia.es/adjudicaciones1225/25246622.pdf</x:v>
      </x:c>
      <x:c r="E21" s="8" t="s">
        <x:v>110</x:v>
      </x:c>
      <x:c r="F21" s="6" t="s">
        <x:v>111</x:v>
      </x:c>
      <x:c r="G21" s="6" t="s">
        <x:v>112</x:v>
      </x:c>
      <x:c r="H21" s="6" t="s">
        <x:v>113</x:v>
      </x:c>
      <x:c r="I21" s="6" t="s">
        <x:v>52</x:v>
      </x:c>
      <x:c r="J21" s="9" t="n">
        <x:v>50000.00</x:v>
      </x:c>
      <x:c r="K21" s="9" t="n">
        <x:v>50000.00</x:v>
      </x:c>
    </x:row>
    <x:row r="22">
      <x:c r="A22" s="6" t="s">
        <x:v>11</x:v>
      </x:c>
      <x:c r="B22" s="6" t="s">
        <x:v>114</x:v>
      </x:c>
      <x:c r="C22" s="6" t="s">
        <x:v>13</x:v>
      </x:c>
      <x:c r="D22" s="7" t="str">
        <x:f xml:space="preserve">HYPERLINK("https://www.infonalia.es/adjudicaciones1225/25246682.pdf","www.infonalia.es/adjudicaciones1225/25246682.pdf")</x:f>
        <x:v>www.infonalia.es/adjudicaciones1225/25246682.pdf</x:v>
      </x:c>
      <x:c r="E22" s="8" t="s">
        <x:v>115</x:v>
      </x:c>
      <x:c r="F22" s="6" t="s">
        <x:v>116</x:v>
      </x:c>
      <x:c r="G22" s="6" t="s">
        <x:v>117</x:v>
      </x:c>
      <x:c r="H22" s="6" t="s">
        <x:v>118</x:v>
      </x:c>
      <x:c r="I22" s="6" t="s">
        <x:v>119</x:v>
      </x:c>
      <x:c r="J22" s="9" t="n">
        <x:v>50351.23</x:v>
      </x:c>
      <x:c r="K22" s="9" t="n">
        <x:v>50351.23</x:v>
      </x:c>
    </x:row>
    <x:row r="23">
      <x:c r="A23" s="6" t="s">
        <x:v>11</x:v>
      </x:c>
      <x:c r="B23" s="6" t="s">
        <x:v>120</x:v>
      </x:c>
      <x:c r="C23" s="6" t="s">
        <x:v>13</x:v>
      </x:c>
      <x:c r="D23" s="7" t="str">
        <x:f xml:space="preserve">HYPERLINK("https://www.infonalia.es/adjudicaciones1225/25246737.pdf","www.infonalia.es/adjudicaciones1225/25246737.pdf")</x:f>
        <x:v>www.infonalia.es/adjudicaciones1225/25246737.pdf</x:v>
      </x:c>
      <x:c r="E23" s="8" t="s">
        <x:v>121</x:v>
      </x:c>
      <x:c r="F23" s="6" t="s">
        <x:v>122</x:v>
      </x:c>
      <x:c r="G23" s="6" t="s">
        <x:v>123</x:v>
      </x:c>
      <x:c r="H23" s="6" t="s">
        <x:v>124</x:v>
      </x:c>
      <x:c r="I23" s="6" t="s">
        <x:v>52</x:v>
      </x:c>
      <x:c r="J23" s="9" t="n">
        <x:v>25000.00</x:v>
      </x:c>
      <x:c r="K23" s="9" t="n">
        <x:v>25000.00</x:v>
      </x:c>
    </x:row>
    <x:row r="24">
      <x:c r="A24" s="6" t="s">
        <x:v>11</x:v>
      </x:c>
      <x:c r="B24" s="6" t="s">
        <x:v>120</x:v>
      </x:c>
      <x:c r="C24" s="6" t="s">
        <x:v>13</x:v>
      </x:c>
      <x:c r="D24" s="7" t="str">
        <x:f xml:space="preserve">HYPERLINK("https://www.infonalia.es/adjudicaciones1225/25246743.pdf","www.infonalia.es/adjudicaciones1225/25246743.pdf")</x:f>
        <x:v>www.infonalia.es/adjudicaciones1225/25246743.pdf</x:v>
      </x:c>
      <x:c r="E24" s="8" t="s">
        <x:v>125</x:v>
      </x:c>
      <x:c r="F24" s="6" t="s">
        <x:v>122</x:v>
      </x:c>
      <x:c r="G24" s="6" t="s">
        <x:v>126</x:v>
      </x:c>
      <x:c r="H24" s="6" t="s">
        <x:v>127</x:v>
      </x:c>
      <x:c r="I24" s="6" t="s">
        <x:v>52</x:v>
      </x:c>
      <x:c r="J24" s="9" t="n">
        <x:v>250000.00</x:v>
      </x:c>
      <x:c r="K24" s="9" t="n">
        <x:v>250000.00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