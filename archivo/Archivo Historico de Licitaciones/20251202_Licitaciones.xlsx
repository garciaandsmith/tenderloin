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Licitaciones" sheetId="1" r:id="rId1"/>
  </x:sheets>
  <x:definedNames>
    <x:definedName name="_xlnm._FilterDatabase" localSheetId="0" hidden="1">Licitaciones!$A$1:$Q$1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<x:sst xmlns:x="http://schemas.openxmlformats.org/spreadsheetml/2006/main" count="17" uniqueCount="17">
  <x:si>
    <x:t>TipoDato</x:t>
  </x:si>
  <x:si>
    <x:t>CodigoBoletin</x:t>
  </x:si>
  <x:si>
    <x:t>PlazoPresentacionFecha</x:t>
  </x:si>
  <x:si>
    <x:t>Referencia</x:t>
  </x:si>
  <x:si>
    <x:t>FechaIntroduccion</x:t>
  </x:si>
  <x:si>
    <x:t>OrganismoConvocante</x:t>
  </x:si>
  <x:si>
    <x:t>Objeto</x:t>
  </x:si>
  <x:si>
    <x:t>Nº Expediente</x:t>
  </x:si>
  <x:si>
    <x:t>Presupuesto</x:t>
  </x:si>
  <x:si>
    <x:t>PresupuestoVarios</x:t>
  </x:si>
  <x:si>
    <x:t>PlazoPresentacionVarios</x:t>
  </x:si>
  <x:si>
    <x:t>InformacionWeb</x:t>
  </x:si>
  <x:si>
    <x:t>PublicacionNumero</x:t>
  </x:si>
  <x:si>
    <x:t>PublicacionFecha</x:t>
  </x:si>
  <x:si>
    <x:t>Observaciones</x:t>
  </x:si>
  <x:si>
    <x:t>LugarEjecucion</x:t>
  </x:si>
  <x:si>
    <x:t>Anuncio</x:t>
  </x:si>
  <x:si>
    <x:t>Concurso</x:t>
  </x:si>
  <x:si>
    <x:t>Plataforma de Contratación del Estado</x:t>
  </x:si>
  <x:si>
    <x:t>29/12/2025</x:t>
  </x:si>
  <x:si>
    <x:t>2025171512</x:t>
  </x:si>
  <x:si>
    <x:t>02/12/2025</x:t>
  </x:si>
  <x:si>
    <x:t>BARCELONA D'INFRAESTRUCTURES MUNICIPALS SA</x:t>
  </x:si>
  <x:si>
    <x:t>El objeto del presente contrato comprende las labores de análisis, elaboración e implantación de los planes de información y movilidad alternativa, así como el diseño y seguimiento de la producción y la implantación de los elementos gráficos y señalética necesaria. El seguimiento y control de la implantación y la imagen de las obras, que incluirá las tareas de recogida de datos e imágenes “in situ” en la misma obra, la integración de estos datos en el sistema informático de BIMSA y la gestión de las acciones correctivas derivadas de este seguimiento y el asesoramiento en materia de comunicación de obras y estrategia comunicativa</x:t>
  </x:si>
  <x:si>
    <x:t>999.2025.050</x:t>
  </x:si>
  <x:si>
    <x:t>Importe sin impuestos</x:t>
  </x:si>
  <x:si>
    <x:t/>
  </x:si>
  <x:si>
    <x:t>-----</x:t>
  </x:si>
  <x:si>
    <x:t>01/12/2025</x:t>
  </x:si>
  <x:si>
    <x:t/>
  </x:si>
  <x:si>
    <x:t>Barcelona</x:t>
  </x:si>
  <x:si>
    <x:t>17/12/2025</x:t>
  </x:si>
  <x:si>
    <x:t>2025171543</x:t>
  </x:si>
  <x:si>
    <x:t>CONSORCI SANITARI DE TERRASSA</x:t>
  </x:si>
  <x:si>
    <x:t>Servicio de la realización de material audiovisual en diferentes formatos y soportes para la difusión y formación vinculada a los proyectos VERA, PRISMA, DIANA y AREQUIPA para el Consorci Sanitari de Terrassa</x:t>
  </x:si>
  <x:si>
    <x:t>CST 25-27 SUP-SE</x:t>
  </x:si>
  <x:si>
    <x:t/>
  </x:si>
  <x:si>
    <x:t>2025171579</x:t>
  </x:si>
  <x:si>
    <x:t>AYUNTAMIENTO DE BEGUR (GIRONA)</x:t>
  </x:si>
  <x:si>
    <x:t>Licitación para la adjudicación, mediante procedimiento abierto, del contrato de servicios de gestión y programación de la sala de Cine Casino Espai Cultural del municipio de Begur</x:t>
  </x:si>
  <x:si>
    <x:t>2025/2797</x:t>
  </x:si>
  <x:si>
    <x:t/>
  </x:si>
  <x:si>
    <x:t>Girona</x:t>
  </x:si>
  <x:si>
    <x:t>16/12/2025</x:t>
  </x:si>
  <x:si>
    <x:t>2025171816</x:t>
  </x:si>
  <x:si>
    <x:t>INSTITUT D'ESTUDIS ESPACIALS DE CATALUNYA</x:t>
  </x:si>
  <x:si>
    <x:t>El contrato tiene por objeto los servicios de grabación, montaje y edición de vídeos sobre los actos y eventos organizados por el IEEC en Cataluña, así como sobre los proyectos, servicios, actos, eventos e iniciativas en los que el Instituto tiene una participación destacada</x:t>
  </x:si>
  <x:si>
    <x:t>IEEC/45/2025</x:t>
  </x:si>
  <x:si>
    <x:t/>
  </x:si>
  <x:si>
    <x:t>Catalunya</x:t>
  </x:si>
  <x:si>
    <x:t>15/12/2025</x:t>
  </x:si>
  <x:si>
    <x:t>2025171831</x:t>
  </x:si>
  <x:si>
    <x:t>SECRETARÍA GENERAL DE LA FUNDACIÓN INTERNACIONAL Y PARA IBEROAMÉRICA DE ADMINISTRACIÓN POLÍTICAS PÚBLICAS</x:t>
  </x:si>
  <x:si>
    <x:t>Suministro en régimen de adquisición y entrega de equipos de seguimiento y vigilancia y accesorios, equipos de fotografía y accesorios, definidos en el PPT, con especial atención a la mejor calidad – precio y a la garantía por plazo de dos años. Lote 1: Lentes para cámaras fotográficas, Cuerpos de cámaras fotográficas, Aparatos de grabación o reproducción de vídeo y accesorios. Lote 2: Cargadores de baterías y Baterías. Lote 3: Drones y balizas. Lote 4: Sistemas de navegación y posicionamiento globales (GPS o equivalentes) y Sistema de vigilancia en circuito cerrado. Lote 5: Herramientas electromecánicas de uso manual. Lote 6: Equipo de red</x:t>
  </x:si>
  <x:si>
    <x:t>SPD-2025-045</x:t>
  </x:si>
  <x:si>
    <x:t/>
  </x:si>
  <x:si>
    <x:t>Madrid</x:t>
  </x:si>
  <x:si>
    <x:t>Barcelona. Perfil del Contratante del Ayuntamiento</x:t>
  </x:si>
  <x:si>
    <x:t>09/12/2025</x:t>
  </x:si>
  <x:si>
    <x:t>2025171904</x:t>
  </x:si>
  <x:si>
    <x:t>AYUNTAMIENTO DE BARCELONA</x:t>
  </x:si>
  <x:si>
    <x:t>Servicio de soporte para la revisión, validación de cumplimiento y seguimiento de las políticas de marca definidas por la Dirección de Comunicación del Ayuntamiento de Barcelona.</x:t>
  </x:si>
  <x:si>
    <x:t>001_P2503272</x:t>
  </x:si>
  <x:si>
    <x:t/>
  </x:si>
  <x:si>
    <x:t/>
  </x:si>
  <x:si>
    <x:t>2025171906</x:t>
  </x:si>
  <x:si>
    <x:t>Asesoramiento técnico y soporte en la elaboración de pliegos relacionados con la dirección de servicios editoriales del Ayuntamiento de Barcelona.</x:t>
  </x:si>
  <x:si>
    <x:t>001_P2503314</x:t>
  </x:si>
  <x:si>
    <x:t/>
  </x:si>
  <x:si>
    <x:t/>
  </x:si>
  <x:si>
    <x:t>Catalunya - Plataforma de Contratación</x:t>
  </x:si>
  <x:si>
    <x:t>2025171937</x:t>
  </x:si>
  <x:si>
    <x:t>AYUNTAMIENTO DE BERGA (BARCELONA)</x:t>
  </x:si>
  <x:si>
    <x:t>Contrato administrativo de servicio que tiene por objeto una solución digital para la promoción turística de Berga y la fiesta de la patum, para poder determinar la mejor solución existente en el mercado</x:t>
  </x:si>
  <x:si>
    <x:t>6456/2025</x:t>
  </x:si>
  <x:si>
    <x:t>Ver texto íntegro del anuncio</x:t>
  </x:si>
  <x:si>
    <x:t/>
  </x:si>
  <x:si>
    <x:t/>
  </x:si>
  <x:si>
    <x:t>12/01/2026</x:t>
  </x:si>
  <x:si>
    <x:t>2025172023</x:t>
  </x:si>
  <x:si>
    <x:t>PRESIDENCIA DEL INSTITUTO VALENCIANO DE COMPETITIVIDAD EMPRESARIAL (IVACE)</x:t>
  </x:si>
  <x:si>
    <x:t>Servicio de asesoramiento y apoyo en destino a las empresas de la Comunitat Valenciana para su internacionalización en los países que integran el Mercosur</x:t>
  </x:si>
  <x:si>
    <x:t>IVACE13/2025</x:t>
  </x:si>
  <x:si>
    <x:t/>
  </x:si>
  <x:si>
    <x:t>Argentina</x:t>
  </x:si>
  <x:si>
    <x:t>2025172045</x:t>
  </x:si>
  <x:si>
    <x:t>AYUNTAMIENTO DE SANT VICENÇ DELS HORTS (BARCELONA)</x:t>
  </x:si>
  <x:si>
    <x:t>El objeto del contrato es la realización de los trabajos de fotografía de los actos y eventos institucionales, sociales, culturales, y de protocolo y todos aquellos que el Ayuntamiento de Sant Vicenç dels Horts considere de interés para el municipio de Sant Vicenç dels Horts, así como de la realización y postproducción del servicio de vídeos de la Muestra Comercial, Agrícola y Gastronómica. lote 1 actos institucionales y protocolarios, lote 2 fiestas tradicionales, fiestas mayores y actos entidades, lote 3 La Muestra Comercial, Agrícola y Gastronómica.</x:t>
  </x:si>
  <x:si>
    <x:t>CTON2025000026</x:t>
  </x:si>
  <x:si>
    <x:t/>
  </x:si>
  <x:si>
    <x:t>2025172090</x:t>
  </x:si>
  <x:si>
    <x:t>JUNTA DE GOBIERNO DEL AYUNTAMIENTO DE BOADILLA DEL MONTE (MADRID)</x:t>
  </x:si>
  <x:si>
    <x:t>Desarrollo del Servicio de marketing digital del Ayuntamiento de Boadilla del Monte</x:t>
  </x:si>
  <x:si>
    <x:t>EC/58/2025</x:t>
  </x:si>
  <x:si>
    <x:t/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</x:si>
</x:sst>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5">
    <xf numFmtId="0" fontId="0" fillId="0" borderId="0" xfId="0"/>
    <xf numFmtId="0" fontId="1" fillId="0" borderId="0" xfId="0" applyFont="1" applyAlignment="1" applyProtection="1">
      <alignment vertical="center" wrapText="1"/>
    </xf>
    <xf numFmtId="0" fontId="1" fillId="0" borderId="0" xfId="0" applyFont="1" applyAlignment="1" applyProtection="1">
      <alignment horizontal="center" vertical="center" wrapText="1"/>
    </xf>
    <xf numFmtId="0" fontId="1" fillId="0" borderId="0" xfId="0" applyFont="1" applyAlignment="1" applyProtection="1">
      <alignment vertical="center"/>
    </xf>
    <xf numFmtId="0" fontId="2" fillId="2" borderId="1" xfId="0" applyFont="1" applyFill="1" applyBorder="1" applyAlignment="1" applyProtection="1">
      <alignment horizontal="center" vertical="center" wrapText="1"/>
    </xf>
    <xf numFmtId="0" fontId="1" fillId="0" borderId="0" xfId="0" applyFont="1" applyAlignment="1" applyProtection="1">
      <alignment horizontal="center" vertical="center"/>
    </xf>
    <xf numFmtId="0" fontId="1" fillId="0" borderId="1" xfId="0" applyFont="1" applyBorder="1" applyAlignment="1" applyProtection="1">
      <alignment vertical="center" wrapText="1"/>
    </xf>
    <xf numFmtId="14" fontId="1" fillId="0" borderId="1" xfId="0" applyNumberFormat="1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14" fontId="1" fillId="0" borderId="1" xfId="0" applyNumberFormat="1" applyFont="1" applyBorder="1" applyAlignment="1" applyProtection="1">
      <alignment vertical="center" wrapText="1"/>
    </xf>
    <xf numFmtId="164" fontId="1" fillId="0" borderId="2" xfId="0" applyNumberFormat="1" applyFont="1" applyBorder="1" applyAlignment="1" applyProtection="1">
      <alignment vertical="center" wrapText="1"/>
    </xf>
    <xf numFmtId="0" fontId="1" fillId="0" borderId="2" xfId="0" applyFont="1" applyBorder="1" applyAlignment="1" applyProtection="1">
      <alignment vertical="center" wrapText="1"/>
    </xf>
    <xf numFmtId="0" fontId="4" fillId="0" borderId="2" xfId="1" applyFont="1" applyBorder="1" applyAlignment="1" applyProtection="1">
      <alignment vertical="center" wrapText="1"/>
    </xf>
    <xf numFmtId="14" fontId="1" fillId="0" borderId="2" xfId="0" applyNumberFormat="1" applyFont="1" applyBorder="1" applyAlignment="1" applyProtection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8.5703125" style="1" customWidth="1"/>
    <x:col min="2" max="2" width="18.85546875" style="1" customWidth="1"/>
    <x:col min="3" max="3" width="19.140625" style="2" customWidth="1"/>
    <x:col min="4" max="4" width="11.140625" style="2" customWidth="1"/>
    <x:col min="5" max="5" width="14.85546875" style="1" hidden="1" customWidth="1"/>
    <x:col min="6" max="6" width="24.7109375" style="1" customWidth="1"/>
    <x:col min="7" max="7" width="57.42578125" style="1" customWidth="1"/>
    <x:col min="8" max="8" width="17.140625" style="1" customWidth="1"/>
    <x:col min="9" max="9" width="14.28515625" style="1" customWidth="1"/>
    <x:col min="10" max="10" width="16.85546875" style="1" hidden="1" customWidth="1"/>
    <x:col min="11" max="11" width="19.42578125" style="1" hidden="1" customWidth="1"/>
    <x:col min="12" max="12" width="33.85546875" style="1" customWidth="1"/>
    <x:col min="13" max="13" width="15.85546875" style="1" hidden="1" customWidth="1"/>
    <x:col min="14" max="14" width="13.85546875" style="1" hidden="1" customWidth="1"/>
    <x:col min="15" max="15" width="11.7109375" style="1" hidden="1" customWidth="1"/>
    <x:col min="16" max="16" width="17.140625" style="1" customWidth="1"/>
    <x:col min="17" max="17" width="29.7109375" style="1" customWidth="1"/>
    <x:col min="18" max="16384" width="11.5703125" style="3"/>
  </x:cols>
  <x:sheetData>
    <x:row r="1" spans="1:17" s="5" customFormat="1" ht="25.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15</x:v>
      </x:c>
      <x:c r="Q1" s="4" t="s">
        <x:v>16</x:v>
      </x:c>
    </x:row>
    <x:row r="2" spans="1:17">
      <x:c r="A2" s="6" t="s">
        <x:v>17</x:v>
      </x:c>
      <x:c r="B2" s="6" t="s">
        <x:v>18</x:v>
      </x:c>
      <x:c r="C2" s="7" t="s">
        <x:v>19</x:v>
      </x:c>
      <x:c r="D2" s="8" t="s">
        <x:v>20</x:v>
      </x:c>
      <x:c r="E2" s="9" t="s">
        <x:v>21</x:v>
      </x:c>
      <x:c r="F2" s="6" t="s">
        <x:v>22</x:v>
      </x:c>
      <x:c r="G2" s="6" t="s">
        <x:v>23</x:v>
      </x:c>
      <x:c r="H2" s="6" t="s">
        <x:v>24</x:v>
      </x:c>
      <x:c r="I2" s="10" t="n">
        <x:v>270373.04</x:v>
      </x:c>
      <x:c r="J2" s="11" t="s">
        <x:v>25</x:v>
      </x:c>
      <x:c r="K2" s="11" t="s">
        <x:v>26</x:v>
      </x:c>
      <x:c r="L2" s="12" t="str">
        <x:f xml:space="preserve">HYPERLINK("https://contractaciopublica.cat/ca/detall-publicacio/0c50343e-e337-4584-b6ca-0b5dd03201b6/300633681","contractaciopublica.cat/ca/detall-publicacio/0c50343e-e337-4584-b6ca-0b5dd03201b6/300633681")</x:f>
        <x:v>contractaciopublica.cat/ca/detall-publicacio/0c50343e-e337-4584-b6ca-0b5dd03201b6/300633681</x:v>
      </x:c>
      <x:c r="M2" s="11" t="s">
        <x:v>27</x:v>
      </x:c>
      <x:c r="N2" s="13" t="s">
        <x:v>28</x:v>
      </x:c>
      <x:c r="O2" s="11" t="s">
        <x:v>29</x:v>
      </x:c>
      <x:c r="P2" s="11" t="s">
        <x:v>30</x:v>
      </x:c>
      <x:c r="Q2" s="14" t="str">
        <x:f xml:space="preserve">HYPERLINK("https://www.infonalia.es/licitaciones1225/2025171512.pdf","www.infonalia.es/licitaciones1225/2025171512.pdf")</x:f>
        <x:v>www.infonalia.es/licitaciones1225/2025171512.pdf</x:v>
      </x:c>
    </x:row>
    <x:row r="3">
      <x:c r="A3" s="6" t="s">
        <x:v>17</x:v>
      </x:c>
      <x:c r="B3" s="6" t="s">
        <x:v>18</x:v>
      </x:c>
      <x:c r="C3" s="7" t="s">
        <x:v>31</x:v>
      </x:c>
      <x:c r="D3" s="8" t="s">
        <x:v>32</x:v>
      </x:c>
      <x:c r="E3" s="9" t="s">
        <x:v>21</x:v>
      </x:c>
      <x:c r="F3" s="6" t="s">
        <x:v>33</x:v>
      </x:c>
      <x:c r="G3" s="6" t="s">
        <x:v>34</x:v>
      </x:c>
      <x:c r="H3" s="6" t="s">
        <x:v>35</x:v>
      </x:c>
      <x:c r="I3" s="10" t="n">
        <x:v>44700.00</x:v>
      </x:c>
      <x:c r="J3" s="11" t="s">
        <x:v>25</x:v>
      </x:c>
      <x:c r="K3" s="11" t="s">
        <x:v>26</x:v>
      </x:c>
      <x:c r="L3" s="12" t="str">
        <x:f xml:space="preserve">HYPERLINK("https://contractaciopublica.cat/ca/detall-publicacio/da38bc68-591f-428c-a381-5c4bf7d388a1/300632350","contractaciopublica.cat/ca/detall-publicacio/da38bc68-591f-428c-a381-5c4bf7d388a1/300632350")</x:f>
        <x:v>contractaciopublica.cat/ca/detall-publicacio/da38bc68-591f-428c-a381-5c4bf7d388a1/300632350</x:v>
      </x:c>
      <x:c r="M3" s="11" t="s">
        <x:v>27</x:v>
      </x:c>
      <x:c r="N3" s="13" t="s">
        <x:v>28</x:v>
      </x:c>
      <x:c r="O3" s="11" t="s">
        <x:v>36</x:v>
      </x:c>
      <x:c r="P3" s="11" t="s">
        <x:v>30</x:v>
      </x:c>
      <x:c r="Q3" s="14" t="str">
        <x:f xml:space="preserve">HYPERLINK("https://www.infonalia.es/licitaciones1225/2025171543.pdf","www.infonalia.es/licitaciones1225/2025171543.pdf")</x:f>
        <x:v>www.infonalia.es/licitaciones1225/2025171543.pdf</x:v>
      </x:c>
    </x:row>
    <x:row r="4">
      <x:c r="A4" s="6" t="s">
        <x:v>17</x:v>
      </x:c>
      <x:c r="B4" s="6" t="s">
        <x:v>18</x:v>
      </x:c>
      <x:c r="C4" s="7" t="s">
        <x:v>31</x:v>
      </x:c>
      <x:c r="D4" s="8" t="s">
        <x:v>37</x:v>
      </x:c>
      <x:c r="E4" s="9" t="s">
        <x:v>21</x:v>
      </x:c>
      <x:c r="F4" s="6" t="s">
        <x:v>38</x:v>
      </x:c>
      <x:c r="G4" s="6" t="s">
        <x:v>39</x:v>
      </x:c>
      <x:c r="H4" s="6" t="s">
        <x:v>40</x:v>
      </x:c>
      <x:c r="I4" s="10" t="n">
        <x:v>28528.93</x:v>
      </x:c>
      <x:c r="J4" s="11" t="s">
        <x:v>25</x:v>
      </x:c>
      <x:c r="K4" s="11" t="s">
        <x:v>26</x:v>
      </x:c>
      <x:c r="L4" s="12" t="str">
        <x:f xml:space="preserve">HYPERLINK("https://contractaciopublica.cat/ca/detall-publicacio/c3937132-5f3b-4006-af53-2422a1cdff45/300618650","contractaciopublica.cat/ca/detall-publicacio/c3937132-5f3b-4006-af53-2422a1cdff45/300618650")</x:f>
        <x:v>contractaciopublica.cat/ca/detall-publicacio/c3937132-5f3b-4006-af53-2422a1cdff45/300618650</x:v>
      </x:c>
      <x:c r="M4" s="11" t="s">
        <x:v>27</x:v>
      </x:c>
      <x:c r="N4" s="13" t="s">
        <x:v>28</x:v>
      </x:c>
      <x:c r="O4" s="11" t="s">
        <x:v>41</x:v>
      </x:c>
      <x:c r="P4" s="11" t="s">
        <x:v>42</x:v>
      </x:c>
      <x:c r="Q4" s="14" t="str">
        <x:f xml:space="preserve">HYPERLINK("https://www.infonalia.es/licitaciones1225/2025171579.pdf","www.infonalia.es/licitaciones1225/2025171579.pdf")</x:f>
        <x:v>www.infonalia.es/licitaciones1225/2025171579.pdf</x:v>
      </x:c>
    </x:row>
    <x:row r="5">
      <x:c r="A5" s="6" t="s">
        <x:v>17</x:v>
      </x:c>
      <x:c r="B5" s="6" t="s">
        <x:v>18</x:v>
      </x:c>
      <x:c r="C5" s="7" t="s">
        <x:v>43</x:v>
      </x:c>
      <x:c r="D5" s="8" t="s">
        <x:v>44</x:v>
      </x:c>
      <x:c r="E5" s="9" t="s">
        <x:v>21</x:v>
      </x:c>
      <x:c r="F5" s="6" t="s">
        <x:v>45</x:v>
      </x:c>
      <x:c r="G5" s="6" t="s">
        <x:v>46</x:v>
      </x:c>
      <x:c r="H5" s="6" t="s">
        <x:v>47</x:v>
      </x:c>
      <x:c r="I5" s="10" t="n">
        <x:v>27850.00</x:v>
      </x:c>
      <x:c r="J5" s="11" t="s">
        <x:v>25</x:v>
      </x:c>
      <x:c r="K5" s="11" t="s">
        <x:v>26</x:v>
      </x:c>
      <x:c r="L5" s="12" t="str">
        <x:f xml:space="preserve">HYPERLINK("https://contractaciopublica.cat/ca/detall-publicacio/34099c1f-5234-4d4d-a4fd-0fe85f604b61/300630985","contractaciopublica.cat/ca/detall-publicacio/34099c1f-5234-4d4d-a4fd-0fe85f604b61/300630985")</x:f>
        <x:v>contractaciopublica.cat/ca/detall-publicacio/34099c1f-5234-4d4d-a4fd-0fe85f604b61/300630985</x:v>
      </x:c>
      <x:c r="M5" s="11" t="s">
        <x:v>27</x:v>
      </x:c>
      <x:c r="N5" s="13" t="s">
        <x:v>28</x:v>
      </x:c>
      <x:c r="O5" s="11" t="s">
        <x:v>48</x:v>
      </x:c>
      <x:c r="P5" s="11" t="s">
        <x:v>49</x:v>
      </x:c>
      <x:c r="Q5" s="14" t="str">
        <x:f xml:space="preserve">HYPERLINK("https://www.infonalia.es/licitaciones1225/2025171816.pdf","www.infonalia.es/licitaciones1225/2025171816.pdf")</x:f>
        <x:v>www.infonalia.es/licitaciones1225/2025171816.pdf</x:v>
      </x:c>
    </x:row>
    <x:row r="6">
      <x:c r="A6" s="6" t="s">
        <x:v>17</x:v>
      </x:c>
      <x:c r="B6" s="6" t="s">
        <x:v>18</x:v>
      </x:c>
      <x:c r="C6" s="7" t="s">
        <x:v>50</x:v>
      </x:c>
      <x:c r="D6" s="8" t="s">
        <x:v>51</x:v>
      </x:c>
      <x:c r="E6" s="9" t="s">
        <x:v>21</x:v>
      </x:c>
      <x:c r="F6" s="6" t="s">
        <x:v>52</x:v>
      </x:c>
      <x:c r="G6" s="6" t="s">
        <x:v>53</x:v>
      </x:c>
      <x:c r="H6" s="6" t="s">
        <x:v>54</x:v>
      </x:c>
      <x:c r="I6" s="10" t="n">
        <x:v>45812.70</x:v>
      </x:c>
      <x:c r="J6" s="11" t="s">
        <x:v>25</x:v>
      </x:c>
      <x:c r="K6" s="11" t="s">
        <x:v>26</x:v>
      </x:c>
      <x:c r="L6" s="12" t="str">
        <x:f xml:space="preserve">HYPERLINK("https://contrataciondelestado.es/wps/poc?uri=deeplink:detalle_licitacion&amp;idEvl=cdYgkqogwVdQFSeKCRun4Q%3D%3D","contrataciondelestado.es/wps/poc?uri=deeplink:detalle_licitacion&amp;idEvl=cdYgkqogwVdQFSeKCRun4Q%3D%3D")</x:f>
        <x:v>contrataciondelestado.es/wps/poc?uri=deeplink:detalle_licitacion&amp;idEvl=cdYgkqogwVdQFSeKCRun4Q%3D%3D</x:v>
      </x:c>
      <x:c r="M6" s="11" t="s">
        <x:v>27</x:v>
      </x:c>
      <x:c r="N6" s="13" t="s">
        <x:v>28</x:v>
      </x:c>
      <x:c r="O6" s="11" t="s">
        <x:v>55</x:v>
      </x:c>
      <x:c r="P6" s="11" t="s">
        <x:v>56</x:v>
      </x:c>
      <x:c r="Q6" s="14" t="str">
        <x:f xml:space="preserve">HYPERLINK("https://www.infonalia.es/licitaciones1225/2025171831.pdf","www.infonalia.es/licitaciones1225/2025171831.pdf")</x:f>
        <x:v>www.infonalia.es/licitaciones1225/2025171831.pdf</x:v>
      </x:c>
    </x:row>
    <x:row r="7">
      <x:c r="A7" s="6" t="s">
        <x:v>17</x:v>
      </x:c>
      <x:c r="B7" s="6" t="s">
        <x:v>57</x:v>
      </x:c>
      <x:c r="C7" s="7" t="s">
        <x:v>58</x:v>
      </x:c>
      <x:c r="D7" s="8" t="s">
        <x:v>59</x:v>
      </x:c>
      <x:c r="E7" s="9" t="s">
        <x:v>21</x:v>
      </x:c>
      <x:c r="F7" s="6" t="s">
        <x:v>60</x:v>
      </x:c>
      <x:c r="G7" s="6" t="s">
        <x:v>61</x:v>
      </x:c>
      <x:c r="H7" s="6" t="s">
        <x:v>62</x:v>
      </x:c>
      <x:c r="I7" s="10" t="n">
        <x:v>14800.00</x:v>
      </x:c>
      <x:c r="J7" s="11" t="s">
        <x:v>25</x:v>
      </x:c>
      <x:c r="K7" s="11" t="s">
        <x:v>63</x:v>
      </x:c>
      <x:c r="L7" s="12" t="str">
        <x:f xml:space="preserve">HYPERLINK("https://licitacions.bcn.cat/licitacion/licitaciones/detalle?id=13874963","licitacions.bcn.cat/licitacion/licitaciones/detalle?id=13874963")</x:f>
        <x:v>licitacions.bcn.cat/licitacion/licitaciones/detalle?id=13874963</x:v>
      </x:c>
      <x:c r="M7" s="11" t="s">
        <x:v>27</x:v>
      </x:c>
      <x:c r="N7" s="13" t="s">
        <x:v>28</x:v>
      </x:c>
      <x:c r="O7" s="11" t="s">
        <x:v>64</x:v>
      </x:c>
      <x:c r="P7" s="11" t="s">
        <x:v>30</x:v>
      </x:c>
      <x:c r="Q7" s="14" t="str">
        <x:f xml:space="preserve">HYPERLINK("https://www.infonalia.es/licitaciones1225/2025171904.pdf","www.infonalia.es/licitaciones1225/2025171904.pdf")</x:f>
        <x:v>www.infonalia.es/licitaciones1225/2025171904.pdf</x:v>
      </x:c>
    </x:row>
    <x:row r="8">
      <x:c r="A8" s="6" t="s">
        <x:v>17</x:v>
      </x:c>
      <x:c r="B8" s="6" t="s">
        <x:v>57</x:v>
      </x:c>
      <x:c r="C8" s="7" t="s">
        <x:v>58</x:v>
      </x:c>
      <x:c r="D8" s="8" t="s">
        <x:v>65</x:v>
      </x:c>
      <x:c r="E8" s="9" t="s">
        <x:v>21</x:v>
      </x:c>
      <x:c r="F8" s="6" t="s">
        <x:v>60</x:v>
      </x:c>
      <x:c r="G8" s="6" t="s">
        <x:v>66</x:v>
      </x:c>
      <x:c r="H8" s="6" t="s">
        <x:v>67</x:v>
      </x:c>
      <x:c r="I8" s="10" t="n">
        <x:v>14700.00</x:v>
      </x:c>
      <x:c r="J8" s="11" t="s">
        <x:v>25</x:v>
      </x:c>
      <x:c r="K8" s="11" t="s">
        <x:v>68</x:v>
      </x:c>
      <x:c r="L8" s="12" t="str">
        <x:f xml:space="preserve">HYPERLINK("https://licitacions.bcn.cat/licitacion/licitaciones/detalle?id=13875214","licitacions.bcn.cat/licitacion/licitaciones/detalle?id=13875214")</x:f>
        <x:v>licitacions.bcn.cat/licitacion/licitaciones/detalle?id=13875214</x:v>
      </x:c>
      <x:c r="M8" s="11" t="s">
        <x:v>27</x:v>
      </x:c>
      <x:c r="N8" s="13" t="s">
        <x:v>28</x:v>
      </x:c>
      <x:c r="O8" s="11" t="s">
        <x:v>69</x:v>
      </x:c>
      <x:c r="P8" s="11" t="s">
        <x:v>30</x:v>
      </x:c>
      <x:c r="Q8" s="14" t="str">
        <x:f xml:space="preserve">HYPERLINK("https://www.infonalia.es/licitaciones1225/2025171906.pdf","www.infonalia.es/licitaciones1225/2025171906.pdf")</x:f>
        <x:v>www.infonalia.es/licitaciones1225/2025171906.pdf</x:v>
      </x:c>
    </x:row>
    <x:row r="9">
      <x:c r="A9" s="6" t="s">
        <x:v>17</x:v>
      </x:c>
      <x:c r="B9" s="6" t="s">
        <x:v>70</x:v>
      </x:c>
      <x:c r="C9" s="7" t="s">
        <x:v>43</x:v>
      </x:c>
      <x:c r="D9" s="8" t="s">
        <x:v>71</x:v>
      </x:c>
      <x:c r="E9" s="9" t="s">
        <x:v>21</x:v>
      </x:c>
      <x:c r="F9" s="6" t="s">
        <x:v>72</x:v>
      </x:c>
      <x:c r="G9" s="6" t="s">
        <x:v>73</x:v>
      </x:c>
      <x:c r="H9" s="6" t="s">
        <x:v>74</x:v>
      </x:c>
      <x:c r="I9" s="10"/>
      <x:c r="J9" s="11" t="s">
        <x:v>75</x:v>
      </x:c>
      <x:c r="K9" s="11" t="s">
        <x:v>76</x:v>
      </x:c>
      <x:c r="L9" s="12" t="str">
        <x:f xml:space="preserve">HYPERLINK("https://contractaciopublica.cat/es/detall-publicacio/300633997","contractaciopublica.cat/es/detall-publicacio/300633997")</x:f>
        <x:v>contractaciopublica.cat/es/detall-publicacio/300633997</x:v>
      </x:c>
      <x:c r="M9" s="11" t="s">
        <x:v>27</x:v>
      </x:c>
      <x:c r="N9" s="13" t="s">
        <x:v>28</x:v>
      </x:c>
      <x:c r="O9" s="11" t="s">
        <x:v>77</x:v>
      </x:c>
      <x:c r="P9" s="11" t="s">
        <x:v>30</x:v>
      </x:c>
      <x:c r="Q9" s="14" t="str">
        <x:f xml:space="preserve">HYPERLINK("https://www.infonalia.es/licitaciones1225/2025171937.pdf","www.infonalia.es/licitaciones1225/2025171937.pdf")</x:f>
        <x:v>www.infonalia.es/licitaciones1225/2025171937.pdf</x:v>
      </x:c>
    </x:row>
    <x:row r="10">
      <x:c r="A10" s="6" t="s">
        <x:v>17</x:v>
      </x:c>
      <x:c r="B10" s="6" t="s">
        <x:v>18</x:v>
      </x:c>
      <x:c r="C10" s="7" t="s">
        <x:v>78</x:v>
      </x:c>
      <x:c r="D10" s="8" t="s">
        <x:v>79</x:v>
      </x:c>
      <x:c r="E10" s="9" t="s">
        <x:v>21</x:v>
      </x:c>
      <x:c r="F10" s="6" t="s">
        <x:v>80</x:v>
      </x:c>
      <x:c r="G10" s="6" t="s">
        <x:v>81</x:v>
      </x:c>
      <x:c r="H10" s="6" t="s">
        <x:v>82</x:v>
      </x:c>
      <x:c r="I10" s="10" t="n">
        <x:v>204958.68</x:v>
      </x:c>
      <x:c r="J10" s="11" t="s">
        <x:v>25</x:v>
      </x:c>
      <x:c r="K10" s="11" t="s">
        <x:v>26</x:v>
      </x:c>
      <x:c r="L10" s="12" t="str">
        <x:f xml:space="preserve">HYPERLINK("https://contrataciondelestado.es/wps/poc?uri=deeplink:detalle_licitacion&amp;idEvl=XjJHsNFZ%2Fpq7JOCXkOhcDg%3D%3D","contrataciondelestado.es/wps/poc?uri=deeplink:detalle_licitacion&amp;idEvl=XjJHsNFZ%2Fpq7JOCXkOhcDg%3D%3D")</x:f>
        <x:v>contrataciondelestado.es/wps/poc?uri=deeplink:detalle_licitacion&amp;idEvl=XjJHsNFZ%2Fpq7JOCXkOhcDg%3D%3D</x:v>
      </x:c>
      <x:c r="M10" s="11" t="s">
        <x:v>27</x:v>
      </x:c>
      <x:c r="N10" s="13" t="s">
        <x:v>21</x:v>
      </x:c>
      <x:c r="O10" s="11" t="s">
        <x:v>83</x:v>
      </x:c>
      <x:c r="P10" s="11" t="s">
        <x:v>84</x:v>
      </x:c>
      <x:c r="Q10" s="14" t="str">
        <x:f xml:space="preserve">HYPERLINK("https://www.infonalia.es/licitaciones1225/2025172023.pdf","www.infonalia.es/licitaciones1225/2025172023.pdf")</x:f>
        <x:v>www.infonalia.es/licitaciones1225/2025172023.pdf</x:v>
      </x:c>
    </x:row>
    <x:row r="11">
      <x:c r="A11" s="6" t="s">
        <x:v>17</x:v>
      </x:c>
      <x:c r="B11" s="6" t="s">
        <x:v>18</x:v>
      </x:c>
      <x:c r="C11" s="7" t="s">
        <x:v>31</x:v>
      </x:c>
      <x:c r="D11" s="8" t="s">
        <x:v>85</x:v>
      </x:c>
      <x:c r="E11" s="9" t="s">
        <x:v>21</x:v>
      </x:c>
      <x:c r="F11" s="6" t="s">
        <x:v>86</x:v>
      </x:c>
      <x:c r="G11" s="6" t="s">
        <x:v>87</x:v>
      </x:c>
      <x:c r="H11" s="6" t="s">
        <x:v>88</x:v>
      </x:c>
      <x:c r="I11" s="10" t="n">
        <x:v>23279.00</x:v>
      </x:c>
      <x:c r="J11" s="11" t="s">
        <x:v>25</x:v>
      </x:c>
      <x:c r="K11" s="11" t="s">
        <x:v>26</x:v>
      </x:c>
      <x:c r="L11" s="12" t="str">
        <x:f xml:space="preserve">HYPERLINK("https://contractaciopublica.cat/ca/detall-publicacio/1630a5a3-add7-4f8d-bbe6-df2bc815b5b4/300634440","contractaciopublica.cat/ca/detall-publicacio/1630a5a3-add7-4f8d-bbe6-df2bc815b5b4/300634440")</x:f>
        <x:v>contractaciopublica.cat/ca/detall-publicacio/1630a5a3-add7-4f8d-bbe6-df2bc815b5b4/300634440</x:v>
      </x:c>
      <x:c r="M11" s="11" t="s">
        <x:v>27</x:v>
      </x:c>
      <x:c r="N11" s="13" t="s">
        <x:v>21</x:v>
      </x:c>
      <x:c r="O11" s="11" t="s">
        <x:v>89</x:v>
      </x:c>
      <x:c r="P11" s="11" t="s">
        <x:v>30</x:v>
      </x:c>
      <x:c r="Q11" s="14" t="str">
        <x:f xml:space="preserve">HYPERLINK("https://www.infonalia.es/licitaciones1225/2025172045.pdf","www.infonalia.es/licitaciones1225/2025172045.pdf")</x:f>
        <x:v>www.infonalia.es/licitaciones1225/2025172045.pdf</x:v>
      </x:c>
    </x:row>
    <x:row r="12">
      <x:c r="A12" s="6" t="s">
        <x:v>17</x:v>
      </x:c>
      <x:c r="B12" s="6" t="s">
        <x:v>18</x:v>
      </x:c>
      <x:c r="C12" s="7" t="s">
        <x:v>31</x:v>
      </x:c>
      <x:c r="D12" s="8" t="s">
        <x:v>90</x:v>
      </x:c>
      <x:c r="E12" s="9" t="s">
        <x:v>21</x:v>
      </x:c>
      <x:c r="F12" s="6" t="s">
        <x:v>91</x:v>
      </x:c>
      <x:c r="G12" s="6" t="s">
        <x:v>92</x:v>
      </x:c>
      <x:c r="H12" s="6" t="s">
        <x:v>93</x:v>
      </x:c>
      <x:c r="I12" s="10" t="n">
        <x:v>10178.51</x:v>
      </x:c>
      <x:c r="J12" s="11" t="s">
        <x:v>25</x:v>
      </x:c>
      <x:c r="K12" s="11" t="s">
        <x:v>26</x:v>
      </x:c>
      <x:c r="L12" s="12" t="str">
        <x:f xml:space="preserve">HYPERLINK("https://contrataciondelestado.es/wps/poc?uri=deeplink:detalle_licitacion&amp;idEvl=TR91iiD8dF8%2B1TMyIiZmzw%3D%3D","contrataciondelestado.es/wps/poc?uri=deeplink:detalle_licitacion&amp;idEvl=TR91iiD8dF8%2B1TMyIiZmzw%3D%3D")</x:f>
        <x:v>contrataciondelestado.es/wps/poc?uri=deeplink:detalle_licitacion&amp;idEvl=TR91iiD8dF8%2B1TMyIiZmzw%3D%3D</x:v>
      </x:c>
      <x:c r="M12" s="11" t="s">
        <x:v>27</x:v>
      </x:c>
      <x:c r="N12" s="13" t="s">
        <x:v>21</x:v>
      </x:c>
      <x:c r="O12" s="11" t="s">
        <x:v>94</x:v>
      </x:c>
      <x:c r="P12" s="11" t="s">
        <x:v>56</x:v>
      </x:c>
      <x:c r="Q12" s="14" t="str">
        <x:f xml:space="preserve">HYPERLINK("https://www.infonalia.es/licitaciones1225/2025172090.pdf","www.infonalia.es/licitaciones1225/2025172090.pdf")</x:f>
        <x:v>www.infonalia.es/licitaciones1225/2025172090.pdf</x:v>
      </x:c>
    </x:row>
  </x:sheetData>
  <x:autoFilter ref="A1:Q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Licitaciones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2</cp:revision>
  <dcterms:created xsi:type="dcterms:W3CDTF">2024-12-04T08:39:24Z</dcterms:created>
  <dcterms:modified xsi:type="dcterms:W3CDTF">2025-01-20T07:55:14Z</dcterms:modified>
  <dc:language>es-ES</dc:language>
</cp:coreProperties>
</file>