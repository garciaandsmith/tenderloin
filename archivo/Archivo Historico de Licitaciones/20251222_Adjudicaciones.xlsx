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Adjudicaciones" sheetId="1" r:id="rId1"/>
  </x:sheets>
  <x:definedNames>
    <x:definedName name="_xlnm._FilterDatabase" localSheetId="0" hidden="1">Adjudicaciones!$A$1:$K$1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<x:sst xmlns:x="http://schemas.openxmlformats.org/spreadsheetml/2006/main" count="11" uniqueCount="11">
  <x:si>
    <x:t>Tipo Adjudicacion</x:t>
  </x:si>
  <x:si>
    <x:t>Contratista</x:t>
  </x:si>
  <x:si>
    <x:t>Fecha</x:t>
  </x:si>
  <x:si>
    <x:t>Pdf Adjudicacion</x:t>
  </x:si>
  <x:si>
    <x:t>Referencia</x:t>
  </x:si>
  <x:si>
    <x:t>Organismo Convocante</x:t>
  </x:si>
  <x:si>
    <x:t>Objeto</x:t>
  </x:si>
  <x:si>
    <x:t>Nº Expediente</x:t>
  </x:si>
  <x:si>
    <x:t>Lugar Ejecucion</x:t>
  </x:si>
  <x:si>
    <x:t>Importe Adjudicacion</x:t>
  </x:si>
  <x:si>
    <x:t>Presupuesto Licitacion</x:t>
  </x:si>
  <x:si>
    <x:t>Adjudicado</x:t>
  </x:si>
  <x:si>
    <x:t>HALLON INTELLIGENCE, S.L</x:t>
  </x:si>
  <x:si>
    <x:t>22/12/2025 0:00:00</x:t>
  </x:si>
  <x:si>
    <x:t>25257122</x:t>
  </x:si>
  <x:si>
    <x:t>DIRECCIÓN GENERAL DE LA FUNDACIÓN EOI</x:t>
  </x:si>
  <x:si>
    <x:t>Servicio de seguimiento y análisis de medios para disponer de los impactos en los mismos y otras métricas relacionadas que permitan conocer y evaluar la presencia y reputación de la marca EOI en medios tanto impresos como digitales</x:t>
  </x:si>
  <x:si>
    <x:t>2025_050_PASS</x:t>
  </x:si>
  <x:si>
    <x:t>Madrid</x:t>
  </x:si>
  <x:si>
    <x:t>MY NEWS, S.L</x:t>
  </x:si>
  <x:si>
    <x:t>25257123</x:t>
  </x:si>
  <x:si>
    <x:t>MINISTERIO DE DEFENSA. JEFATURA DE ASUNTOS ECONÓMICOS DEL ESTADO MAYOR DEL EJÉRCITO</x:t>
  </x:si>
  <x:si>
    <x:t>Servicio de clipping de prensa escrita, digital, online, radio y televisión, a nivel nacional y provincial, para la confección diaria del resumen de prensa del Ejército de Tierra</x:t>
  </x:si>
  <x:si>
    <x:t>2025/ETSAE0902/00001544E</x:t>
  </x:si>
  <x:si>
    <x:t>REHABILITACIONES REES S.L</x:t>
  </x:si>
  <x:si>
    <x:t>25257221</x:t>
  </x:si>
  <x:si>
    <x:t>DIRECCIÓN DEL MUSEO NACIONAL CENTRO DE ARTE REINA SOFÍA</x:t>
  </x:si>
  <x:si>
    <x:t>Servicio de montaje, mantenimiento y desmontaje museográfico de la exposición temporal “AURÈLIA MUÑOZ” del Museo Nacional Centro de Arte Reina Sofía.</x:t>
  </x:si>
  <x:si>
    <x:t>202500000390</x:t>
  </x:si>
  <x:si>
    <x:t>LOTE 1 VIAJES EL CORTE INGLÉS S.A.; LOTE 2 ÁGORA RED STUDIO </x:t>
  </x:si>
  <x:si>
    <x:t>25257295</x:t>
  </x:si>
  <x:si>
    <x:t>INSTITUTO PARA LA COMPETITIVIDAD EMPRESARIAL DE LA JUNTA DE CASTILLA Y LEÓN</x:t>
  </x:si>
  <x:si>
    <x:t>Diseño, decoración, montaje, desmontaje, mantenimiento, transporte y servicios asociados al stand de ICECYL en las Ferias PROWEIN e IFE 2026. Lote 1: Servicios en Feria Prowein 26. Lote 2: Servicios en Feria Ife 26.</x:t>
  </x:si>
  <x:si>
    <x:t>A2025/013779</x:t>
  </x:si>
  <x:si>
    <x:t>Alemania y Reino Unido</x:t>
  </x:si>
  <x:si>
    <x:t>Ver detalle de la adjudicación</x:t>
  </x:si>
  <x:si>
    <x:t>IDEAS CON EXPRESIÓN, S.L</x:t>
  </x:si>
  <x:si>
    <x:t>25257403</x:t>
  </x:si>
  <x:si>
    <x:t>MUTUA UNIVERSAL MUGENAT, MUTUA COLABORADORA CON LA SEGURIDAD SOCIAL Nº 10</x:t>
  </x:si>
  <x:si>
    <x:t>Contratación del suministro de una serie de reconocimientos corporativos para su entrega en diferentes eventos y otras reuniones de carácter institucional que puedan tener lugar durante la vigencia del contrato.</x:t>
  </x:si>
  <x:si>
    <x:t>026-2025-0291</x:t>
  </x:si>
  <x:si>
    <x:t>Ver pliegos</x:t>
  </x:si>
  <x:si>
    <x:t>Formalizado</x:t>
  </x:si>
  <x:si>
    <x:t>LOTE 2 ZELIG COMUNICACIÓ SL</x:t>
  </x:si>
  <x:si>
    <x:t>25257438</x:t>
  </x:si>
  <x:si>
    <x:t>AYUNTAMIENTO DE GRANOLLERS (BARCELONA)</x:t>
  </x:si>
  <x:si>
    <x:t>La señalización física de los recursos turísticos, el servicio de la promoción turística y producción de recursos digitales vinculados al proyecto de rehabilitación y valorización de las murallas medievales de Granollers con el fin de mejorar la experiencia de la visita al patrimonio de las murallas de la ciudad de Granollers y potenciar el itinerario turístico y cultural. – Next Generation. Lote 1 Sistema de señalización física de los recursos turísticos. Lote 2 Servicio de promoción turística. Lote 3 Producción de recursos digitales de interpretación y difusión.</x:t>
  </x:si>
  <x:si>
    <x:t>2025/078 (75/2025/CONT)</x:t>
  </x:si>
  <x:si>
    <x:t>Barcelona</x:t>
  </x:si>
  <x:si>
    <x:t>BUIT TALLER SL</x:t>
  </x:si>
  <x:si>
    <x:t>25257442</x:t>
  </x:si>
  <x:si>
    <x:t>ÀREA METROPOLITANA DE BARCELONA</x:t>
  </x:si>
  <x:si>
    <x:t>Contrato administrativo de suministro para la producción, suministro, colocación y mantenimiento de maquetas por la exposición 2026 de la dirección de servicios del espacio público del AMB.</x:t>
  </x:si>
  <x:si>
    <x:t>903086/25</x:t>
  </x:si>
  <x:si>
    <x:t>KOSMO JOY EVENTUS S.L</x:t>
  </x:si>
  <x:si>
    <x:t>25257446</x:t>
  </x:si>
  <x:si>
    <x:t>AYUNTAMIENTO DE SANTA MARGARIDA DE MONTBUI (BARCELONA)</x:t>
  </x:si>
  <x:si>
    <x:t>Contrato de servicios de dinamización de la Feria de Navidad del Municipio de Santa Margarida de Montbui. Expte. 2157/2025</x:t>
  </x:si>
  <x:si>
    <x:t>2157/2025</x:t>
  </x:si>
  <x:si>
    <x:t>LOTE 1 KLOUSNER SL; LOTE 2 D'ALEPH INICIATIVAS Y ORGANIZACIÓN, S.A.</x:t>
  </x:si>
  <x:si>
    <x:t>25257457</x:t>
  </x:si>
  <x:si>
    <x:t>REACTIVACIÓ BADALONA, SA</x:t>
  </x:si>
  <x:si>
    <x:t>"Producción de la 2a. Feria de Orientación Educativa de Badalona - 2026" de REACTIVACIÓN BADALONA, S.A., ubicado en la Calle de Marcus Porcius núm. 1, Polígono Les Guixeres, 08915, Badalona (Barcelona), con código de expediente PE197-25. Lote 1 Servicios de producción, logística y promoción de la Fira. Lote 2 Servicios de orientadores educativos.</x:t>
  </x:si>
  <x:si>
    <x:t>PE197-25</x:t>
  </x:si>
  <x:si>
    <x:t>LOTE 1 OMNEOM SL; LOTE 3 MUUTOS EVOLUTION CONSULTING, S.L.U.; LOTE 5 CAL TIP COOPERATIVA DE CONEIXEMENT SCCL</x:t>
  </x:si>
  <x:si>
    <x:t>25257689</x:t>
  </x:si>
  <x:si>
    <x:t>AYUNTAMIENTO DE VILADECANS (BARCELONA)</x:t>
  </x:si>
  <x:si>
    <x:t>Servicio para el diseño y ejecución de diferentes programas orientados a la innovación empresarial y de los servicios para la realización de procesos de mentoring en áreas de gestión empresarial y tecnológica, en el marco de los programas de la Unidad de Empresas y emprendeduría del Área de Empleo y Empresas, mediante el fomento de la contratación de personas con dificultades particulares de inserción en el mercado laboral, y con medidas de contratación. Lote 1: Diseño y ejecución del programa Women Corporat. Lote 2: Diseño y ejecución del Programa BIP-Tech. Lote 3: Diseño y ejecución de la Hackathó, Constru-Hack. Lote 4: Servicios de mentoría en gestión empresarial. Lote 5: Servicios de mentoría tecnológica especializada.</x:t>
  </x:si>
  <x:si>
    <x:t>AOE/AGI/CONTRACTACIÓ/2025/54 – 31/2025/CSERV</x:t>
  </x:si>
  <x:si>
    <x:t>THE BRAND GUARDIAN SL</x:t>
  </x:si>
  <x:si>
    <x:t>25257693</x:t>
  </x:si>
  <x:si>
    <x:t>AGENCIA CATALANA DE TURISMO</x:t>
  </x:si>
  <x:si>
    <x:t>Servicios de creatividad y producción de los elementos publicitarios audiovisuales, digitales y gráficos (anexo 1 del pliego de prescripciones técnicas) de una campaña comunicativa digital 360º para promocionar y posicionar Cataluña como destino enogastronómico en el mercado nacional e internacional, y que haga evolucionar la campaña de turismo enogastronómico "La mejor cocina del mundo”, en el marco del Plan de Recuperación, Transformación y Resiliencia, financiado por la Unión Europea con Fondos Next Generation EU. El objeto del contrato deriva del proyecto estatal Plan Territorial de Sostenibilidad Turística y, en concreto, de la Actuación de Cohesión entre Destinos (ACD) “Cataluña, Tierra de sabores”, aprobado dentro del Plan de Recuperación, Transformación y Resiliencia, financiado por la Unión Europea en el marco de los fondos Next Generation EU, para la consecución de los objetivos generales de la Política Palanca 5 “Modernización y digitalización del tejido industrial y de la pyme, recuperación del turismo e impulso en una España nación emprendedora" y, concretamente en el Componente 14 "Plan de modernización y competitividad del sector turístico", Inversión 1 "Transformación del modelo hacia la sostenibilidad". Este contrato se encuentra dentro de la actuación número 19 (Campaña digital 360) y se incardina dentro del eje TRANSICIÓN DIGITAL</x:t>
  </x:si>
  <x:si>
    <x:t>ACT-2026-3</x:t>
  </x:si>
  <x:si>
    <x:t>Catalunya</x:t>
  </x:si>
  <x:si>
    <x:t>OVEJERO SEQUEIRO, SL</x:t>
  </x:si>
  <x:si>
    <x:t>25257769</x:t>
  </x:si>
  <x:si>
    <x:t>MINISTERIO DE VIVIENDA Y AGENDA URBANA&gt;SECRETARÍA DE ESTADO DE VIVIENDA Y AGENDA URBANA. SECRETARÍA GENERAL DE AGENDA URBANA, VIVIENDA Y ARQUITECTURA</x:t>
  </x:si>
  <x:si>
    <x:t>Servicio de Producción y Montaje de la exposición con título provisional “Bienestar en la Ciudad”</x:t>
  </x:si>
  <x:si>
    <x:t>2507CTRCA027</x:t>
  </x:si>
  <x:si>
    <x:t>PROYECTO STENDHAL, S.L</x:t>
  </x:si>
  <x:si>
    <x:t>25257834</x:t>
  </x:si>
  <x:si>
    <x:t>AYUNTAMIENTO DE BARBERÀ DEL VALLÈS (BARCELONA)</x:t>
  </x:si>
  <x:si>
    <x:t>Contratación de los servicios para la elaboración y ejecución de la campaña de acciones por el lanzamiento de la marca de ciudad del municipio de Barberà del Vallès que figura en el cuadro de características anexo (Anexo 1). En la licitación y ejecución del contrato regirán, además de la normativa legal aplicable, el Pliego de cláusulas administrativas particulares y el Pliego de prescripciones técnicas (PPT) (Anexo 2)</x:t>
  </x:si>
  <x:si>
    <x:t>N774250028</x:t>
  </x:si>
  <x:si>
    <x:t>LOTE 1 PRODUCCIONS GRAU PEIRÓ, SL; LOTE 2 PRODUCCIONS GRAU PEIRÓ, SL</x:t>
  </x:si>
  <x:si>
    <x:t>25257837</x:t>
  </x:si>
  <x:si>
    <x:t>FUNDACIÓ PER A LA UNIVERSITAT OBERTA DE CATALUNYA</x:t>
  </x:si>
  <x:si>
    <x:t>El presente procedimiento tiene por objeto la contratación por parte de la UOC el servicio de gestión y logística de sedes de las pruebas de evaluación presenciales (Lote 1) y virtuales (Lote 2) de la UOC, a fin de asegurar su correcto desarrollo en cada una de sus convocatorias.</x:t>
  </x:si>
  <x:si>
    <x:t>HSE00019/2025</x:t>
  </x:si>
  <x:si>
    <x:t>LA MADRIGUERA COMUNICACIÓN S.L</x:t>
  </x:si>
  <x:si>
    <x:t>25257883</x:t>
  </x:si>
  <x:si>
    <x:t>JEFATURA DE UNIDAD DE MEDIOS INTERNOS -ÁREA DE COMPRAS DE LA COMPAÑÍA ESPAÑOLA DE SEGUROS DE CRÉDITO A LA EXPORTACIÓN S.A., S.M.E. (CESCE)</x:t>
  </x:si>
  <x:si>
    <x:t>Elaboración de Piezas Audiovisuales para Cesce.</x:t>
  </x:si>
  <x:si>
    <x:t>A49-1125</x:t>
  </x:si>
  <x:si>
    <x:t>TOC TOC TL ANIMACION S.L</x:t>
  </x:si>
  <x:si>
    <x:t>25257952</x:t>
  </x:si>
  <x:si>
    <x:t>DIRECCIÓN GENERAL DE RENFE VIAJEROS SOCIEDAD MERCANTIL ESTATAL, S.A</x:t>
  </x:si>
  <x:si>
    <x:t>Servicio de animación y coordinación en la actividad navideña trin tran tren organizada por dirección de cercanías de Madrid</x:t>
  </x:si>
  <x:si>
    <x:t>2025-04566</x:t>
  </x:si>
  <x:si>
    <x:t>FIRA INTERNACIONAL DE BARCELONA</x:t>
  </x:si>
  <x:si>
    <x:t>25258078</x:t>
  </x:si>
  <x:si>
    <x:t>DIRECCIÓN GENERAL DE LA INDUSTRIA ALIMENTARIA. MINISTERIO DEAGRICULTURA, PESCA Y ALIMENTACIÓN</x:t>
  </x:si>
  <x:si>
    <x:t>Colaboración entre el MAPA y FIRA INTERNACIONAL de Barcelona, para la realización de diferentes actividades en la feria internacional de Alimentación y Bebidas - ALIMENTARIA 2026</x:t>
  </x:si>
  <x:si>
    <x:t>202505100661</x:t>
  </x:si>
  <x:si>
    <x:t>España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</x:si>
</x:sst>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family val="2"/>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2">
    <border>
      <left/>
      <right/>
      <top/>
      <bottom/>
      <diagonal/>
    </border>
    <border>
      <left/>
      <right/>
      <top/>
      <bottom style="thin">
        <color auto="1"/>
      </bottom>
      <diagonal/>
    </border>
  </borders>
  <cellStyleXfs count="2">
    <xf numFmtId="0" fontId="0" fillId="0" borderId="0"/>
    <xf numFmtId="0" fontId="3" fillId="0" borderId="0" applyBorder="0" applyProtection="0"/>
  </cellStyleXfs>
  <cellXfs count="10">
    <xf numFmtId="0" fontId="0" fillId="0" borderId="0" xfId="0"/>
    <xf numFmtId="0" fontId="1" fillId="0" borderId="0" xfId="0" applyFont="1" applyAlignment="1">
      <alignment vertical="center" wrapText="1"/>
    </xf>
    <xf numFmtId="0" fontId="1" fillId="0" borderId="0" xfId="0" applyFont="1" applyAlignment="1">
      <alignment horizontal="center" vertical="center" wrapText="1"/>
    </xf>
    <xf numFmtId="0" fontId="2" fillId="2" borderId="0" xfId="0" applyFont="1" applyFill="1" applyAlignment="1">
      <alignment vertical="center"/>
    </xf>
    <xf numFmtId="0" fontId="2" fillId="2" borderId="0" xfId="0" applyFont="1" applyFill="1" applyAlignment="1">
      <alignment horizontal="center" vertical="center"/>
    </xf>
    <xf numFmtId="0" fontId="1" fillId="0" borderId="0" xfId="0" applyFont="1" applyAlignment="1">
      <alignment vertical="center"/>
    </xf>
    <xf numFmtId="0" fontId="1" fillId="0" borderId="1" xfId="0" applyFont="1" applyBorder="1" applyAlignment="1">
      <alignment vertical="center" wrapText="1"/>
    </xf>
    <xf numFmtId="0" fontId="4" fillId="0" borderId="1" xfId="1" applyFont="1" applyBorder="1" applyAlignment="1" applyProtection="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K2"/>
  <x:sheetViews>
    <x:sheetView showGridLines="0" tabSelected="1" zoomScaleNormal="100" workbookViewId="0">
      <x:selection sqref="A1:XFD1"/>
    </x:sheetView>
  </x:sheetViews>
  <x:sheetFormatPr baseColWidth="10" defaultColWidth="16" defaultRowHeight="12.75"/>
  <x:cols>
    <x:col min="1" max="1" width="14.42578125" style="1" customWidth="1"/>
    <x:col min="2" max="2" width="19.85546875" style="1" customWidth="1"/>
    <x:col min="3" max="3" width="11.5703125" style="1" hidden="1" customWidth="1"/>
    <x:col min="4" max="4" width="20.140625" style="1" customWidth="1"/>
    <x:col min="5" max="5" width="11.140625" style="2" customWidth="1"/>
    <x:col min="6" max="6" width="26.7109375" style="1" customWidth="1"/>
    <x:col min="7" max="7" width="47.28515625" style="1" customWidth="1"/>
    <x:col min="8" max="8" width="15.7109375" style="1" customWidth="1"/>
    <x:col min="9" max="9" width="13.42578125" style="1" customWidth="1"/>
    <x:col min="10" max="10" width="17.28515625" style="1" customWidth="1"/>
    <x:col min="11" max="11" width="18" style="1" customWidth="1"/>
    <x:col min="12" max="16384" width="16" style="1"/>
  </x:cols>
  <x:sheetData>
    <x:row r="1" spans="1:11" s="5" customFormat="1">
      <x:c r="A1" s="3" t="s">
        <x:v>0</x:v>
      </x:c>
      <x:c r="B1" s="3" t="s">
        <x:v>1</x:v>
      </x:c>
      <x:c r="C1" s="3" t="s">
        <x:v>2</x:v>
      </x:c>
      <x:c r="D1" s="3" t="s">
        <x:v>3</x:v>
      </x:c>
      <x:c r="E1" s="4" t="s">
        <x:v>4</x:v>
      </x:c>
      <x:c r="F1" s="3" t="s">
        <x:v>5</x:v>
      </x:c>
      <x:c r="G1" s="3" t="s">
        <x:v>6</x:v>
      </x:c>
      <x:c r="H1" s="3" t="s">
        <x:v>7</x:v>
      </x:c>
      <x:c r="I1" s="3" t="s">
        <x:v>8</x:v>
      </x:c>
      <x:c r="J1" s="3" t="s">
        <x:v>9</x:v>
      </x:c>
      <x:c r="K1" s="3" t="s">
        <x:v>10</x:v>
      </x:c>
    </x:row>
    <x:row r="2" spans="1:11">
      <x:c r="A2" s="6" t="s">
        <x:v>11</x:v>
      </x:c>
      <x:c r="B2" s="6" t="s">
        <x:v>12</x:v>
      </x:c>
      <x:c r="C2" s="6" t="s">
        <x:v>13</x:v>
      </x:c>
      <x:c r="D2" s="7" t="str">
        <x:f xml:space="preserve">HYPERLINK("https://www.infonalia.es/adjudicaciones1225/25257122.pdf","www.infonalia.es/adjudicaciones1225/25257122.pdf")</x:f>
        <x:v>www.infonalia.es/adjudicaciones1225/25257122.pdf</x:v>
      </x:c>
      <x:c r="E2" s="8" t="s">
        <x:v>14</x:v>
      </x:c>
      <x:c r="F2" s="6" t="s">
        <x:v>15</x:v>
      </x:c>
      <x:c r="G2" s="6" t="s">
        <x:v>16</x:v>
      </x:c>
      <x:c r="H2" s="6" t="s">
        <x:v>17</x:v>
      </x:c>
      <x:c r="I2" s="6" t="s">
        <x:v>18</x:v>
      </x:c>
      <x:c r="J2" s="9" t="n">
        <x:v>4896.00</x:v>
      </x:c>
      <x:c r="K2" s="9" t="n">
        <x:v>6610.00</x:v>
      </x:c>
    </x:row>
    <x:row r="3">
      <x:c r="A3" s="6" t="s">
        <x:v>11</x:v>
      </x:c>
      <x:c r="B3" s="6" t="s">
        <x:v>19</x:v>
      </x:c>
      <x:c r="C3" s="6" t="s">
        <x:v>13</x:v>
      </x:c>
      <x:c r="D3" s="7" t="str">
        <x:f xml:space="preserve">HYPERLINK("https://www.infonalia.es/adjudicaciones1225/25257123.pdf","www.infonalia.es/adjudicaciones1225/25257123.pdf")</x:f>
        <x:v>www.infonalia.es/adjudicaciones1225/25257123.pdf</x:v>
      </x:c>
      <x:c r="E3" s="8" t="s">
        <x:v>20</x:v>
      </x:c>
      <x:c r="F3" s="6" t="s">
        <x:v>21</x:v>
      </x:c>
      <x:c r="G3" s="6" t="s">
        <x:v>22</x:v>
      </x:c>
      <x:c r="H3" s="6" t="s">
        <x:v>23</x:v>
      </x:c>
      <x:c r="I3" s="6" t="s">
        <x:v>18</x:v>
      </x:c>
      <x:c r="J3" s="9" t="n">
        <x:v>19920.00</x:v>
      </x:c>
      <x:c r="K3" s="9" t="n">
        <x:v>23140.50</x:v>
      </x:c>
    </x:row>
    <x:row r="4">
      <x:c r="A4" s="6" t="s">
        <x:v>11</x:v>
      </x:c>
      <x:c r="B4" s="6" t="s">
        <x:v>24</x:v>
      </x:c>
      <x:c r="C4" s="6" t="s">
        <x:v>13</x:v>
      </x:c>
      <x:c r="D4" s="7" t="str">
        <x:f xml:space="preserve">HYPERLINK("https://www.infonalia.es/adjudicaciones1225/25257221.pdf","www.infonalia.es/adjudicaciones1225/25257221.pdf")</x:f>
        <x:v>www.infonalia.es/adjudicaciones1225/25257221.pdf</x:v>
      </x:c>
      <x:c r="E4" s="8" t="s">
        <x:v>25</x:v>
      </x:c>
      <x:c r="F4" s="6" t="s">
        <x:v>26</x:v>
      </x:c>
      <x:c r="G4" s="6" t="s">
        <x:v>27</x:v>
      </x:c>
      <x:c r="H4" s="6" t="s">
        <x:v>28</x:v>
      </x:c>
      <x:c r="I4" s="6" t="s">
        <x:v>18</x:v>
      </x:c>
      <x:c r="J4" s="9" t="n">
        <x:v>76371.88</x:v>
      </x:c>
      <x:c r="K4" s="9" t="n">
        <x:v>98400.00</x:v>
      </x:c>
    </x:row>
    <x:row r="5">
      <x:c r="A5" s="6" t="s">
        <x:v>11</x:v>
      </x:c>
      <x:c r="B5" s="6" t="s">
        <x:v>29</x:v>
      </x:c>
      <x:c r="C5" s="6" t="s">
        <x:v>13</x:v>
      </x:c>
      <x:c r="D5" s="7" t="str">
        <x:f xml:space="preserve">HYPERLINK("https://www.infonalia.es/adjudicaciones1225/25257295.pdf","www.infonalia.es/adjudicaciones1225/25257295.pdf")</x:f>
        <x:v>www.infonalia.es/adjudicaciones1225/25257295.pdf</x:v>
      </x:c>
      <x:c r="E5" s="8" t="s">
        <x:v>30</x:v>
      </x:c>
      <x:c r="F5" s="6" t="s">
        <x:v>31</x:v>
      </x:c>
      <x:c r="G5" s="6" t="s">
        <x:v>32</x:v>
      </x:c>
      <x:c r="H5" s="6" t="s">
        <x:v>33</x:v>
      </x:c>
      <x:c r="I5" s="6" t="s">
        <x:v>34</x:v>
      </x:c>
      <x:c r="J5" s="9" t="s">
        <x:v>35</x:v>
      </x:c>
      <x:c r="K5" s="9" t="n">
        <x:v>576329.35</x:v>
      </x:c>
    </x:row>
    <x:row r="6">
      <x:c r="A6" s="6" t="s">
        <x:v>11</x:v>
      </x:c>
      <x:c r="B6" s="6" t="s">
        <x:v>36</x:v>
      </x:c>
      <x:c r="C6" s="6" t="s">
        <x:v>13</x:v>
      </x:c>
      <x:c r="D6" s="7" t="str">
        <x:f xml:space="preserve">HYPERLINK("https://www.infonalia.es/adjudicaciones1225/25257403.pdf","www.infonalia.es/adjudicaciones1225/25257403.pdf")</x:f>
        <x:v>www.infonalia.es/adjudicaciones1225/25257403.pdf</x:v>
      </x:c>
      <x:c r="E6" s="8" t="s">
        <x:v>37</x:v>
      </x:c>
      <x:c r="F6" s="6" t="s">
        <x:v>38</x:v>
      </x:c>
      <x:c r="G6" s="6" t="s">
        <x:v>39</x:v>
      </x:c>
      <x:c r="H6" s="6" t="s">
        <x:v>40</x:v>
      </x:c>
      <x:c r="I6" s="6" t="s">
        <x:v>41</x:v>
      </x:c>
      <x:c r="J6" s="9" t="n">
        <x:v>25525.00</x:v>
      </x:c>
      <x:c r="K6" s="9" t="n">
        <x:v>25525.00</x:v>
      </x:c>
    </x:row>
    <x:row r="7">
      <x:c r="A7" s="6" t="s">
        <x:v>42</x:v>
      </x:c>
      <x:c r="B7" s="6" t="s">
        <x:v>43</x:v>
      </x:c>
      <x:c r="C7" s="6" t="s">
        <x:v>13</x:v>
      </x:c>
      <x:c r="D7" s="7" t="str">
        <x:f xml:space="preserve">HYPERLINK("https://www.infonalia.es/adjudicaciones1225/25257438.pdf","www.infonalia.es/adjudicaciones1225/25257438.pdf")</x:f>
        <x:v>www.infonalia.es/adjudicaciones1225/25257438.pdf</x:v>
      </x:c>
      <x:c r="E7" s="8" t="s">
        <x:v>44</x:v>
      </x:c>
      <x:c r="F7" s="6" t="s">
        <x:v>45</x:v>
      </x:c>
      <x:c r="G7" s="6" t="s">
        <x:v>46</x:v>
      </x:c>
      <x:c r="H7" s="6" t="s">
        <x:v>47</x:v>
      </x:c>
      <x:c r="I7" s="6" t="s">
        <x:v>48</x:v>
      </x:c>
      <x:c r="J7" s="9" t="n">
        <x:v>32000.00</x:v>
      </x:c>
      <x:c r="K7" s="9" t="n">
        <x:v>82600.00</x:v>
      </x:c>
    </x:row>
    <x:row r="8">
      <x:c r="A8" s="6" t="s">
        <x:v>11</x:v>
      </x:c>
      <x:c r="B8" s="6" t="s">
        <x:v>49</x:v>
      </x:c>
      <x:c r="C8" s="6" t="s">
        <x:v>13</x:v>
      </x:c>
      <x:c r="D8" s="7" t="str">
        <x:f xml:space="preserve">HYPERLINK("https://www.infonalia.es/adjudicaciones1225/25257442.pdf","www.infonalia.es/adjudicaciones1225/25257442.pdf")</x:f>
        <x:v>www.infonalia.es/adjudicaciones1225/25257442.pdf</x:v>
      </x:c>
      <x:c r="E8" s="8" t="s">
        <x:v>50</x:v>
      </x:c>
      <x:c r="F8" s="6" t="s">
        <x:v>51</x:v>
      </x:c>
      <x:c r="G8" s="6" t="s">
        <x:v>52</x:v>
      </x:c>
      <x:c r="H8" s="6" t="s">
        <x:v>53</x:v>
      </x:c>
      <x:c r="I8" s="6" t="s">
        <x:v>48</x:v>
      </x:c>
      <x:c r="J8" s="9" t="n">
        <x:v>45800.00</x:v>
      </x:c>
      <x:c r="K8" s="9" t="n">
        <x:v>53000.00</x:v>
      </x:c>
    </x:row>
    <x:row r="9">
      <x:c r="A9" s="6" t="s">
        <x:v>11</x:v>
      </x:c>
      <x:c r="B9" s="6" t="s">
        <x:v>54</x:v>
      </x:c>
      <x:c r="C9" s="6" t="s">
        <x:v>13</x:v>
      </x:c>
      <x:c r="D9" s="7" t="str">
        <x:f xml:space="preserve">HYPERLINK("https://www.infonalia.es/adjudicaciones1225/25257446.pdf","www.infonalia.es/adjudicaciones1225/25257446.pdf")</x:f>
        <x:v>www.infonalia.es/adjudicaciones1225/25257446.pdf</x:v>
      </x:c>
      <x:c r="E9" s="8" t="s">
        <x:v>55</x:v>
      </x:c>
      <x:c r="F9" s="6" t="s">
        <x:v>56</x:v>
      </x:c>
      <x:c r="G9" s="6" t="s">
        <x:v>57</x:v>
      </x:c>
      <x:c r="H9" s="6" t="s">
        <x:v>58</x:v>
      </x:c>
      <x:c r="I9" s="6" t="s">
        <x:v>48</x:v>
      </x:c>
      <x:c r="J9" s="9" t="n">
        <x:v>10552.00</x:v>
      </x:c>
      <x:c r="K9" s="9" t="n">
        <x:v>11600.00</x:v>
      </x:c>
    </x:row>
    <x:row r="10">
      <x:c r="A10" s="6" t="s">
        <x:v>11</x:v>
      </x:c>
      <x:c r="B10" s="6" t="s">
        <x:v>59</x:v>
      </x:c>
      <x:c r="C10" s="6" t="s">
        <x:v>13</x:v>
      </x:c>
      <x:c r="D10" s="7" t="str">
        <x:f xml:space="preserve">HYPERLINK("https://www.infonalia.es/adjudicaciones1225/25257457.pdf","www.infonalia.es/adjudicaciones1225/25257457.pdf")</x:f>
        <x:v>www.infonalia.es/adjudicaciones1225/25257457.pdf</x:v>
      </x:c>
      <x:c r="E10" s="8" t="s">
        <x:v>60</x:v>
      </x:c>
      <x:c r="F10" s="6" t="s">
        <x:v>61</x:v>
      </x:c>
      <x:c r="G10" s="6" t="s">
        <x:v>62</x:v>
      </x:c>
      <x:c r="H10" s="6" t="s">
        <x:v>63</x:v>
      </x:c>
      <x:c r="I10" s="6" t="s">
        <x:v>48</x:v>
      </x:c>
      <x:c r="J10" s="9" t="s">
        <x:v>35</x:v>
      </x:c>
      <x:c r="K10" s="9" t="n">
        <x:v>58900.00</x:v>
      </x:c>
    </x:row>
    <x:row r="11">
      <x:c r="A11" s="6" t="s">
        <x:v>42</x:v>
      </x:c>
      <x:c r="B11" s="6" t="s">
        <x:v>64</x:v>
      </x:c>
      <x:c r="C11" s="6" t="s">
        <x:v>13</x:v>
      </x:c>
      <x:c r="D11" s="7" t="str">
        <x:f xml:space="preserve">HYPERLINK("https://www.infonalia.es/adjudicaciones1225/25257689.pdf","www.infonalia.es/adjudicaciones1225/25257689.pdf")</x:f>
        <x:v>www.infonalia.es/adjudicaciones1225/25257689.pdf</x:v>
      </x:c>
      <x:c r="E11" s="8" t="s">
        <x:v>65</x:v>
      </x:c>
      <x:c r="F11" s="6" t="s">
        <x:v>66</x:v>
      </x:c>
      <x:c r="G11" s="6" t="s">
        <x:v>67</x:v>
      </x:c>
      <x:c r="H11" s="6" t="s">
        <x:v>68</x:v>
      </x:c>
      <x:c r="I11" s="6" t="s">
        <x:v>48</x:v>
      </x:c>
      <x:c r="J11" s="9" t="s">
        <x:v>35</x:v>
      </x:c>
      <x:c r="K11" s="9" t="n">
        <x:v>73601.75</x:v>
      </x:c>
    </x:row>
    <x:row r="12">
      <x:c r="A12" s="6" t="s">
        <x:v>11</x:v>
      </x:c>
      <x:c r="B12" s="6" t="s">
        <x:v>69</x:v>
      </x:c>
      <x:c r="C12" s="6" t="s">
        <x:v>13</x:v>
      </x:c>
      <x:c r="D12" s="7" t="str">
        <x:f xml:space="preserve">HYPERLINK("https://www.infonalia.es/adjudicaciones1225/25257693.pdf","www.infonalia.es/adjudicaciones1225/25257693.pdf")</x:f>
        <x:v>www.infonalia.es/adjudicaciones1225/25257693.pdf</x:v>
      </x:c>
      <x:c r="E12" s="8" t="s">
        <x:v>70</x:v>
      </x:c>
      <x:c r="F12" s="6" t="s">
        <x:v>71</x:v>
      </x:c>
      <x:c r="G12" s="6" t="s">
        <x:v>72</x:v>
      </x:c>
      <x:c r="H12" s="6" t="s">
        <x:v>73</x:v>
      </x:c>
      <x:c r="I12" s="6" t="s">
        <x:v>74</x:v>
      </x:c>
      <x:c r="J12" s="9" t="n">
        <x:v>290500.00</x:v>
      </x:c>
      <x:c r="K12" s="9" t="n">
        <x:v>337280.46</x:v>
      </x:c>
    </x:row>
    <x:row r="13">
      <x:c r="A13" s="6" t="s">
        <x:v>11</x:v>
      </x:c>
      <x:c r="B13" s="6" t="s">
        <x:v>75</x:v>
      </x:c>
      <x:c r="C13" s="6" t="s">
        <x:v>13</x:v>
      </x:c>
      <x:c r="D13" s="7" t="str">
        <x:f xml:space="preserve">HYPERLINK("https://www.infonalia.es/adjudicaciones1225/25257769.pdf","www.infonalia.es/adjudicaciones1225/25257769.pdf")</x:f>
        <x:v>www.infonalia.es/adjudicaciones1225/25257769.pdf</x:v>
      </x:c>
      <x:c r="E13" s="8" t="s">
        <x:v>76</x:v>
      </x:c>
      <x:c r="F13" s="6" t="s">
        <x:v>77</x:v>
      </x:c>
      <x:c r="G13" s="6" t="s">
        <x:v>78</x:v>
      </x:c>
      <x:c r="H13" s="6" t="s">
        <x:v>79</x:v>
      </x:c>
      <x:c r="I13" s="6" t="s">
        <x:v>18</x:v>
      </x:c>
      <x:c r="J13" s="9" t="n">
        <x:v>135565.00</x:v>
      </x:c>
      <x:c r="K13" s="9" t="n">
        <x:v>142700.00</x:v>
      </x:c>
    </x:row>
    <x:row r="14">
      <x:c r="A14" s="6" t="s">
        <x:v>11</x:v>
      </x:c>
      <x:c r="B14" s="6" t="s">
        <x:v>80</x:v>
      </x:c>
      <x:c r="C14" s="6" t="s">
        <x:v>13</x:v>
      </x:c>
      <x:c r="D14" s="7" t="str">
        <x:f xml:space="preserve">HYPERLINK("https://www.infonalia.es/adjudicaciones1225/25257834.pdf","www.infonalia.es/adjudicaciones1225/25257834.pdf")</x:f>
        <x:v>www.infonalia.es/adjudicaciones1225/25257834.pdf</x:v>
      </x:c>
      <x:c r="E14" s="8" t="s">
        <x:v>81</x:v>
      </x:c>
      <x:c r="F14" s="6" t="s">
        <x:v>82</x:v>
      </x:c>
      <x:c r="G14" s="6" t="s">
        <x:v>83</x:v>
      </x:c>
      <x:c r="H14" s="6" t="s">
        <x:v>84</x:v>
      </x:c>
      <x:c r="I14" s="6" t="s">
        <x:v>48</x:v>
      </x:c>
      <x:c r="J14" s="9" t="n">
        <x:v>36429.75</x:v>
      </x:c>
      <x:c r="K14" s="9" t="n">
        <x:v>47933.88</x:v>
      </x:c>
    </x:row>
    <x:row r="15">
      <x:c r="A15" s="6" t="s">
        <x:v>11</x:v>
      </x:c>
      <x:c r="B15" s="6" t="s">
        <x:v>85</x:v>
      </x:c>
      <x:c r="C15" s="6" t="s">
        <x:v>13</x:v>
      </x:c>
      <x:c r="D15" s="7" t="str">
        <x:f xml:space="preserve">HYPERLINK("https://www.infonalia.es/adjudicaciones1225/25257837.pdf","www.infonalia.es/adjudicaciones1225/25257837.pdf")</x:f>
        <x:v>www.infonalia.es/adjudicaciones1225/25257837.pdf</x:v>
      </x:c>
      <x:c r="E15" s="8" t="s">
        <x:v>86</x:v>
      </x:c>
      <x:c r="F15" s="6" t="s">
        <x:v>87</x:v>
      </x:c>
      <x:c r="G15" s="6" t="s">
        <x:v>88</x:v>
      </x:c>
      <x:c r="H15" s="6" t="s">
        <x:v>89</x:v>
      </x:c>
      <x:c r="I15" s="6" t="s">
        <x:v>74</x:v>
      </x:c>
      <x:c r="J15" s="9" t="s">
        <x:v>35</x:v>
      </x:c>
      <x:c r="K15" s="9" t="n">
        <x:v>1108715.00</x:v>
      </x:c>
    </x:row>
    <x:row r="16">
      <x:c r="A16" s="6" t="s">
        <x:v>11</x:v>
      </x:c>
      <x:c r="B16" s="6" t="s">
        <x:v>90</x:v>
      </x:c>
      <x:c r="C16" s="6" t="s">
        <x:v>13</x:v>
      </x:c>
      <x:c r="D16" s="7" t="str">
        <x:f xml:space="preserve">HYPERLINK("https://www.infonalia.es/adjudicaciones1225/25257883.pdf","www.infonalia.es/adjudicaciones1225/25257883.pdf")</x:f>
        <x:v>www.infonalia.es/adjudicaciones1225/25257883.pdf</x:v>
      </x:c>
      <x:c r="E16" s="8" t="s">
        <x:v>91</x:v>
      </x:c>
      <x:c r="F16" s="6" t="s">
        <x:v>92</x:v>
      </x:c>
      <x:c r="G16" s="6" t="s">
        <x:v>93</x:v>
      </x:c>
      <x:c r="H16" s="6" t="s">
        <x:v>94</x:v>
      </x:c>
      <x:c r="I16" s="6" t="s">
        <x:v>18</x:v>
      </x:c>
      <x:c r="J16" s="9" t="n">
        <x:v>297780.00</x:v>
      </x:c>
      <x:c r="K16" s="9" t="n">
        <x:v>315000.00</x:v>
      </x:c>
    </x:row>
    <x:row r="17">
      <x:c r="A17" s="6" t="s">
        <x:v>11</x:v>
      </x:c>
      <x:c r="B17" s="6" t="s">
        <x:v>95</x:v>
      </x:c>
      <x:c r="C17" s="6" t="s">
        <x:v>13</x:v>
      </x:c>
      <x:c r="D17" s="7" t="str">
        <x:f xml:space="preserve">HYPERLINK("https://www.infonalia.es/adjudicaciones1225/25257952.pdf","www.infonalia.es/adjudicaciones1225/25257952.pdf")</x:f>
        <x:v>www.infonalia.es/adjudicaciones1225/25257952.pdf</x:v>
      </x:c>
      <x:c r="E17" s="8" t="s">
        <x:v>96</x:v>
      </x:c>
      <x:c r="F17" s="6" t="s">
        <x:v>97</x:v>
      </x:c>
      <x:c r="G17" s="6" t="s">
        <x:v>98</x:v>
      </x:c>
      <x:c r="H17" s="6" t="s">
        <x:v>99</x:v>
      </x:c>
      <x:c r="I17" s="6" t="s">
        <x:v>18</x:v>
      </x:c>
      <x:c r="J17" s="9" t="n">
        <x:v>12400.00</x:v>
      </x:c>
      <x:c r="K17" s="9" t="n">
        <x:v>14000.00</x:v>
      </x:c>
    </x:row>
    <x:row r="18">
      <x:c r="A18" s="6" t="s">
        <x:v>11</x:v>
      </x:c>
      <x:c r="B18" s="6" t="s">
        <x:v>100</x:v>
      </x:c>
      <x:c r="C18" s="6" t="s">
        <x:v>13</x:v>
      </x:c>
      <x:c r="D18" s="7" t="str">
        <x:f xml:space="preserve">HYPERLINK("https://www.infonalia.es/adjudicaciones1225/25258078.pdf","www.infonalia.es/adjudicaciones1225/25258078.pdf")</x:f>
        <x:v>www.infonalia.es/adjudicaciones1225/25258078.pdf</x:v>
      </x:c>
      <x:c r="E18" s="8" t="s">
        <x:v>101</x:v>
      </x:c>
      <x:c r="F18" s="6" t="s">
        <x:v>102</x:v>
      </x:c>
      <x:c r="G18" s="6" t="s">
        <x:v>103</x:v>
      </x:c>
      <x:c r="H18" s="6" t="s">
        <x:v>104</x:v>
      </x:c>
      <x:c r="I18" s="6" t="s">
        <x:v>105</x:v>
      </x:c>
      <x:c r="J18" s="9" t="n">
        <x:v>127881.14</x:v>
      </x:c>
      <x:c r="K18" s="9" t="n">
        <x:v>127881.14</x:v>
      </x:c>
    </x:row>
  </x:sheetData>
  <x:autoFilter ref="A1:K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Adjudicaciones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1</cp:revision>
  <dcterms:created xsi:type="dcterms:W3CDTF">2024-12-04T08:58:32Z</dcterms:created>
  <dcterms:modified xsi:type="dcterms:W3CDTF">2025-01-20T07:55:24Z</dcterms:modified>
  <dc:language>es-ES</dc:language>
</cp:coreProperties>
</file>