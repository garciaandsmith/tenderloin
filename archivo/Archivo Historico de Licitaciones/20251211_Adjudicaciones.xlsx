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<x:sst xmlns:x="http://schemas.openxmlformats.org/spreadsheetml/2006/main" count="11" uniqueCount="11">
  <x:si>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</x:si>
  <x:si>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</x:si>
  <x:si>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</x:si>
  <x:si>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</x:si>
  <x:si>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</x:si>
  <x:si>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</x:si>
  <x:si>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</x:si>
  <x:si>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</x:si>
  <x:si>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</x:si>
  <x:si>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</x:si>
  <x:si>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</x:si>
  <x:si>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Formalización</x:t>
  </x:si>
  <x:si>
    <x:t>LOTE 3 EVENTUAL SERVICES PRODUCCIÓN Y EVENTOS, S.L. </x:t>
  </x:si>
  <x:si>
    <x:t>11/12/2025 0:00:00</x:t>
  </x:si>
  <x:si>
    <x:t>25248133</x:t>
  </x:si>
  <x:si>
    <x:t>CONSEJO DE GOBIERNO DEL INSTITUTO MUNICIPAL EMPLEO Y PROMOCIÓN ECONÓMICA DE ALCORCÓN (IMEPE)</x:t>
  </x:si>
  <x:si>
    <x:t>Actividades de dinamización del comercio de Alcorcón. Lote 1: Feria de Comercio. Lote 2: Pasarela de Comercio. Lote 3: Mercadillo Navideño</x:t>
  </x:si>
  <x:si>
    <x:t>I.17.25.C</x:t>
  </x:si>
  <x:si>
    <x:t>Madrid</x:t>
  </x:si>
  <x:si>
    <x:t>LINCE COMUNICACION SL </x:t>
  </x:si>
  <x:si>
    <x:t>25248143</x:t>
  </x:si>
  <x:si>
    <x:t>AYUNTAMIENTO DE MADRID. DISTRITO DE CHAMARTÍN</x:t>
  </x:si>
  <x:si>
    <x:t>Contrato para la prestación del servicio de actividades culturales y de ocio en el Distrito de Chamartín (3 lotes). Lote 1: Programacion en centros culturales y espacios abiertos. Lote 2: Simultanea internacional de ajedrez y ajedrez en en los parques. Lote 3: Actividades conmemorativas, puntuales o extraordinarias.</x:t>
  </x:si>
  <x:si>
    <x:t>300/2025/00928</x:t>
  </x:si>
  <x:si>
    <x:t>Adjudicado</x:t>
  </x:si>
  <x:si>
    <x:t>REM LAB SL</x:t>
  </x:si>
  <x:si>
    <x:t>25248354</x:t>
  </x:si>
  <x:si>
    <x:t>AYUNTAMIENTO DE BANYOLES (GIRONA)</x:t>
  </x:si>
  <x:si>
    <x:t>Asistencia técnica para el despliegue de las actuaciones del PSTD - Banyoles Ciudad del Agua - Actuación 11 Proyecto videomapping.</x:t>
  </x:si>
  <x:si>
    <x:t>X2025012339</x:t>
  </x:si>
  <x:si>
    <x:t>Girona</x:t>
  </x:si>
  <x:si>
    <x:t>LOTE 1 PRODUCCIONES MIC SL; LOTE 2 PRODUCCIONES MIC SL</x:t>
  </x:si>
  <x:si>
    <x:t>25248361</x:t>
  </x:si>
  <x:si>
    <x:t>AYUNTAMIENTO DE SANT FOST DE CAMPSENTELLES (BARCELONA)</x:t>
  </x:si>
  <x:si>
    <x:t>Servicio de maquetación, impresión y distribución del Boletín Municipal L'Alba (Lote 1) y el programa de Fiesta Mayor de Sant Fost de Campsentelles (Lote 2)</x:t>
  </x:si>
  <x:si>
    <x:t>1833/2025</x:t>
  </x:si>
  <x:si>
    <x:t>Barcelona</x:t>
  </x:si>
  <x:si>
    <x:t>Ver detalle de la adjudicación</x:t>
  </x:si>
  <x:si>
    <x:t>PROVIDEO SEVILLA, S.L</x:t>
  </x:si>
  <x:si>
    <x:t>25248376</x:t>
  </x:si>
  <x:si>
    <x:t>DIRECCIÓN DE COMPRAS DE LA CORPORACIÓN DE RADIO Y TELEVISIÓN ESPAÑOLA S.A</x:t>
  </x:si>
  <x:si>
    <x:t>Sistema de transmisión de streaming de vídeo para RNE.</x:t>
  </x:si>
  <x:si>
    <x:t>S-05428-2025</x:t>
  </x:si>
  <x:si>
    <x:t>CROMÁTIKA COMUNICACIÓN VISUAL, S.L.; GROW COMUNICACIÓN, S.A.; GRUP MEDIAPRO, S.L.U.; MOMENTUM MADRID, S.A.; TELEFÓNICA BROADCAST SERVICES, S.L.U.; THE BOX ADVERTISING, S.L.</x:t>
  </x:si>
  <x:si>
    <x:t>25248463</x:t>
  </x:si>
  <x:si>
    <x:t>METRO DE MADRID, S.A.</x:t>
  </x:si>
  <x:si>
    <x:t>Servicios de producción de acciones y eventos corporativos de Metro de Madrid, S .A</x:t>
  </x:si>
  <x:si>
    <x:t>6012500173</x:t>
  </x:si>
  <x:si>
    <x:t>LOTE 1 ÁGORA RED STUDIO; LOTE 2 VIAJES EL CORTE INGLÉS S.A.</x:t>
  </x:si>
  <x:si>
    <x:t>25248484</x:t>
  </x:si>
  <x:si>
    <x:t>INSTITUTO PARA LA COMPETITIVIDAD EMPRESARIAL DE LA JUNTA DE CASTILLA Y LEÓN</x:t>
  </x:si>
  <x:si>
    <x:t>Diseño, decoración, montaje, desmontaje, mantenimiento, transporte y servicios asociados al stand de ICECYL en las Ferias WINE PARIS y BIOFACH 2026. 2 lotes.</x:t>
  </x:si>
  <x:si>
    <x:t>A2025/013673</x:t>
  </x:si>
  <x:si>
    <x:t>Francia y Alemania</x:t>
  </x:si>
  <x:si>
    <x:t>ESPECTACLERIA SL</x:t>
  </x:si>
  <x:si>
    <x:t>25248515</x:t>
  </x:si>
  <x:si>
    <x:t>INSTITUTO MUNICIPAL DE LA VIVIENDA Y REHABILITACIÓN DE BARCELONA</x:t>
  </x:si>
  <x:si>
    <x:t>Servicios para la gestión, organización, dinamización, coordinación, ejecución y valoración del Foro de Vivienda y Rehabilitación de Barcelona (FHAR), con medidas de contratación pública sostenible (25-059)</x:t>
  </x:si>
  <x:si>
    <x:t>25/059</x:t>
  </x:si>
  <x:si>
    <x:t>ANDTONIC STUDIOS, S.L</x:t>
  </x:si>
  <x:si>
    <x:t>25248557</x:t>
  </x:si>
  <x:si>
    <x:t>COMUNIDAD DE MADRID. CONSEJERÍA DE CULTURA, TURISMO Y DEPORTE</x:t>
  </x:si>
  <x:si>
    <x:t>Servicios de construcción, montaje y desmontaje, puesta en funcionamiento, mantenimiento y prestación de servicios accesorios (limpieza, wifi, seguridad y catering) del stand de la Comunidad de Madrid y el Ayuntamiento de Madrid en FITUR 2026</x:t>
  </x:si>
  <x:si>
    <x:t>C-432A/007-25 (A/SER-034310/2025)</x:t>
  </x:si>
  <x:si>
    <x:t>CLICKSOUND SL</x:t>
  </x:si>
  <x:si>
    <x:t>25248591</x:t>
  </x:si>
  <x:si>
    <x:t>AENA. DIRECCIÓN DE CONTRATACIÓN</x:t>
  </x:si>
  <x:si>
    <x:t>Servicio de video-producción audiovisual en temas de seguridad operacional para Aena.</x:t>
  </x:si>
  <x:si>
    <x:t>DSA-112/2025</x:t>
  </x:si>
  <x:si>
    <x:t>E2BIZ CONSULTORIA E INVESTIGACIÓN LIMITADA</x:t>
  </x:si>
  <x:si>
    <x:t>25248702</x:t>
  </x:si>
  <x:si>
    <x:t>MINISTERIO DE ASUNTOS EXTERIORES, UNIÓN EUROPEA Y COOPERACIÓN. SECRETARÍA GENERAL DE LA FUNDACIÓN INTERNACIONAL Y PARA IBEROAMÉRICA DE ADMINISTRACIÓN POLÍTICAS PÚBLICAS</x:t>
  </x:si>
  <x:si>
    <x:t>Apoyar al Ministerio del Medio Ambiente en la implementación de una Ruta para acelerar el Financiamiento Climático Subnacional, mediante el desarrollo de propuestas técnicas e institucionales y el acompañamiento técnico en la ejecución de acciones estratégicas.</x:t>
  </x:si>
  <x:si>
    <x:t>DEMA-2025-058</x:t>
  </x:si>
  <x:si>
    <x:t>UNIVERSITARIO DE SEVILLA CLUB DE RUGBY</x:t>
  </x:si>
  <x:si>
    <x:t>25248729</x:t>
  </x:si>
  <x:si>
    <x:t>EMPRESA PÚBLICA PARA LA GESTIÓN DEL TURISMO Y EL DEPORTE DE ANDALUCÍA, S.A</x:t>
  </x:si>
  <x:si>
    <x:t>Patrocinio del equipo universitario de sevilla club de rugby (conocido como simón verde magnolia cocos rugby femenino) - temporada 2025/2026</x:t>
  </x:si>
  <x:si>
    <x:t>C2N06-05TG-1125-0210</x:t>
  </x:si>
  <x:si>
    <x:t>--------</x:t>
  </x:si>
  <x:si>
    <x:t>NIVELL PUBLICITARI DIGITAL S.L</x:t>
  </x:si>
  <x:si>
    <x:t>25248745</x:t>
  </x:si>
  <x:si>
    <x:t>ÁREA DE GOBIERNO DE VICEALCALDÍA, PORTAVOZ, SEGURIDAD Y EMERGENCIAS DEL AYUNTAMIENTO DE MADRID</x:t>
  </x:si>
  <x:si>
    <x:t>Fomentar la visibilidad y la participación en las actividades de la campaña navideña del distrito de Carabanchel</x:t>
  </x:si>
  <x:si>
    <x:t>511/2024/09735.34</x:t>
  </x:si>
  <x:si>
    <x:t>NEW ECONOMY INTERNATIONAL FORUM SL</x:t>
  </x:si>
  <x:si>
    <x:t>25248819</x:t>
  </x:si>
  <x:si>
    <x:t>Patrocinio Entre Aena Sme, S.A. Y Nueva Economía Fórum Para El Patrocinio De Fórum Europa - Tribuna De Catalunya</x:t>
  </x:si>
  <x:si>
    <x:t>DCP-537/2025</x:t>
  </x:si>
  <x:si>
    <x:t>------</x:t>
  </x:si>
  <x:si>
    <x:t>CLUB VOLEIBOL ALMERIA</x:t>
  </x:si>
  <x:si>
    <x:t>25248822</x:t>
  </x:si>
  <x:si>
    <x:t>EMPRESA PÚBLICA PARA LA GESTIÓN DEL TURISMO Y EL DEPORTE DE ANDALUCÍA, S.A.</x:t>
  </x:si>
  <x:si>
    <x:t>Patrocinio del equipo Unicaja Costa de Almería de voleibol masculino</x:t>
  </x:si>
  <x:si>
    <x:t>C2N06-05JC-1125-0191</x:t>
  </x:si>
  <x:si>
    <x:t>C.D. GUADALCACIN FUTBOL SALA</x:t>
  </x:si>
  <x:si>
    <x:t>25248823</x:t>
  </x:si>
  <x:si>
    <x:t>Patrocinio del Guadalcacín Fútbol Sala Femenino durante la temporada 2025-2026</x:t>
  </x:si>
  <x:si>
    <x:t>C2N06-05RZ-1125-0209</x:t>
  </x:si>
  <x:si>
    <x:t>TANDEM PROJECTS SL</x:t>
  </x:si>
  <x:si>
    <x:t>25248866</x:t>
  </x:si>
  <x:si>
    <x:t>UNIVERSITAT POMPEU FABRA</x:t>
  </x:si>
  <x:si>
    <x:t>Contratación de los servicios de conceptualización, desarrollo e implementación de una campaña de comunicación estratégica destinada a impulsar y transmitir un nuevo relato de marca de la UPF de acuerdo con el Pliego de Prescripciones Técnicas (PPT).</x:t>
  </x:si>
  <x:si>
    <x:t>UPF-2025-0059</x:t>
  </x:si>
  <x:si>
    <x:t>ASSOCIACIO ARTESANS PALAU DE MAR</x:t>
  </x:si>
  <x:si>
    <x:t>25248912</x:t>
  </x:si>
  <x:si>
    <x:t>MINISTERIO DE TRANSPORTES, MOVILIDAD YAGENDA URBANA. GERENCIA URBANÍSTICA PORT VELL DE LA AUTORIDAD PORTUARIA DE BARCELONA</x:t>
  </x:si>
  <x:si>
    <x:t>Contratación de los derechos de uso de superficie para la instalación y explotación de una feria de artesania en el Muelle del Dipòsit en el Port Vell</x:t>
  </x:si>
  <x:si>
    <x:t>I03/25</x:t>
  </x:si>
  <x:si>
    <x:t>HCI GESTORA DE ACTIVOS SL</x:t>
  </x:si>
  <x:si>
    <x:t>25248924</x:t>
  </x:si>
  <x:si>
    <x:t>FUNDACIÓ PRIVADA INSTITUT DE FORMACIÓ CONTÍNUA DE LA UNIVERSITAT DE BARCELONA (IL3-UB) (M.P.)</x:t>
  </x:si>
  <x:si>
    <x:t>El presente contrato tiene por objeto la contratación de: • Servicio de alojamiento completo para 100 personas por el período del 18 al 22 de enero de 2026: 5 días (4 noches) y por 100 personas por el periodo del 25 al 27 de junio de 2026: 3 días (2 noches), • Servicio de forfait extra. • Servicio de 28 almuerzos y 20 almuerzos para el equipo docente participante • Diferentes espacios y salas polivalentes con materiales audiovisuales y ordenadores, • Servicio de parking con un mínimo de 75 plazas. El servicio de alojamiento completo incluye: alojamiento en habitación doble compartida o individual, desayuno buffet, coffee break mañana, comida tipo buffet, coffee break tarde y cena tipo bufé.</x:t>
  </x:si>
  <x:si>
    <x:t>14/2025</x:t>
  </x:si>
  <x:si>
    <x:t>Formalizado</x:t>
  </x:si>
  <x:si>
    <x:t>LOTE 2 INFOBIBLIOTECAS S.L.</x:t>
  </x:si>
  <x:si>
    <x:t>25248937</x:t>
  </x:si>
  <x:si>
    <x:t>AYUNTAMIENTO DE GRANOLLERS (BARCELONA)</x:t>
  </x:si>
  <x:si>
    <x:t>Suministro de fondos documentales para la red urbana de bibliotecas de Granollers. • LOTE 1: Fondo de libros • LOTE 2: Fondo audiovisual • LOTE 3: Juegos de mesa</x:t>
  </x:si>
  <x:si>
    <x:t>2025/037 (45/2025/CONT)</x:t>
  </x:si>
  <x:si>
    <x:t>CENTRAL DE PROJECTES MASSENS, S.L</x:t>
  </x:si>
  <x:si>
    <x:t>25249071</x:t>
  </x:si>
  <x:si>
    <x:t>ÀREA METROPOLITANA DE BARCELONA</x:t>
  </x:si>
  <x:si>
    <x:t>Suministro consistente en la producción, suministro y montaje de la exposición 2026 de la dirección de servicios del espacio público del AMB</x:t>
  </x:si>
  <x:si>
    <x:t>902835/25</x:t>
  </x:si>
  <x:si>
    <x:t>LOTE 1 OMNEOM SL; LOTE 3 MUUTOS EVOLUTION CONSULTING, S.L.U.; LOTE 5 CAL TIP COOPERATIVA DE CONEIXEMENT SCCL</x:t>
  </x:si>
  <x:si>
    <x:t>25249099</x:t>
  </x:si>
  <x:si>
    <x:t>AYUNTAMIENTO DE VILADECANS (BARCELONA)</x:t>
  </x:si>
  <x:si>
    <x:t>Servicio para el diseño y ejecución de diferentes programas orientados a la innovación empresarial y de los servicios para la realización de procesos de mentoring en áreas de gestión empresarial y tecnológica, en el marco de los programas de la Unidad de Empresas y emprendeduría del Área de Empleo y Empresas, mediante el fomento de la contratación de personas con dificultades particulares de inserción en el mercado laboral, y con medidas de contratación. Lote 1: Diseño y ejecución del programa Women Corporat. Lote 2: Diseño y ejecución del Programa BIP-Tech. Lote 3: Diseño y ejecución de la Hackathó, Constru-Hack. Lote 4: Servicios de mentoría en gestión empresarial. Lote 5: Servicios de mentoría tecnológica especializada.</x:t>
  </x:si>
  <x:si>
    <x:t>AOE/AGI/CONTRACTACIÓ/2025/54 – 31/2025/CSERV</x:t>
  </x:si>
  <x:si>
    <x:t>SERVEI DE NETEJA EL REBELDE, SL</x:t>
  </x:si>
  <x:si>
    <x:t>25249102</x:t>
  </x:si>
  <x:si>
    <x:t>AYUNTAMIENTO DE TORRELLES DE LLOBREGAT (BARCELONA)</x:t>
  </x:si>
  <x:si>
    <x:t>Servicio de recogida y transporte de residuos: domiciliarios y comerciales; recogida puerta a puerta; servicio de repaso y servicio de ferias y actos populares. - Servicio de limpieza viaria. - Transporte de los residuos provenientes de la limpieza viaria y de la recogida de residuos en las plantas de tratamiento. - Suministro de los software de gestión y seguimiento de servicios. - Servicio de seguimiento de incidencias, de los datos y la participación. - Servicio de atención ciudadana y educación ambiental. - Estrategia comunicativa e imagen del nuevo servicio. - Campaña de implantación del nuevo servicio de recogida puerta a puerta 4 fracciones. - Planificación y ejecución de campañas informativas anuales</x:t>
  </x:si>
  <x:si>
    <x:t>CS011-2025</x:t>
  </x:si>
  <x:si>
    <x:t>GROW COMUNICACIÓN, S.A</x:t>
  </x:si>
  <x:si>
    <x:t>25249149</x:t>
  </x:si>
  <x:si>
    <x:t>JUNTA DE CONTRATACIÓN DEL MINISTERIO DE SANIDAD</x:t>
  </x:si>
  <x:si>
    <x:t>Servicio de creatividad, diseño y producción de una campaña de publicidad institucional de visibilidad y normalización de la discapacidad psicosocial (2025)</x:t>
  </x:si>
  <x:si>
    <x:t>202506PNG001</x:t>
  </x:si>
  <x:si>
    <x:t>C.D.ATLETICO TORCAL F.S</x:t>
  </x:si>
  <x:si>
    <x:t>25249173</x:t>
  </x:si>
  <x:si>
    <x:t>Patrocinio Nueces de Ronda Atlético Torcal Futbol Sala Femenino temporada 2025- 2026</x:t>
  </x:si>
  <x:si>
    <x:t>C2N06-05JC-1125-0192</x:t>
  </x:si>
  <x:si>
    <x:t>-------</x:t>
  </x:si>
  <x:si>
    <x:t>25249174</x:t>
  </x:si>
  <x:si>
    <x:t>Patrocinio del equipo universitario de Sevilla club de rugby (conocido como simón verde magnolia cocos rugby femenino) - temporada 2025/2026</x:t>
  </x:si>
  <x:si>
    <x:t>25249211</x:t>
  </x:si>
  <x:si>
    <x:t>Patrocinio del guadalcacín fútbol sala femenino durante la temporada 2025-2026</x:t>
  </x:si>
  <x:si>
    <x:t>Adjudicación</x:t>
  </x:si>
  <x:si>
    <x:t>UNITED EXPERTS PARTNERS</x:t>
  </x:si>
  <x:si>
    <x:t>25249246</x:t>
  </x:si>
  <x:si>
    <x:t>PRESIDENCIA DEL CONSEJO DE ADMINISTRACIÓN DE LA AUTORIDAD PORTUARIA DE BARCELONA (PORT DE BARCELONA)</x:t>
  </x:si>
  <x:si>
    <x:t>Segunda prórroga de la Prestación de servicios para la promoción de servicios logísticos del Puerto de Barcelona en la zona del norte de África (Marruecos, Argelia, Túnez, Libia y Egipto). Clave de expediente: 2025C260167</x:t>
  </x:si>
  <x:si>
    <x:t>2025-00467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</x:si>
</x:sst>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HYPERLINK("https://www.infonalia.es/adjudicaciones1225/25248133.pdf","www.infonalia.es/adjudicaciones1225/25248133.pdf")</x:f>
        <x:v>www.infonalia.es/adjudicaciones1225/25248133.pdf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26462.00</x:v>
      </x:c>
      <x:c r="K2" s="9" t="n">
        <x:v>30044.00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HYPERLINK("https://www.infonalia.es/adjudicaciones1225/25248143.pdf","www.infonalia.es/adjudicaciones1225/25248143.pdf")</x:f>
        <x:v>www.infonalia.es/adjudicaciones1225/25248143.pdf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18</x:v>
      </x:c>
      <x:c r="J3" s="9" t="n">
        <x:v>104490.00</x:v>
      </x:c>
      <x:c r="K3" s="9" t="n">
        <x:v>139855.46</x:v>
      </x:c>
    </x:row>
    <x:row r="4">
      <x:c r="A4" s="6" t="s">
        <x:v>24</x:v>
      </x:c>
      <x:c r="B4" s="6" t="s">
        <x:v>25</x:v>
      </x:c>
      <x:c r="C4" s="6" t="s">
        <x:v>13</x:v>
      </x:c>
      <x:c r="D4" s="7" t="str">
        <x:f xml:space="preserve">HYPERLINK("https://www.infonalia.es/adjudicaciones1225/25248354.pdf","www.infonalia.es/adjudicaciones1225/25248354.pdf")</x:f>
        <x:v>www.infonalia.es/adjudicaciones1225/25248354.pdf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30</x:v>
      </x:c>
      <x:c r="J4" s="9" t="n">
        <x:v>54149.09</x:v>
      </x:c>
      <x:c r="K4" s="9" t="n">
        <x:v>66035.48</x:v>
      </x:c>
    </x:row>
    <x:row r="5">
      <x:c r="A5" s="6" t="s">
        <x:v>24</x:v>
      </x:c>
      <x:c r="B5" s="6" t="s">
        <x:v>31</x:v>
      </x:c>
      <x:c r="C5" s="6" t="s">
        <x:v>13</x:v>
      </x:c>
      <x:c r="D5" s="7" t="str">
        <x:f xml:space="preserve">HYPERLINK("https://www.infonalia.es/adjudicaciones1225/25248361.pdf","www.infonalia.es/adjudicaciones1225/25248361.pdf")</x:f>
        <x:v>www.infonalia.es/adjudicaciones1225/25248361.pdf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36</x:v>
      </x:c>
      <x:c r="J5" s="9" t="s">
        <x:v>37</x:v>
      </x:c>
      <x:c r="K5" s="9" t="n">
        <x:v>57800.00</x:v>
      </x:c>
    </x:row>
    <x:row r="6">
      <x:c r="A6" s="6" t="s">
        <x:v>24</x:v>
      </x:c>
      <x:c r="B6" s="6" t="s">
        <x:v>38</x:v>
      </x:c>
      <x:c r="C6" s="6" t="s">
        <x:v>13</x:v>
      </x:c>
      <x:c r="D6" s="7" t="str">
        <x:f xml:space="preserve">HYPERLINK("https://www.infonalia.es/adjudicaciones1225/25248376.pdf","www.infonalia.es/adjudicaciones1225/25248376.pdf")</x:f>
        <x:v>www.infonalia.es/adjudicaciones1225/25248376.pdf</x:v>
      </x:c>
      <x:c r="E6" s="8" t="s">
        <x:v>39</x:v>
      </x:c>
      <x:c r="F6" s="6" t="s">
        <x:v>40</x:v>
      </x:c>
      <x:c r="G6" s="6" t="s">
        <x:v>41</x:v>
      </x:c>
      <x:c r="H6" s="6" t="s">
        <x:v>42</x:v>
      </x:c>
      <x:c r="I6" s="6" t="s">
        <x:v>18</x:v>
      </x:c>
      <x:c r="J6" s="9" t="n">
        <x:v>19925.16</x:v>
      </x:c>
      <x:c r="K6" s="9" t="n">
        <x:v>21581.00</x:v>
      </x:c>
    </x:row>
    <x:row r="7">
      <x:c r="A7" s="6" t="s">
        <x:v>24</x:v>
      </x:c>
      <x:c r="B7" s="6" t="s">
        <x:v>43</x:v>
      </x:c>
      <x:c r="C7" s="6" t="s">
        <x:v>13</x:v>
      </x:c>
      <x:c r="D7" s="7" t="str">
        <x:f xml:space="preserve">HYPERLINK("https://www.infonalia.es/adjudicaciones1225/25248463.pdf","www.infonalia.es/adjudicaciones1225/25248463.pdf")</x:f>
        <x:v>www.infonalia.es/adjudicaciones1225/25248463.pdf</x:v>
      </x:c>
      <x:c r="E7" s="8" t="s">
        <x:v>44</x:v>
      </x:c>
      <x:c r="F7" s="6" t="s">
        <x:v>45</x:v>
      </x:c>
      <x:c r="G7" s="6" t="s">
        <x:v>46</x:v>
      </x:c>
      <x:c r="H7" s="6" t="s">
        <x:v>47</x:v>
      </x:c>
      <x:c r="I7" s="6" t="s">
        <x:v>18</x:v>
      </x:c>
      <x:c r="J7" s="9" t="s">
        <x:v>37</x:v>
      </x:c>
      <x:c r="K7" s="9" t="n">
        <x:v>0.00</x:v>
      </x:c>
    </x:row>
    <x:row r="8">
      <x:c r="A8" s="6" t="s">
        <x:v>24</x:v>
      </x:c>
      <x:c r="B8" s="6" t="s">
        <x:v>48</x:v>
      </x:c>
      <x:c r="C8" s="6" t="s">
        <x:v>13</x:v>
      </x:c>
      <x:c r="D8" s="7" t="str">
        <x:f xml:space="preserve">HYPERLINK("https://www.infonalia.es/adjudicaciones1225/25248484.pdf","www.infonalia.es/adjudicaciones1225/25248484.pdf")</x:f>
        <x:v>www.infonalia.es/adjudicaciones1225/25248484.pdf</x:v>
      </x:c>
      <x:c r="E8" s="8" t="s">
        <x:v>49</x:v>
      </x:c>
      <x:c r="F8" s="6" t="s">
        <x:v>50</x:v>
      </x:c>
      <x:c r="G8" s="6" t="s">
        <x:v>51</x:v>
      </x:c>
      <x:c r="H8" s="6" t="s">
        <x:v>52</x:v>
      </x:c>
      <x:c r="I8" s="6" t="s">
        <x:v>53</x:v>
      </x:c>
      <x:c r="J8" s="9" t="s">
        <x:v>37</x:v>
      </x:c>
      <x:c r="K8" s="9" t="n">
        <x:v>537332.17</x:v>
      </x:c>
    </x:row>
    <x:row r="9">
      <x:c r="A9" s="6" t="s">
        <x:v>24</x:v>
      </x:c>
      <x:c r="B9" s="6" t="s">
        <x:v>54</x:v>
      </x:c>
      <x:c r="C9" s="6" t="s">
        <x:v>13</x:v>
      </x:c>
      <x:c r="D9" s="7" t="str">
        <x:f xml:space="preserve">HYPERLINK("https://www.infonalia.es/adjudicaciones1225/25248515.pdf","www.infonalia.es/adjudicaciones1225/25248515.pdf")</x:f>
        <x:v>www.infonalia.es/adjudicaciones1225/25248515.pdf</x:v>
      </x:c>
      <x:c r="E9" s="8" t="s">
        <x:v>55</x:v>
      </x:c>
      <x:c r="F9" s="6" t="s">
        <x:v>56</x:v>
      </x:c>
      <x:c r="G9" s="6" t="s">
        <x:v>57</x:v>
      </x:c>
      <x:c r="H9" s="6" t="s">
        <x:v>58</x:v>
      </x:c>
      <x:c r="I9" s="6" t="s">
        <x:v>36</x:v>
      </x:c>
      <x:c r="J9" s="9" t="n">
        <x:v>120000.00</x:v>
      </x:c>
      <x:c r="K9" s="9" t="n">
        <x:v>135361.26</x:v>
      </x:c>
    </x:row>
    <x:row r="10">
      <x:c r="A10" s="6" t="s">
        <x:v>24</x:v>
      </x:c>
      <x:c r="B10" s="6" t="s">
        <x:v>59</x:v>
      </x:c>
      <x:c r="C10" s="6" t="s">
        <x:v>13</x:v>
      </x:c>
      <x:c r="D10" s="7" t="str">
        <x:f xml:space="preserve">HYPERLINK("https://www.infonalia.es/adjudicaciones1225/25248557.pdf","www.infonalia.es/adjudicaciones1225/25248557.pdf")</x:f>
        <x:v>www.infonalia.es/adjudicaciones1225/25248557.pdf</x:v>
      </x:c>
      <x:c r="E10" s="8" t="s">
        <x:v>60</x:v>
      </x:c>
      <x:c r="F10" s="6" t="s">
        <x:v>61</x:v>
      </x:c>
      <x:c r="G10" s="6" t="s">
        <x:v>62</x:v>
      </x:c>
      <x:c r="H10" s="6" t="s">
        <x:v>63</x:v>
      </x:c>
      <x:c r="I10" s="6" t="s">
        <x:v>18</x:v>
      </x:c>
      <x:c r="J10" s="9" t="n">
        <x:v>510000.00</x:v>
      </x:c>
      <x:c r="K10" s="9" t="n">
        <x:v>516110.92</x:v>
      </x:c>
    </x:row>
    <x:row r="11">
      <x:c r="A11" s="6" t="s">
        <x:v>24</x:v>
      </x:c>
      <x:c r="B11" s="6" t="s">
        <x:v>64</x:v>
      </x:c>
      <x:c r="C11" s="6" t="s">
        <x:v>13</x:v>
      </x:c>
      <x:c r="D11" s="7" t="str">
        <x:f xml:space="preserve">HYPERLINK("https://www.infonalia.es/adjudicaciones1225/25248591.pdf","www.infonalia.es/adjudicaciones1225/25248591.pdf")</x:f>
        <x:v>www.infonalia.es/adjudicaciones1225/25248591.pdf</x:v>
      </x:c>
      <x:c r="E11" s="8" t="s">
        <x:v>65</x:v>
      </x:c>
      <x:c r="F11" s="6" t="s">
        <x:v>66</x:v>
      </x:c>
      <x:c r="G11" s="6" t="s">
        <x:v>67</x:v>
      </x:c>
      <x:c r="H11" s="6" t="s">
        <x:v>68</x:v>
      </x:c>
      <x:c r="I11" s="6" t="s">
        <x:v>18</x:v>
      </x:c>
      <x:c r="J11" s="9" t="n">
        <x:v>33100.00</x:v>
      </x:c>
      <x:c r="K11" s="9" t="n">
        <x:v>53300.00</x:v>
      </x:c>
    </x:row>
    <x:row r="12">
      <x:c r="A12" s="6" t="s">
        <x:v>24</x:v>
      </x:c>
      <x:c r="B12" s="6" t="s">
        <x:v>69</x:v>
      </x:c>
      <x:c r="C12" s="6" t="s">
        <x:v>13</x:v>
      </x:c>
      <x:c r="D12" s="7" t="str">
        <x:f xml:space="preserve">HYPERLINK("https://www.infonalia.es/adjudicaciones1225/25248702.pdf","www.infonalia.es/adjudicaciones1225/25248702.pdf")</x:f>
        <x:v>www.infonalia.es/adjudicaciones1225/25248702.pdf</x:v>
      </x:c>
      <x:c r="E12" s="8" t="s">
        <x:v>70</x:v>
      </x:c>
      <x:c r="F12" s="6" t="s">
        <x:v>71</x:v>
      </x:c>
      <x:c r="G12" s="6" t="s">
        <x:v>72</x:v>
      </x:c>
      <x:c r="H12" s="6" t="s">
        <x:v>73</x:v>
      </x:c>
      <x:c r="I12" s="6" t="s">
        <x:v>18</x:v>
      </x:c>
      <x:c r="J12" s="9" t="n">
        <x:v>46400.00</x:v>
      </x:c>
      <x:c r="K12" s="9" t="n">
        <x:v>58000.00</x:v>
      </x:c>
    </x:row>
    <x:row r="13">
      <x:c r="A13" s="6" t="s">
        <x:v>24</x:v>
      </x:c>
      <x:c r="B13" s="6" t="s">
        <x:v>74</x:v>
      </x:c>
      <x:c r="C13" s="6" t="s">
        <x:v>13</x:v>
      </x:c>
      <x:c r="D13" s="7" t="str">
        <x:f xml:space="preserve">HYPERLINK("https://www.infonalia.es/adjudicaciones1225/25248729.pdf","www.infonalia.es/adjudicaciones1225/25248729.pdf")</x:f>
        <x:v>www.infonalia.es/adjudicaciones1225/25248729.pdf</x:v>
      </x:c>
      <x:c r="E13" s="8" t="s">
        <x:v>75</x:v>
      </x:c>
      <x:c r="F13" s="6" t="s">
        <x:v>76</x:v>
      </x:c>
      <x:c r="G13" s="6" t="s">
        <x:v>77</x:v>
      </x:c>
      <x:c r="H13" s="6" t="s">
        <x:v>78</x:v>
      </x:c>
      <x:c r="I13" s="6" t="s">
        <x:v>79</x:v>
      </x:c>
      <x:c r="J13" s="9" t="n">
        <x:v>50351.24</x:v>
      </x:c>
      <x:c r="K13" s="9" t="n">
        <x:v>50351.24</x:v>
      </x:c>
    </x:row>
    <x:row r="14">
      <x:c r="A14" s="6" t="s">
        <x:v>24</x:v>
      </x:c>
      <x:c r="B14" s="6" t="s">
        <x:v>80</x:v>
      </x:c>
      <x:c r="C14" s="6" t="s">
        <x:v>13</x:v>
      </x:c>
      <x:c r="D14" s="7" t="str">
        <x:f xml:space="preserve">HYPERLINK("https://www.infonalia.es/adjudicaciones1225/25248745.pdf","www.infonalia.es/adjudicaciones1225/25248745.pdf")</x:f>
        <x:v>www.infonalia.es/adjudicaciones1225/25248745.pdf</x:v>
      </x:c>
      <x:c r="E14" s="8" t="s">
        <x:v>81</x:v>
      </x:c>
      <x:c r="F14" s="6" t="s">
        <x:v>82</x:v>
      </x:c>
      <x:c r="G14" s="6" t="s">
        <x:v>83</x:v>
      </x:c>
      <x:c r="H14" s="6" t="s">
        <x:v>84</x:v>
      </x:c>
      <x:c r="I14" s="6" t="s">
        <x:v>18</x:v>
      </x:c>
      <x:c r="J14" s="9" t="n">
        <x:v>7822.70</x:v>
      </x:c>
      <x:c r="K14" s="9" t="n">
        <x:v>7822.70</x:v>
      </x:c>
    </x:row>
    <x:row r="15">
      <x:c r="A15" s="6" t="s">
        <x:v>24</x:v>
      </x:c>
      <x:c r="B15" s="6" t="s">
        <x:v>85</x:v>
      </x:c>
      <x:c r="C15" s="6" t="s">
        <x:v>13</x:v>
      </x:c>
      <x:c r="D15" s="7" t="str">
        <x:f xml:space="preserve">HYPERLINK("https://www.infonalia.es/adjudicaciones1225/25248819.pdf","www.infonalia.es/adjudicaciones1225/25248819.pdf")</x:f>
        <x:v>www.infonalia.es/adjudicaciones1225/25248819.pdf</x:v>
      </x:c>
      <x:c r="E15" s="8" t="s">
        <x:v>86</x:v>
      </x:c>
      <x:c r="F15" s="6" t="s">
        <x:v>66</x:v>
      </x:c>
      <x:c r="G15" s="6" t="s">
        <x:v>87</x:v>
      </x:c>
      <x:c r="H15" s="6" t="s">
        <x:v>88</x:v>
      </x:c>
      <x:c r="I15" s="6" t="s">
        <x:v>89</x:v>
      </x:c>
      <x:c r="J15" s="9" t="n">
        <x:v>100000.00</x:v>
      </x:c>
      <x:c r="K15" s="9" t="n">
        <x:v>100000.00</x:v>
      </x:c>
    </x:row>
    <x:row r="16">
      <x:c r="A16" s="6" t="s">
        <x:v>24</x:v>
      </x:c>
      <x:c r="B16" s="6" t="s">
        <x:v>90</x:v>
      </x:c>
      <x:c r="C16" s="6" t="s">
        <x:v>13</x:v>
      </x:c>
      <x:c r="D16" s="7" t="str">
        <x:f xml:space="preserve">HYPERLINK("https://www.infonalia.es/adjudicaciones1225/25248822.pdf","www.infonalia.es/adjudicaciones1225/25248822.pdf")</x:f>
        <x:v>www.infonalia.es/adjudicaciones1225/25248822.pdf</x:v>
      </x:c>
      <x:c r="E16" s="8" t="s">
        <x:v>91</x:v>
      </x:c>
      <x:c r="F16" s="6" t="s">
        <x:v>92</x:v>
      </x:c>
      <x:c r="G16" s="6" t="s">
        <x:v>93</x:v>
      </x:c>
      <x:c r="H16" s="6" t="s">
        <x:v>94</x:v>
      </x:c>
      <x:c r="I16" s="6" t="s">
        <x:v>89</x:v>
      </x:c>
      <x:c r="J16" s="9" t="n">
        <x:v>50351.23</x:v>
      </x:c>
      <x:c r="K16" s="9" t="n">
        <x:v>50351.23</x:v>
      </x:c>
    </x:row>
    <x:row r="17">
      <x:c r="A17" s="6" t="s">
        <x:v>24</x:v>
      </x:c>
      <x:c r="B17" s="6" t="s">
        <x:v>95</x:v>
      </x:c>
      <x:c r="C17" s="6" t="s">
        <x:v>13</x:v>
      </x:c>
      <x:c r="D17" s="7" t="str">
        <x:f xml:space="preserve">HYPERLINK("https://www.infonalia.es/adjudicaciones1225/25248823.pdf","www.infonalia.es/adjudicaciones1225/25248823.pdf")</x:f>
        <x:v>www.infonalia.es/adjudicaciones1225/25248823.pdf</x:v>
      </x:c>
      <x:c r="E17" s="8" t="s">
        <x:v>96</x:v>
      </x:c>
      <x:c r="F17" s="6" t="s">
        <x:v>92</x:v>
      </x:c>
      <x:c r="G17" s="6" t="s">
        <x:v>97</x:v>
      </x:c>
      <x:c r="H17" s="6" t="s">
        <x:v>98</x:v>
      </x:c>
      <x:c r="I17" s="6" t="s">
        <x:v>89</x:v>
      </x:c>
      <x:c r="J17" s="9" t="n">
        <x:v>50351.24</x:v>
      </x:c>
      <x:c r="K17" s="9" t="n">
        <x:v>50351.24</x:v>
      </x:c>
    </x:row>
    <x:row r="18">
      <x:c r="A18" s="6" t="s">
        <x:v>24</x:v>
      </x:c>
      <x:c r="B18" s="6" t="s">
        <x:v>99</x:v>
      </x:c>
      <x:c r="C18" s="6" t="s">
        <x:v>13</x:v>
      </x:c>
      <x:c r="D18" s="7" t="str">
        <x:f xml:space="preserve">HYPERLINK("https://www.infonalia.es/adjudicaciones1225/25248866.pdf","www.infonalia.es/adjudicaciones1225/25248866.pdf")</x:f>
        <x:v>www.infonalia.es/adjudicaciones1225/25248866.pdf</x:v>
      </x:c>
      <x:c r="E18" s="8" t="s">
        <x:v>100</x:v>
      </x:c>
      <x:c r="F18" s="6" t="s">
        <x:v>101</x:v>
      </x:c>
      <x:c r="G18" s="6" t="s">
        <x:v>102</x:v>
      </x:c>
      <x:c r="H18" s="6" t="s">
        <x:v>103</x:v>
      </x:c>
      <x:c r="I18" s="6" t="s">
        <x:v>36</x:v>
      </x:c>
      <x:c r="J18" s="9" t="n">
        <x:v>24550.00</x:v>
      </x:c>
      <x:c r="K18" s="9" t="n">
        <x:v>30500.00</x:v>
      </x:c>
    </x:row>
    <x:row r="19">
      <x:c r="A19" s="6" t="s">
        <x:v>24</x:v>
      </x:c>
      <x:c r="B19" s="6" t="s">
        <x:v>104</x:v>
      </x:c>
      <x:c r="C19" s="6" t="s">
        <x:v>13</x:v>
      </x:c>
      <x:c r="D19" s="7" t="str">
        <x:f xml:space="preserve">HYPERLINK("https://www.infonalia.es/adjudicaciones1225/25248912.pdf","www.infonalia.es/adjudicaciones1225/25248912.pdf")</x:f>
        <x:v>www.infonalia.es/adjudicaciones1225/25248912.pdf</x:v>
      </x:c>
      <x:c r="E19" s="8" t="s">
        <x:v>105</x:v>
      </x:c>
      <x:c r="F19" s="6" t="s">
        <x:v>106</x:v>
      </x:c>
      <x:c r="G19" s="6" t="s">
        <x:v>107</x:v>
      </x:c>
      <x:c r="H19" s="6" t="s">
        <x:v>108</x:v>
      </x:c>
      <x:c r="I19" s="6" t="s">
        <x:v>36</x:v>
      </x:c>
      <x:c r="J19" s="9" t="n">
        <x:v>120021.00</x:v>
      </x:c>
      <x:c r="K19" s="9" t="n">
        <x:v>109617.00</x:v>
      </x:c>
    </x:row>
    <x:row r="20">
      <x:c r="A20" s="6" t="s">
        <x:v>24</x:v>
      </x:c>
      <x:c r="B20" s="6" t="s">
        <x:v>109</x:v>
      </x:c>
      <x:c r="C20" s="6" t="s">
        <x:v>13</x:v>
      </x:c>
      <x:c r="D20" s="7" t="str">
        <x:f xml:space="preserve">HYPERLINK("https://www.infonalia.es/adjudicaciones1225/25248924.pdf","www.infonalia.es/adjudicaciones1225/25248924.pdf")</x:f>
        <x:v>www.infonalia.es/adjudicaciones1225/25248924.pdf</x:v>
      </x:c>
      <x:c r="E20" s="8" t="s">
        <x:v>110</x:v>
      </x:c>
      <x:c r="F20" s="6" t="s">
        <x:v>111</x:v>
      </x:c>
      <x:c r="G20" s="6" t="s">
        <x:v>112</x:v>
      </x:c>
      <x:c r="H20" s="6" t="s">
        <x:v>113</x:v>
      </x:c>
      <x:c r="I20" s="6" t="s">
        <x:v>36</x:v>
      </x:c>
      <x:c r="J20" s="9" t="n">
        <x:v>98400.00</x:v>
      </x:c>
      <x:c r="K20" s="9" t="n">
        <x:v>98400.00</x:v>
      </x:c>
    </x:row>
    <x:row r="21">
      <x:c r="A21" s="6" t="s">
        <x:v>114</x:v>
      </x:c>
      <x:c r="B21" s="6" t="s">
        <x:v>115</x:v>
      </x:c>
      <x:c r="C21" s="6" t="s">
        <x:v>13</x:v>
      </x:c>
      <x:c r="D21" s="7" t="str">
        <x:f xml:space="preserve">HYPERLINK("https://www.infonalia.es/adjudicaciones1225/25248937.pdf","www.infonalia.es/adjudicaciones1225/25248937.pdf")</x:f>
        <x:v>www.infonalia.es/adjudicaciones1225/25248937.pdf</x:v>
      </x:c>
      <x:c r="E21" s="8" t="s">
        <x:v>116</x:v>
      </x:c>
      <x:c r="F21" s="6" t="s">
        <x:v>117</x:v>
      </x:c>
      <x:c r="G21" s="6" t="s">
        <x:v>118</x:v>
      </x:c>
      <x:c r="H21" s="6" t="s">
        <x:v>119</x:v>
      </x:c>
      <x:c r="I21" s="6" t="s">
        <x:v>36</x:v>
      </x:c>
      <x:c r="J21" s="9" t="n">
        <x:v>4132.24</x:v>
      </x:c>
      <x:c r="K21" s="9" t="n">
        <x:v>69802.93</x:v>
      </x:c>
    </x:row>
    <x:row r="22">
      <x:c r="A22" s="6" t="s">
        <x:v>24</x:v>
      </x:c>
      <x:c r="B22" s="6" t="s">
        <x:v>120</x:v>
      </x:c>
      <x:c r="C22" s="6" t="s">
        <x:v>13</x:v>
      </x:c>
      <x:c r="D22" s="7" t="str">
        <x:f xml:space="preserve">HYPERLINK("https://www.infonalia.es/adjudicaciones1225/25249071.pdf","www.infonalia.es/adjudicaciones1225/25249071.pdf")</x:f>
        <x:v>www.infonalia.es/adjudicaciones1225/25249071.pdf</x:v>
      </x:c>
      <x:c r="E22" s="8" t="s">
        <x:v>121</x:v>
      </x:c>
      <x:c r="F22" s="6" t="s">
        <x:v>122</x:v>
      </x:c>
      <x:c r="G22" s="6" t="s">
        <x:v>123</x:v>
      </x:c>
      <x:c r="H22" s="6" t="s">
        <x:v>124</x:v>
      </x:c>
      <x:c r="I22" s="6" t="s">
        <x:v>36</x:v>
      </x:c>
      <x:c r="J22" s="9" t="n">
        <x:v>191947.50</x:v>
      </x:c>
      <x:c r="K22" s="9" t="n">
        <x:v>220549.23</x:v>
      </x:c>
    </x:row>
    <x:row r="23">
      <x:c r="A23" s="6" t="s">
        <x:v>114</x:v>
      </x:c>
      <x:c r="B23" s="6" t="s">
        <x:v>125</x:v>
      </x:c>
      <x:c r="C23" s="6" t="s">
        <x:v>13</x:v>
      </x:c>
      <x:c r="D23" s="7" t="str">
        <x:f xml:space="preserve">HYPERLINK("https://www.infonalia.es/adjudicaciones1225/25249099.pdf","www.infonalia.es/adjudicaciones1225/25249099.pdf")</x:f>
        <x:v>www.infonalia.es/adjudicaciones1225/25249099.pdf</x:v>
      </x:c>
      <x:c r="E23" s="8" t="s">
        <x:v>126</x:v>
      </x:c>
      <x:c r="F23" s="6" t="s">
        <x:v>127</x:v>
      </x:c>
      <x:c r="G23" s="6" t="s">
        <x:v>128</x:v>
      </x:c>
      <x:c r="H23" s="6" t="s">
        <x:v>129</x:v>
      </x:c>
      <x:c r="I23" s="6" t="s">
        <x:v>36</x:v>
      </x:c>
      <x:c r="J23" s="9" t="s">
        <x:v>37</x:v>
      </x:c>
      <x:c r="K23" s="9" t="n">
        <x:v>73601.75</x:v>
      </x:c>
    </x:row>
    <x:row r="24">
      <x:c r="A24" s="6" t="s">
        <x:v>24</x:v>
      </x:c>
      <x:c r="B24" s="6" t="s">
        <x:v>130</x:v>
      </x:c>
      <x:c r="C24" s="6" t="s">
        <x:v>13</x:v>
      </x:c>
      <x:c r="D24" s="7" t="str">
        <x:f xml:space="preserve">HYPERLINK("https://www.infonalia.es/adjudicaciones1225/25249102.pdf","www.infonalia.es/adjudicaciones1225/25249102.pdf")</x:f>
        <x:v>www.infonalia.es/adjudicaciones1225/25249102.pdf</x:v>
      </x:c>
      <x:c r="E24" s="8" t="s">
        <x:v>131</x:v>
      </x:c>
      <x:c r="F24" s="6" t="s">
        <x:v>132</x:v>
      </x:c>
      <x:c r="G24" s="6" t="s">
        <x:v>133</x:v>
      </x:c>
      <x:c r="H24" s="6" t="s">
        <x:v>134</x:v>
      </x:c>
      <x:c r="I24" s="6" t="s">
        <x:v>36</x:v>
      </x:c>
      <x:c r="J24" s="9" t="n">
        <x:v>2112316.72</x:v>
      </x:c>
      <x:c r="K24" s="9" t="n">
        <x:v>2123681.52</x:v>
      </x:c>
    </x:row>
    <x:row r="25">
      <x:c r="A25" s="6" t="s">
        <x:v>24</x:v>
      </x:c>
      <x:c r="B25" s="6" t="s">
        <x:v>135</x:v>
      </x:c>
      <x:c r="C25" s="6" t="s">
        <x:v>13</x:v>
      </x:c>
      <x:c r="D25" s="7" t="str">
        <x:f xml:space="preserve">HYPERLINK("https://www.infonalia.es/adjudicaciones1225/25249149.pdf","www.infonalia.es/adjudicaciones1225/25249149.pdf")</x:f>
        <x:v>www.infonalia.es/adjudicaciones1225/25249149.pdf</x:v>
      </x:c>
      <x:c r="E25" s="8" t="s">
        <x:v>136</x:v>
      </x:c>
      <x:c r="F25" s="6" t="s">
        <x:v>137</x:v>
      </x:c>
      <x:c r="G25" s="6" t="s">
        <x:v>138</x:v>
      </x:c>
      <x:c r="H25" s="6" t="s">
        <x:v>139</x:v>
      </x:c>
      <x:c r="I25" s="6" t="s">
        <x:v>18</x:v>
      </x:c>
      <x:c r="J25" s="9" t="n">
        <x:v>75000.00</x:v>
      </x:c>
      <x:c r="K25" s="9" t="n">
        <x:v>99757.38</x:v>
      </x:c>
    </x:row>
    <x:row r="26">
      <x:c r="A26" s="6" t="s">
        <x:v>24</x:v>
      </x:c>
      <x:c r="B26" s="6" t="s">
        <x:v>140</x:v>
      </x:c>
      <x:c r="C26" s="6" t="s">
        <x:v>13</x:v>
      </x:c>
      <x:c r="D26" s="7" t="str">
        <x:f xml:space="preserve">HYPERLINK("https://www.infonalia.es/adjudicaciones1225/25249173.pdf","www.infonalia.es/adjudicaciones1225/25249173.pdf")</x:f>
        <x:v>www.infonalia.es/adjudicaciones1225/25249173.pdf</x:v>
      </x:c>
      <x:c r="E26" s="8" t="s">
        <x:v>141</x:v>
      </x:c>
      <x:c r="F26" s="6" t="s">
        <x:v>76</x:v>
      </x:c>
      <x:c r="G26" s="6" t="s">
        <x:v>142</x:v>
      </x:c>
      <x:c r="H26" s="6" t="s">
        <x:v>143</x:v>
      </x:c>
      <x:c r="I26" s="6" t="s">
        <x:v>144</x:v>
      </x:c>
      <x:c r="J26" s="9" t="n">
        <x:v>50351.23</x:v>
      </x:c>
      <x:c r="K26" s="9" t="n">
        <x:v>50351.23</x:v>
      </x:c>
    </x:row>
    <x:row r="27">
      <x:c r="A27" s="6" t="s">
        <x:v>24</x:v>
      </x:c>
      <x:c r="B27" s="6" t="s">
        <x:v>74</x:v>
      </x:c>
      <x:c r="C27" s="6" t="s">
        <x:v>13</x:v>
      </x:c>
      <x:c r="D27" s="7" t="str">
        <x:f xml:space="preserve">HYPERLINK("https://www.infonalia.es/adjudicaciones1225/25249174.pdf","www.infonalia.es/adjudicaciones1225/25249174.pdf")</x:f>
        <x:v>www.infonalia.es/adjudicaciones1225/25249174.pdf</x:v>
      </x:c>
      <x:c r="E27" s="8" t="s">
        <x:v>145</x:v>
      </x:c>
      <x:c r="F27" s="6" t="s">
        <x:v>76</x:v>
      </x:c>
      <x:c r="G27" s="6" t="s">
        <x:v>146</x:v>
      </x:c>
      <x:c r="H27" s="6" t="s">
        <x:v>78</x:v>
      </x:c>
      <x:c r="I27" s="6" t="s">
        <x:v>144</x:v>
      </x:c>
      <x:c r="J27" s="9" t="n">
        <x:v>50351.24</x:v>
      </x:c>
      <x:c r="K27" s="9" t="n">
        <x:v>50351.24</x:v>
      </x:c>
    </x:row>
    <x:row r="28">
      <x:c r="A28" s="6" t="s">
        <x:v>24</x:v>
      </x:c>
      <x:c r="B28" s="6" t="s">
        <x:v>95</x:v>
      </x:c>
      <x:c r="C28" s="6" t="s">
        <x:v>13</x:v>
      </x:c>
      <x:c r="D28" s="7" t="str">
        <x:f xml:space="preserve">HYPERLINK("https://www.infonalia.es/adjudicaciones1225/25249211.pdf","www.infonalia.es/adjudicaciones1225/25249211.pdf")</x:f>
        <x:v>www.infonalia.es/adjudicaciones1225/25249211.pdf</x:v>
      </x:c>
      <x:c r="E28" s="8" t="s">
        <x:v>147</x:v>
      </x:c>
      <x:c r="F28" s="6" t="s">
        <x:v>76</x:v>
      </x:c>
      <x:c r="G28" s="6" t="s">
        <x:v>148</x:v>
      </x:c>
      <x:c r="H28" s="6" t="s">
        <x:v>98</x:v>
      </x:c>
      <x:c r="I28" s="6" t="s">
        <x:v>144</x:v>
      </x:c>
      <x:c r="J28" s="9" t="n">
        <x:v>50351.24</x:v>
      </x:c>
      <x:c r="K28" s="9" t="n">
        <x:v>50351.24</x:v>
      </x:c>
    </x:row>
    <x:row r="29">
      <x:c r="A29" s="6" t="s">
        <x:v>149</x:v>
      </x:c>
      <x:c r="B29" s="6" t="s">
        <x:v>150</x:v>
      </x:c>
      <x:c r="C29" s="6" t="s">
        <x:v>13</x:v>
      </x:c>
      <x:c r="D29" s="7" t="str">
        <x:f xml:space="preserve">HYPERLINK("https://www.infonalia.es/adjudicaciones1225/25249246.pdf","www.infonalia.es/adjudicaciones1225/25249246.pdf")</x:f>
        <x:v>www.infonalia.es/adjudicaciones1225/25249246.pdf</x:v>
      </x:c>
      <x:c r="E29" s="8" t="s">
        <x:v>151</x:v>
      </x:c>
      <x:c r="F29" s="6" t="s">
        <x:v>152</x:v>
      </x:c>
      <x:c r="G29" s="6" t="s">
        <x:v>153</x:v>
      </x:c>
      <x:c r="H29" s="6" t="s">
        <x:v>154</x:v>
      </x:c>
      <x:c r="I29" s="6" t="s">
        <x:v>36</x:v>
      </x:c>
      <x:c r="J29" s="9" t="n">
        <x:v>87500.00</x:v>
      </x:c>
      <x:c r="K29" s="9" t="s">
        <x:v>37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