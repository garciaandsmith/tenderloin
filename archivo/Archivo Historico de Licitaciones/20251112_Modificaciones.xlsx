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<x:sst xmlns:x="http://schemas.openxmlformats.org/spreadsheetml/2006/main" count="6" uniqueCount="6">
  <x:si>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</x:si>
  <x:si>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</x:si>
  <x:si>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</x:si>
  <x:si>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</x:si>
  <x:si>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</x:si>
  <x:si>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</x:si>
  <x:si>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2025153617</x:t>
  </x:si>
  <x:si>
    <x:t>Corrección de errores</x:t>
  </x:si>
  <x:si>
    <x:t>MADRID DESTINO CULTURA TURISMO Y NEGOCIO, S.A</x:t>
  </x:si>
  <x:si>
    <x:t>Servicios de edición de textos, corrección ortotipográfica en castellano e inglés; maquetación y generación de artes finales; impresión y encuadernación de catálogos de exposiciones; producción de vinilos de corte y otros materiales de producción gráfica, relacionados con la programación de CentroCentro. Lote 1. Servicios de edición de textos, corrección ortotipográfica en castellano e inglés y revisión de maquetas y artes finales. Lote 2. Servicios de maquetación y generación de artes finales. Lote 3. Servicio de impresión y encuadernación de los catálogos de las exposiciones programadas en CentroCentro. Lote 4. Servicio de producción e instalación de vinilos de corte y otros materiales de producción gráfica relacionados con la programación de CentroCentro</x:t>
  </x:si>
  <x:si>
    <x:t>2025156054</x:t>
  </x:si>
  <x:si>
    <x:t>Aclaración / Ampliación de pliegos</x:t>
  </x:si>
  <x:si>
    <x:t>AYUNTAMIENTO DE BARCELONA</x:t>
  </x:si>
  <x:si>
    <x:t>Servicios para la producción de fotografías y materiales audiovisuales necesarios para el Departamento de Comunicación de Economía y Recursos del Ayuntamiento de Barcelona.</x:t>
  </x:si>
  <x:si>
    <x:t>2025158944</x:t>
  </x:si>
  <x:si>
    <x:t>AYUNTAMIENTO DE SANTA COLOMA DE GRAMENET (BARCELONA)</x:t>
  </x:si>
  <x:si>
    <x:t>Contratación de una central de medios para la gestión e inserción de la publicidad institucional del Ayuntamiento de Santa Coloma de Gramenet en medios de comunicación locales y generalistas (prensa escrita, prensa digital y radio); en redes sociales (Facebook, X (antes Twitter), Instagram, TikTok y Youtube); patrocinios y colaboraciones en actos y promociones y la gestión de la inserción de anuncios oficiales de carácter obligatorio, encartes, esquelas y clasificados en los diarios de mayor difusión en la zona. Complementariamente es objeto del contrato la promoción del medio ambiente</x:t>
  </x:si>
  <x:si>
    <x:t>2025159309</x:t>
  </x:si>
  <x:si>
    <x:t>AYUNTAMIENTO DE TARRAGONA. DEPARTAMENTO DE CULTURA</x:t>
  </x:si>
  <x:si>
    <x:t>Servicio de impresión, encuadernación y entrega de diferentes ediciones del Plan estratégico Tarragona Cultura 2033</x:t>
  </x:si>
  <x:si>
    <x:t>2025159466</x:t>
  </x:si>
  <x:si>
    <x:t>JUNTA DE GOBIERNO DEL AYUNTAMIENTO DE MIERES (ASTURIAS)</x:t>
  </x:si>
  <x:si>
    <x:t>Suministro de carpas plegables para eventos y actividades organizadas por las distintas áreas del Ayuntamiento de Mieres.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</x:si>
</x:sst>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HYPERLINK("https://www.infonalia.es/modificaciones1125/2025153617.pdf","www.infonalia.es/modificaciones1125/2025153617.pdf")</x:f>
        <x:v>www.infonalia.es/modificaciones1125/2025153617.pdf</x:v>
      </x:c>
      <x:c r="F2" s="5" t="str">
        <x:f xml:space="preserve">HYPERLINK("https://www.infonalia.es/licitaciones1025/2025153617.pdf","www.infonalia.es/licitaciones1025/2025153617.pdf")</x:f>
        <x:v>www.infonalia.es/licitaciones1025/2025153617.pdf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HYPERLINK("https://www.infonalia.es/modificaciones1125/2025156054.pdf","www.infonalia.es/modificaciones1125/2025156054.pdf")</x:f>
        <x:v>www.infonalia.es/modificaciones1125/2025156054.pdf</x:v>
      </x:c>
      <x:c r="F3" s="5" t="str">
        <x:f xml:space="preserve">HYPERLINK("https://www.infonalia.es/licitaciones1125/2025156054.pdf","www.infonalia.es/licitaciones1125/2025156054.pdf")</x:f>
        <x:v>www.infonalia.es/licitaciones1125/2025156054.pdf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HYPERLINK("https://www.infonalia.es/modificaciones1125/2025158944.pdf","www.infonalia.es/modificaciones1125/2025158944.pdf")</x:f>
        <x:v>www.infonalia.es/modificaciones1125/2025158944.pdf</x:v>
      </x:c>
      <x:c r="F4" s="5" t="str">
        <x:f xml:space="preserve">HYPERLINK("https://www.infonalia.es/licitaciones1125/2025158944.pdf","www.infonalia.es/licitaciones1125/2025158944.pdf")</x:f>
        <x:v>www.infonalia.es/licitaciones1125/2025158944.pdf</x:v>
      </x:c>
    </x:row>
    <x:row r="5">
      <x:c r="A5" s="3" t="s">
        <x:v>17</x:v>
      </x:c>
      <x:c r="B5" s="4" t="s">
        <x:v>11</x:v>
      </x:c>
      <x:c r="C5" s="4" t="s">
        <x:v>18</x:v>
      </x:c>
      <x:c r="D5" s="4" t="s">
        <x:v>19</x:v>
      </x:c>
      <x:c r="E5" s="5" t="str">
        <x:f xml:space="preserve">HYPERLINK("https://www.infonalia.es/modificaciones1125/2025159309.pdf","www.infonalia.es/modificaciones1125/2025159309.pdf")</x:f>
        <x:v>www.infonalia.es/modificaciones1125/2025159309.pdf</x:v>
      </x:c>
      <x:c r="F5" s="5" t="str">
        <x:f xml:space="preserve">HYPERLINK("https://www.infonalia.es/licitaciones1125/2025159309.pdf","www.infonalia.es/licitaciones1125/2025159309.pdf")</x:f>
        <x:v>www.infonalia.es/licitaciones1125/2025159309.pdf</x:v>
      </x:c>
    </x:row>
    <x:row r="6">
      <x:c r="A6" s="3" t="s">
        <x:v>20</x:v>
      </x:c>
      <x:c r="B6" s="4" t="s">
        <x:v>11</x:v>
      </x:c>
      <x:c r="C6" s="4" t="s">
        <x:v>21</x:v>
      </x:c>
      <x:c r="D6" s="4" t="s">
        <x:v>22</x:v>
      </x:c>
      <x:c r="E6" s="5" t="str">
        <x:f xml:space="preserve">HYPERLINK("https://www.infonalia.es/modificaciones1125/2025159466.pdf","www.infonalia.es/modificaciones1125/2025159466.pdf")</x:f>
        <x:v>www.infonalia.es/modificaciones1125/2025159466.pdf</x:v>
      </x:c>
      <x:c r="F6" s="5" t="str">
        <x:f xml:space="preserve">HYPERLINK("https://www.infonalia.es/licitaciones1125/2025159466.pdf","www.infonalia.es/licitaciones1125/2025159466.pdf")</x:f>
        <x:v>www.infonalia.es/licitaciones1125/2025159466.pdf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