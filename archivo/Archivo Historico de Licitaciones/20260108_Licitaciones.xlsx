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<x:sst xmlns:x="http://schemas.openxmlformats.org/spreadsheetml/2006/main" count="17" uniqueCount="17">
  <x:si>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</x:si>
  <x:si>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</x:si>
  <x:si>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</x:si>
  <x:si>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</x:si>
  <x:si>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</x:si>
  <x:si>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</x:si>
  <x:si>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</x:si>
  <x:si>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</x:si>
  <x:si>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</x:si>
  <x:si>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</x:si>
  <x:si>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</x:si>
  <x:si>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</x:si>
  <x:si>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</x:si>
  <x:si>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</x:si>
  <x:si>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</x:si>
  <x:si>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</x:si>
  <x:si>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</x:si>
  <x:si>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</x:si>
  <x:si>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Catalunya - Plataforma de Contratación</x:t>
  </x:si>
  <x:si>
    <x:t>22/01/2026</x:t>
  </x:si>
  <x:si>
    <x:t>2026000900</x:t>
  </x:si>
  <x:si>
    <x:t>08/01/2026</x:t>
  </x:si>
  <x:si>
    <x:t>AYUNTAMIENTO DE SANT JOAN DESPÍ  (BARCELONA)</x:t>
  </x:si>
  <x:si>
    <x:t>Servicio para la cobertura fotográfica de actos municipales y eventos institucionales organizados y/o participados por el Ayuntamiento de Sant Joan Despí</x:t>
  </x:si>
  <x:si>
    <x:t>CO2025077GA</x:t>
  </x:si>
  <x:si>
    <x:t>IVA excluido</x:t>
  </x:si>
  <x:si>
    <x:t/>
  </x:si>
  <x:si>
    <x:t>-----</x:t>
  </x:si>
  <x:si>
    <x:t>07/01/2026</x:t>
  </x:si>
  <x:si>
    <x:t/>
  </x:si>
  <x:si>
    <x:t>Barcelona</x:t>
  </x:si>
  <x:si>
    <x:t>29/01/2026</x:t>
  </x:si>
  <x:si>
    <x:t>2026000908</x:t>
  </x:si>
  <x:si>
    <x:t>AYUNTAMIENTO DE LA LLAGOSTA (BARCELONA)</x:t>
  </x:si>
  <x:si>
    <x:t>Contrato para la prestación del servicio de explotación de la publicidad y la impresión de la publicación municipal "La Llagosta informa"</x:t>
  </x:si>
  <x:si>
    <x:t>2025-SE-18-3386/2025</x:t>
  </x:si>
  <x:si>
    <x:t/>
  </x:si>
  <x:si>
    <x:t/>
  </x:si>
  <x:si>
    <x:t>23/01/2026</x:t>
  </x:si>
  <x:si>
    <x:t>2026000911</x:t>
  </x:si>
  <x:si>
    <x:t>PROCORNELLÀ</x:t>
  </x:si>
  <x:si>
    <x:t>Exp 25-104 MIXTO DE SUMINISTRO Y SERVICIOS DE MONTAJE, DESMONTAJE DE ESTANDOS Y DE MOBILIARIO Y EQUIPAMIENTO INTERIOR PARA LLEVAR A CABO LOS EVENTOS FERIALES (PROPIOS Y EXTERNOS) QUE TENDRÁN LUGAR DURANTE EL AÑO 2; LOTE 2.- FERIA INFANTIL; Y LOTE 3.- FERIAS EXTERNAS, EN LAS INSTALACIONES DE FERIA DE CORNELLÀ DE LLOBREGAT (Tirso de Molina 34 CP 08940, Cornellà de Llobregat)</x:t>
  </x:si>
  <x:si>
    <x:t>Exp 25-104 ESTANDS 2026</x:t>
  </x:si>
  <x:si>
    <x:t/>
  </x:si>
  <x:si>
    <x:t/>
  </x:si>
  <x:si>
    <x:t>21/01/2026</x:t>
  </x:si>
  <x:si>
    <x:t>2026000924</x:t>
  </x:si>
  <x:si>
    <x:t>AYUNTAMIENTO DE LA POBLA DE SEGUR (LLEIDA)</x:t>
  </x:si>
  <x:si>
    <x:t>Servicio de conceptualización, creación y elaboración del plan de viabilidad del turismo de la marca "La Pobla de Segur: naturaleza y turismo activo sostenible". Actuación 10 del Eje 4 del Plan de Sostenibilidad Turística en Destino - PRTR - Next Generation EU</x:t>
  </x:si>
  <x:si>
    <x:t>911/2024</x:t>
  </x:si>
  <x:si>
    <x:t/>
  </x:si>
  <x:si>
    <x:t/>
  </x:si>
  <x:si>
    <x:t>Lleida</x:t>
  </x:si>
  <x:si>
    <x:t>2026000930</x:t>
  </x:si>
  <x:si>
    <x:t>BARCELONA DE SERVEIS MUNICIPALS SA</x:t>
  </x:si>
  <x:si>
    <x:t>2025PG0593AC - Exposición ''Al abrigo del Park Güell'' (Centenario)</x:t>
  </x:si>
  <x:si>
    <x:t>2025PG0593AC</x:t>
  </x:si>
  <x:si>
    <x:t/>
  </x:si>
  <x:si>
    <x:t/>
  </x:si>
  <x:si>
    <x:t>2026000931</x:t>
  </x:si>
  <x:si>
    <x:t>2025PG0585AC - Servicio de planificación y producción de actividades por el centenario del Park Güell</x:t>
  </x:si>
  <x:si>
    <x:t>2025PG0585AC</x:t>
  </x:si>
  <x:si>
    <x:t/>
  </x:si>
  <x:si>
    <x:t/>
  </x:si>
  <x:si>
    <x:t>12/02/2026</x:t>
  </x:si>
  <x:si>
    <x:t>2026000944</x:t>
  </x:si>
  <x:si>
    <x:t>DIPUTACIÓN DE BARCELONA DIPUTACIÓ DE BARCELONA: SECCIÓN DE LICITACIÓN</x:t>
  </x:si>
  <x:si>
    <x:t>Conceptualización, proyecto ejecutivo y museográfico, diseño gráfico y maquetación de los productos, y producción e instalación de los espacios expositivos y de atención al usuario del Centro de Estudios del Mar de Sitges</x:t>
  </x:si>
  <x:si>
    <x:t>2024/0016446</x:t>
  </x:si>
  <x:si>
    <x:t/>
  </x:si>
  <x:si>
    <x:t/>
  </x:si>
  <x:si>
    <x:t>Plataforma de Contratación del Estado</x:t>
  </x:si>
  <x:si>
    <x:t>2026001133</x:t>
  </x:si>
  <x:si>
    <x:t>INSTITUTO PARA LA COMPETITIVIDAD EMPRESARIAL DE LA JUNTA DE CASTILLA Y LEÓN</x:t>
  </x:si>
  <x:si>
    <x:t>Diseño, decoración, montaje, desmontaje, mantenimiento, transporte y servicios asociados al stand de ICECYL en las Ferias VITAFOODS (Lote 1) y TUTTOFOODS 2026 (Lote 2).</x:t>
  </x:si>
  <x:si>
    <x:t>A2026/000608</x:t>
  </x:si>
  <x:si>
    <x:t>Importe sin impuestos</x:t>
  </x:si>
  <x:si>
    <x:t/>
  </x:si>
  <x:si>
    <x:t>Castilla y León</x:t>
  </x:si>
  <x:si>
    <x:t>Community.Vortal</x:t>
  </x:si>
  <x:si>
    <x:t>2026001148</x:t>
  </x:si>
  <x:si>
    <x:t>Exp 25-104 Contrato mixto de suministro y servicios de montaje, desmontaje de stands y de mobiliario y equipamiento interior para dar término los eventos feriales (propios y externos) de 2026. Lote 1: Mediterranean Diving Show 2026. Lote 2: Feria Infantil 2026. Lote 3: Eventos Feriales Externos.</x:t>
  </x:si>
  <x:si>
    <x:t>Exp 25-104 ESTANDS FIRA 2026</x:t>
  </x:si>
  <x:si>
    <x:t/>
  </x:si>
  <x:si>
    <x:t/>
  </x:si>
  <x:si>
    <x:t>12/01/2026</x:t>
  </x:si>
  <x:si>
    <x:t>2026001238</x:t>
  </x:si>
  <x:si>
    <x:t>AYUNTAMIENTO DE FIGUERES (GIRONA)</x:t>
  </x:si>
  <x:si>
    <x:t>Servicio de marketing digital de la Casa Natal Salvador Dalí que consta de la planificación, ejecución, seguimiento y control de las campañas de marketing digital de la Casa Natal Salvador Dalí y del servicio de abono de gasto directo en medios publicitarios (Google, Meta y posts patrocinados en redes sociales) para la promoción de la Casa Natal Salvador Dalí, de acuerdo con la descripción (PPT)</x:t>
  </x:si>
  <x:si>
    <x:t>CONC2025000012</x:t>
  </x:si>
  <x:si>
    <x:t/>
  </x:si>
  <x:si>
    <x:t>Girona</x:t>
  </x:si>
  <x:si>
    <x:t>2026001427</x:t>
  </x:si>
  <x:si>
    <x:t>AYUNTAMIENTO DE BEGUR (GIRONA)</x:t>
  </x:si>
  <x:si>
    <x:t>Licitación para la contratación de los servicios de organización del festival de música de Begur "El cruce de Ultramar"</x:t>
  </x:si>
  <x:si>
    <x:t>2025/4152</x:t>
  </x:si>
  <x:si>
    <x:t/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</x:si>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</x:sst>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82320.00</x:v>
      </x:c>
      <x:c r="J2" s="11" t="s">
        <x:v>25</x:v>
      </x:c>
      <x:c r="K2" s="11" t="s">
        <x:v>26</x:v>
      </x:c>
      <x:c r="L2" s="12" t="str">
        <x:f xml:space="preserve">HYPERLINK("https://contractaciopublica.cat/es/detall-publicacio/300659499","contractaciopublica.cat/es/detall-publicacio/300659499")</x:f>
        <x:v>contractaciopublica.cat/es/detall-publicacio/300659499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HYPERLINK("https://www.infonalia.es/licitaciones0126/2026000900.pdf","www.infonalia.es/licitaciones0126/2026000900.pdf")</x:f>
        <x:v>www.infonalia.es/licitaciones0126/2026000900.pdf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29700.00</x:v>
      </x:c>
      <x:c r="J3" s="11" t="s">
        <x:v>25</x:v>
      </x:c>
      <x:c r="K3" s="11" t="s">
        <x:v>36</x:v>
      </x:c>
      <x:c r="L3" s="12" t="str">
        <x:f xml:space="preserve">HYPERLINK("https://contractaciopublica.cat/es/detall-publicacio/300659484","contractaciopublica.cat/es/detall-publicacio/300659484")</x:f>
        <x:v>contractaciopublica.cat/es/detall-publicacio/300659484</x:v>
      </x:c>
      <x:c r="M3" s="11" t="s">
        <x:v>27</x:v>
      </x:c>
      <x:c r="N3" s="13" t="s">
        <x:v>28</x:v>
      </x:c>
      <x:c r="O3" s="11" t="s">
        <x:v>37</x:v>
      </x:c>
      <x:c r="P3" s="11" t="s">
        <x:v>30</x:v>
      </x:c>
      <x:c r="Q3" s="14" t="str">
        <x:f xml:space="preserve">HYPERLINK("https://www.infonalia.es/licitaciones0126/2026000908.pdf","www.infonalia.es/licitaciones0126/2026000908.pdf")</x:f>
        <x:v>www.infonalia.es/licitaciones0126/2026000908.pdf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96007.85</x:v>
      </x:c>
      <x:c r="J4" s="11" t="s">
        <x:v>25</x:v>
      </x:c>
      <x:c r="K4" s="11" t="s">
        <x:v>43</x:v>
      </x:c>
      <x:c r="L4" s="12" t="str">
        <x:f xml:space="preserve">HYPERLINK("https://contractaciopublica.cat/es/detall-publicacio/300659073","contractaciopublica.cat/es/detall-publicacio/300659073")</x:f>
        <x:v>contractaciopublica.cat/es/detall-publicacio/300659073</x:v>
      </x:c>
      <x:c r="M4" s="11" t="s">
        <x:v>27</x:v>
      </x:c>
      <x:c r="N4" s="13" t="s">
        <x:v>28</x:v>
      </x:c>
      <x:c r="O4" s="11" t="s">
        <x:v>44</x:v>
      </x:c>
      <x:c r="P4" s="11" t="s">
        <x:v>30</x:v>
      </x:c>
      <x:c r="Q4" s="14" t="str">
        <x:f xml:space="preserve">HYPERLINK("https://www.infonalia.es/licitaciones0126/2026000911.pdf","www.infonalia.es/licitaciones0126/2026000911.pdf")</x:f>
        <x:v>www.infonalia.es/licitaciones0126/2026000911.pdf</x:v>
      </x:c>
    </x:row>
    <x:row r="5">
      <x:c r="A5" s="6" t="s">
        <x:v>17</x:v>
      </x:c>
      <x:c r="B5" s="6" t="s">
        <x:v>18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28925.62</x:v>
      </x:c>
      <x:c r="J5" s="11" t="s">
        <x:v>25</x:v>
      </x:c>
      <x:c r="K5" s="11" t="s">
        <x:v>50</x:v>
      </x:c>
      <x:c r="L5" s="12" t="str">
        <x:f xml:space="preserve">HYPERLINK("https://contractaciopublica.cat/es/detall-publicacio/300653842","contractaciopublica.cat/es/detall-publicacio/300653842")</x:f>
        <x:v>contractaciopublica.cat/es/detall-publicacio/300653842</x:v>
      </x:c>
      <x:c r="M5" s="11" t="s">
        <x:v>27</x:v>
      </x:c>
      <x:c r="N5" s="13" t="s">
        <x:v>28</x:v>
      </x:c>
      <x:c r="O5" s="11" t="s">
        <x:v>51</x:v>
      </x:c>
      <x:c r="P5" s="11" t="s">
        <x:v>52</x:v>
      </x:c>
      <x:c r="Q5" s="14" t="str">
        <x:f xml:space="preserve">HYPERLINK("https://www.infonalia.es/licitaciones0126/2026000924.pdf","www.infonalia.es/licitaciones0126/2026000924.pdf")</x:f>
        <x:v>www.infonalia.es/licitaciones0126/2026000924.pdf</x:v>
      </x:c>
    </x:row>
    <x:row r="6">
      <x:c r="A6" s="6" t="s">
        <x:v>17</x:v>
      </x:c>
      <x:c r="B6" s="6" t="s">
        <x:v>18</x:v>
      </x:c>
      <x:c r="C6" s="7" t="s">
        <x:v>19</x:v>
      </x:c>
      <x:c r="D6" s="8" t="s">
        <x:v>53</x:v>
      </x:c>
      <x:c r="E6" s="9" t="s">
        <x:v>21</x:v>
      </x:c>
      <x:c r="F6" s="6" t="s">
        <x:v>54</x:v>
      </x:c>
      <x:c r="G6" s="6" t="s">
        <x:v>55</x:v>
      </x:c>
      <x:c r="H6" s="6" t="s">
        <x:v>56</x:v>
      </x:c>
      <x:c r="I6" s="10" t="n">
        <x:v>110759.28</x:v>
      </x:c>
      <x:c r="J6" s="11" t="s">
        <x:v>25</x:v>
      </x:c>
      <x:c r="K6" s="11" t="s">
        <x:v>57</x:v>
      </x:c>
      <x:c r="L6" s="12" t="str">
        <x:f xml:space="preserve">HYPERLINK("https://contractaciopublica.cat/es/detall-publicacio/300658250","contractaciopublica.cat/es/detall-publicacio/300658250")</x:f>
        <x:v>contractaciopublica.cat/es/detall-publicacio/300658250</x:v>
      </x:c>
      <x:c r="M6" s="11" t="s">
        <x:v>27</x:v>
      </x:c>
      <x:c r="N6" s="13" t="s">
        <x:v>28</x:v>
      </x:c>
      <x:c r="O6" s="11" t="s">
        <x:v>58</x:v>
      </x:c>
      <x:c r="P6" s="11" t="s">
        <x:v>30</x:v>
      </x:c>
      <x:c r="Q6" s="14" t="str">
        <x:f xml:space="preserve">HYPERLINK("https://www.infonalia.es/licitaciones0126/2026000930.pdf","www.infonalia.es/licitaciones0126/2026000930.pdf")</x:f>
        <x:v>www.infonalia.es/licitaciones0126/2026000930.pdf</x:v>
      </x:c>
    </x:row>
    <x:row r="7">
      <x:c r="A7" s="6" t="s">
        <x:v>17</x:v>
      </x:c>
      <x:c r="B7" s="6" t="s">
        <x:v>18</x:v>
      </x:c>
      <x:c r="C7" s="7" t="s">
        <x:v>19</x:v>
      </x:c>
      <x:c r="D7" s="8" t="s">
        <x:v>59</x:v>
      </x:c>
      <x:c r="E7" s="9" t="s">
        <x:v>21</x:v>
      </x:c>
      <x:c r="F7" s="6" t="s">
        <x:v>54</x:v>
      </x:c>
      <x:c r="G7" s="6" t="s">
        <x:v>60</x:v>
      </x:c>
      <x:c r="H7" s="6" t="s">
        <x:v>61</x:v>
      </x:c>
      <x:c r="I7" s="10" t="n">
        <x:v>126645.70</x:v>
      </x:c>
      <x:c r="J7" s="11" t="s">
        <x:v>25</x:v>
      </x:c>
      <x:c r="K7" s="11" t="s">
        <x:v>62</x:v>
      </x:c>
      <x:c r="L7" s="12" t="str">
        <x:f xml:space="preserve">HYPERLINK("https://contractaciopublica.cat/es/detall-publicacio/300658152","contractaciopublica.cat/es/detall-publicacio/300658152")</x:f>
        <x:v>contractaciopublica.cat/es/detall-publicacio/300658152</x:v>
      </x:c>
      <x:c r="M7" s="11" t="s">
        <x:v>27</x:v>
      </x:c>
      <x:c r="N7" s="13" t="s">
        <x:v>28</x:v>
      </x:c>
      <x:c r="O7" s="11" t="s">
        <x:v>63</x:v>
      </x:c>
      <x:c r="P7" s="11" t="s">
        <x:v>30</x:v>
      </x:c>
      <x:c r="Q7" s="14" t="str">
        <x:f xml:space="preserve">HYPERLINK("https://www.infonalia.es/licitaciones0126/2026000931.pdf","www.infonalia.es/licitaciones0126/2026000931.pdf")</x:f>
        <x:v>www.infonalia.es/licitaciones0126/2026000931.pdf</x:v>
      </x:c>
    </x:row>
    <x:row r="8">
      <x:c r="A8" s="6" t="s">
        <x:v>17</x:v>
      </x:c>
      <x:c r="B8" s="6" t="s">
        <x:v>18</x:v>
      </x:c>
      <x:c r="C8" s="7" t="s">
        <x:v>64</x:v>
      </x:c>
      <x:c r="D8" s="8" t="s">
        <x:v>65</x:v>
      </x:c>
      <x:c r="E8" s="9" t="s">
        <x:v>21</x:v>
      </x:c>
      <x:c r="F8" s="6" t="s">
        <x:v>66</x:v>
      </x:c>
      <x:c r="G8" s="6" t="s">
        <x:v>67</x:v>
      </x:c>
      <x:c r="H8" s="6" t="s">
        <x:v>68</x:v>
      </x:c>
      <x:c r="I8" s="10" t="n">
        <x:v>82644.63</x:v>
      </x:c>
      <x:c r="J8" s="11" t="s">
        <x:v>25</x:v>
      </x:c>
      <x:c r="K8" s="11" t="s">
        <x:v>69</x:v>
      </x:c>
      <x:c r="L8" s="12" t="str">
        <x:f xml:space="preserve">HYPERLINK("https://contractaciopublica.cat/es/detall-publicacio/300654261","contractaciopublica.cat/es/detall-publicacio/300654261")</x:f>
        <x:v>contractaciopublica.cat/es/detall-publicacio/300654261</x:v>
      </x:c>
      <x:c r="M8" s="11" t="s">
        <x:v>27</x:v>
      </x:c>
      <x:c r="N8" s="13" t="s">
        <x:v>28</x:v>
      </x:c>
      <x:c r="O8" s="11" t="s">
        <x:v>70</x:v>
      </x:c>
      <x:c r="P8" s="11" t="s">
        <x:v>30</x:v>
      </x:c>
      <x:c r="Q8" s="14" t="str">
        <x:f xml:space="preserve">HYPERLINK("https://www.infonalia.es/licitaciones0126/2026000944.pdf","www.infonalia.es/licitaciones0126/2026000944.pdf")</x:f>
        <x:v>www.infonalia.es/licitaciones0126/2026000944.pdf</x:v>
      </x:c>
    </x:row>
    <x:row r="9">
      <x:c r="A9" s="6" t="s">
        <x:v>17</x:v>
      </x:c>
      <x:c r="B9" s="6" t="s">
        <x:v>71</x:v>
      </x:c>
      <x:c r="C9" s="7" t="s">
        <x:v>38</x:v>
      </x:c>
      <x:c r="D9" s="8" t="s">
        <x:v>72</x:v>
      </x:c>
      <x:c r="E9" s="9" t="s">
        <x:v>21</x:v>
      </x:c>
      <x:c r="F9" s="6" t="s">
        <x:v>73</x:v>
      </x:c>
      <x:c r="G9" s="6" t="s">
        <x:v>74</x:v>
      </x:c>
      <x:c r="H9" s="6" t="s">
        <x:v>75</x:v>
      </x:c>
      <x:c r="I9" s="10" t="n">
        <x:v>329677.64</x:v>
      </x:c>
      <x:c r="J9" s="11" t="s">
        <x:v>76</x:v>
      </x:c>
      <x:c r="K9" s="11" t="s">
        <x:v>26</x:v>
      </x:c>
      <x:c r="L9" s="12" t="str">
        <x:f xml:space="preserve">HYPERLINK("https://contrataciondelestado.es/wps/poc?uri=deeplink:detalle_licitacion&amp;idEvl=nf%2B3f0iGHn7zAq95uGTrDQ%3D%3D","contrataciondelestado.es/wps/poc?uri=deeplink:detalle_licitacion&amp;idEvl=nf%2B3f0iGHn7zAq95uGTrDQ%3D%3D")</x:f>
        <x:v>contrataciondelestado.es/wps/poc?uri=deeplink:detalle_licitacion&amp;idEvl=nf%2B3f0iGHn7zAq95uGTrDQ%3D%3D</x:v>
      </x:c>
      <x:c r="M9" s="11" t="s">
        <x:v>27</x:v>
      </x:c>
      <x:c r="N9" s="13" t="s">
        <x:v>28</x:v>
      </x:c>
      <x:c r="O9" s="11" t="s">
        <x:v>77</x:v>
      </x:c>
      <x:c r="P9" s="11" t="s">
        <x:v>78</x:v>
      </x:c>
      <x:c r="Q9" s="14" t="str">
        <x:f xml:space="preserve">HYPERLINK("https://www.infonalia.es/licitaciones0126/2026001133.pdf","www.infonalia.es/licitaciones0126/2026001133.pdf")</x:f>
        <x:v>www.infonalia.es/licitaciones0126/2026001133.pdf</x:v>
      </x:c>
    </x:row>
    <x:row r="10">
      <x:c r="A10" s="6" t="s">
        <x:v>17</x:v>
      </x:c>
      <x:c r="B10" s="6" t="s">
        <x:v>79</x:v>
      </x:c>
      <x:c r="C10" s="7" t="s">
        <x:v>38</x:v>
      </x:c>
      <x:c r="D10" s="8" t="s">
        <x:v>80</x:v>
      </x:c>
      <x:c r="E10" s="9" t="s">
        <x:v>21</x:v>
      </x:c>
      <x:c r="F10" s="6" t="s">
        <x:v>40</x:v>
      </x:c>
      <x:c r="G10" s="6" t="s">
        <x:v>81</x:v>
      </x:c>
      <x:c r="H10" s="6" t="s">
        <x:v>82</x:v>
      </x:c>
      <x:c r="I10" s="10" t="n">
        <x:v>96007.85</x:v>
      </x:c>
      <x:c r="J10" s="11" t="s">
        <x:v>76</x:v>
      </x:c>
      <x:c r="K10" s="11" t="s">
        <x:v>83</x:v>
      </x:c>
      <x:c r="L10" s="12" t="str">
        <x:f xml:space="preserve">HYPERLINK("https://community.vortal.biz/public/?currentLanguage=es","community.vortal.biz/public/?currentLanguage=es")</x:f>
        <x:v>community.vortal.biz/public/?currentLanguage=es</x:v>
      </x:c>
      <x:c r="M10" s="11" t="s">
        <x:v>27</x:v>
      </x:c>
      <x:c r="N10" s="13" t="s">
        <x:v>28</x:v>
      </x:c>
      <x:c r="O10" s="11" t="s">
        <x:v>84</x:v>
      </x:c>
      <x:c r="P10" s="11" t="s">
        <x:v>30</x:v>
      </x:c>
      <x:c r="Q10" s="14" t="str">
        <x:f xml:space="preserve">HYPERLINK("https://www.infonalia.es/licitaciones0126/2026001148.pdf","www.infonalia.es/licitaciones0126/2026001148.pdf")</x:f>
        <x:v>www.infonalia.es/licitaciones0126/2026001148.pdf</x:v>
      </x:c>
    </x:row>
    <x:row r="11">
      <x:c r="A11" s="6" t="s">
        <x:v>17</x:v>
      </x:c>
      <x:c r="B11" s="6" t="s">
        <x:v>71</x:v>
      </x:c>
      <x:c r="C11" s="7" t="s">
        <x:v>85</x:v>
      </x:c>
      <x:c r="D11" s="8" t="s">
        <x:v>86</x:v>
      </x:c>
      <x:c r="E11" s="9" t="s">
        <x:v>21</x:v>
      </x:c>
      <x:c r="F11" s="6" t="s">
        <x:v>87</x:v>
      </x:c>
      <x:c r="G11" s="6" t="s">
        <x:v>88</x:v>
      </x:c>
      <x:c r="H11" s="6" t="s">
        <x:v>89</x:v>
      </x:c>
      <x:c r="I11" s="10" t="n">
        <x:v>132928.77</x:v>
      </x:c>
      <x:c r="J11" s="11" t="s">
        <x:v>76</x:v>
      </x:c>
      <x:c r="K11" s="11" t="s">
        <x:v>26</x:v>
      </x:c>
      <x:c r="L11" s="12" t="str">
        <x:f xml:space="preserve">HYPERLINK("https://contractaciopublica.cat/ca/detall-publicacio/e0df6a62-a675-41c5-b1b0-f75505d8ddbb/300655714","contractaciopublica.cat/ca/detall-publicacio/e0df6a62-a675-41c5-b1b0-f75505d8ddbb/300655714")</x:f>
        <x:v>contractaciopublica.cat/ca/detall-publicacio/e0df6a62-a675-41c5-b1b0-f75505d8ddbb/300655714</x:v>
      </x:c>
      <x:c r="M11" s="11" t="s">
        <x:v>27</x:v>
      </x:c>
      <x:c r="N11" s="13" t="s">
        <x:v>21</x:v>
      </x:c>
      <x:c r="O11" s="11" t="s">
        <x:v>90</x:v>
      </x:c>
      <x:c r="P11" s="11" t="s">
        <x:v>91</x:v>
      </x:c>
      <x:c r="Q11" s="14" t="str">
        <x:f xml:space="preserve">HYPERLINK("https://www.infonalia.es/licitaciones0126/2026001238.pdf","www.infonalia.es/licitaciones0126/2026001238.pdf")</x:f>
        <x:v>www.infonalia.es/licitaciones0126/2026001238.pdf</x:v>
      </x:c>
    </x:row>
    <x:row r="12">
      <x:c r="A12" s="6" t="s">
        <x:v>17</x:v>
      </x:c>
      <x:c r="B12" s="6" t="s">
        <x:v>18</x:v>
      </x:c>
      <x:c r="C12" s="7" t="s">
        <x:v>38</x:v>
      </x:c>
      <x:c r="D12" s="8" t="s">
        <x:v>92</x:v>
      </x:c>
      <x:c r="E12" s="9" t="s">
        <x:v>21</x:v>
      </x:c>
      <x:c r="F12" s="6" t="s">
        <x:v>93</x:v>
      </x:c>
      <x:c r="G12" s="6" t="s">
        <x:v>94</x:v>
      </x:c>
      <x:c r="H12" s="6" t="s">
        <x:v>95</x:v>
      </x:c>
      <x:c r="I12" s="10" t="n">
        <x:v>115000.00</x:v>
      </x:c>
      <x:c r="J12" s="11" t="s">
        <x:v>25</x:v>
      </x:c>
      <x:c r="K12" s="11" t="s">
        <x:v>96</x:v>
      </x:c>
      <x:c r="L12" s="12" t="str">
        <x:f xml:space="preserve">HYPERLINK("https://contractaciopublica.cat/es/detall-publicacio/300657927","contractaciopublica.cat/es/detall-publicacio/300657927")</x:f>
        <x:v>contractaciopublica.cat/es/detall-publicacio/300657927</x:v>
      </x:c>
      <x:c r="M12" s="11" t="s">
        <x:v>27</x:v>
      </x:c>
      <x:c r="N12" s="13" t="s">
        <x:v>28</x:v>
      </x:c>
      <x:c r="O12" s="11" t="s">
        <x:v>97</x:v>
      </x:c>
      <x:c r="P12" s="11" t="s">
        <x:v>91</x:v>
      </x:c>
      <x:c r="Q12" s="14" t="str">
        <x:f xml:space="preserve">HYPERLINK("https://www.infonalia.es/licitaciones0126/2026001427.pdf","www.infonalia.es/licitaciones0126/2026001427.pdf")</x:f>
        <x:v>www.infonalia.es/licitaciones0126/2026001427.pdf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