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<x:sst xmlns:x="http://schemas.openxmlformats.org/spreadsheetml/2006/main" count="11" uniqueCount="11">
  <x:si>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</x:si>
  <x:si>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</x:si>
  <x:si>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</x:si>
  <x:si>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</x:si>
  <x:si>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</x:si>
  <x:si>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</x:si>
  <x:si>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</x:si>
  <x:si>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</x:si>
  <x:si>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</x:si>
  <x:si>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</x:si>
  <x:si>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</x:si>
  <x:si>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</x:si>
  <x:si>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LOTE 1 AGRUPACION DINAMIA S.L.; LOTE 2 MUSKAN EVENTOS SLL </x:t>
  </x:si>
  <x:si>
    <x:t>05/12/2025 0:00:00</x:t>
  </x:si>
  <x:si>
    <x:t>25244166</x:t>
  </x:si>
  <x:si>
    <x:t>JUNTA DE GOBIERNO DEL AYUNTAMIENTO DE POZUELO DE ALARCÓN (MADRID)</x:t>
  </x:si>
  <x:si>
    <x:t>Servicio de organización del encuentro navideño de personas mayores. Lote 1 Restauración. Lote 2 Servicio de adecuación del espacio.</x:t>
  </x:si>
  <x:si>
    <x:t>2025/PASA/020</x:t>
  </x:si>
  <x:si>
    <x:t>Madrid</x:t>
  </x:si>
  <x:si>
    <x:t>Ver detalle de la adjudicación</x:t>
  </x:si>
  <x:si>
    <x:t>LOTE 1 ELECTRONIC TRAFIC, S.A.; LOTE 2 NTAM GLOBAL SL; LOTE 3 QUANTIA INGENIERÍA Y CONSULTORÍA, S.L. </x:t>
  </x:si>
  <x:si>
    <x:t>25244167</x:t>
  </x:si>
  <x:si>
    <x:t>JUNTA DE GOBIERNO DEL AYUNTAMIENTO DE RIVAS VACIAMADRID (MADRID)</x:t>
  </x:si>
  <x:si>
    <x:t>Suministro de la solución de destino turístico inteligente integrada con la plataforma de ciudad de Rivas Vaciamadrid, Rivas Destino Joven del Ayuntamiento de Rivas-Vaciamadrid, en 3 lotes. Lote 1 Suministro de la solución, asistencias externas, formación y capacitación, implantación de tecnología y obras. Lote 2 Plan de Difusión y Comunicación. Lote 3 Auditoría. </x:t>
  </x:si>
  <x:si>
    <x:t>27878/2025</x:t>
  </x:si>
  <x:si>
    <x:t>SERINZA SOLUTIONS SL</x:t>
  </x:si>
  <x:si>
    <x:t>25244303</x:t>
  </x:si>
  <x:si>
    <x:t>MINISTERIO DE ECONOMÍA, COMERCIO Y EMPRESA. COMISIÓN NACIONAL DEL MERCADO DE VALORES</x:t>
  </x:si>
  <x:si>
    <x:t>Actualización, generación y envío del boletín informativo digital (Newsletter) de la Comisión Nacional del Mercado de Valores</x:t>
  </x:si>
  <x:si>
    <x:t>37/25</x:t>
  </x:si>
  <x:si>
    <x:t>CLARA CORTÉS XARRIÉ</x:t>
  </x:si>
  <x:si>
    <x:t>25244557</x:t>
  </x:si>
  <x:si>
    <x:t>INSTITUTO DE CULTURA DE BARCELONA</x:t>
  </x:si>
  <x:si>
    <x:t>El objeto del contrato son los servicios de diseño gráfico, adaptación de originales y maquetación de los elementos de comunicación que apoyen al Departamento de Comunicación del Real Monasterio de Santa Maria de Pedralbes.</x:t>
  </x:si>
  <x:si>
    <x:t>006_25000774</x:t>
  </x:si>
  <x:si>
    <x:t>Barcelona</x:t>
  </x:si>
  <x:si>
    <x:t>AMAROK SL</x:t>
  </x:si>
  <x:si>
    <x:t>25244638</x:t>
  </x:si>
  <x:si>
    <x:t>DIRECCIÓN GENERAL DE RADIOTELEVISIÓN DEL PRINCIPADO DE ASTURIAS, S.A. UNIPERSONAL</x:t>
  </x:si>
  <x:si>
    <x:t>Servicio de grabación de las locuciones para piezas identificativas y promocionales de Radiotelevisión del Principado de Asturias</x:t>
  </x:si>
  <x:si>
    <x:t>77/25 RTPA</x:t>
  </x:si>
  <x:si>
    <x:t>Asturias</x:t>
  </x:si>
  <x:si>
    <x:t>LOTE 1 KARAVAN PRODUCTION FILMS SL ; LOTE 3 MANIFESTA COMUNICACIO CORPORATIVA, SL ; LOTE 4  PLAYBRAND, SL; LOTE 5 POMETA GRAFICA, SL </x:t>
  </x:si>
  <x:si>
    <x:t>25244716</x:t>
  </x:si>
  <x:si>
    <x:t>PROMOTORA DE EXPORTACIONS CATALANES, SA (PRODECA)</x:t>
  </x:si>
  <x:si>
    <x:t>Servicios de elaboración de materiales comunicativos para Prodeca, con el fin de apoyar a Prodeca en la realización de actividades de comunicación online y offline; la creación de eventos de marketing y la elaboración de contenidos de comunicación para una mejora del posicionamiento percibido del sector agroalimentario. Lote 1 Servicios audiovisuales. Lote 2 Servicios de diseño gráfico. Lote 3 Servicios de gabinete de prensa. Lote 4 Servicios de redes sociales. Lote 5 Servicios de programación web.</x:t>
  </x:si>
  <x:si>
    <x:t>PRODECA-2025-35</x:t>
  </x:si>
  <x:si>
    <x:t>Catalunya</x:t>
  </x:si>
  <x:si>
    <x:t>UTE NETBERRY &amp;TTC - MADRID DESTINO 2026/27</x:t>
  </x:si>
  <x:si>
    <x:t>25244742</x:t>
  </x:si>
  <x:si>
    <x:t>MADRID DESTINO CULTURA TURISMO Y NEGOCIO, S.A.</x:t>
  </x:si>
  <x:si>
    <x:t>Servicio de mantenimiento, alojamiento y desarrollos evolutivos del sistema de venta de entradas para Madrid Destino.</x:t>
  </x:si>
  <x:si>
    <x:t>SP25-00471</x:t>
  </x:si>
  <x:si>
    <x:t>ROCA CALDENTEY, S.L</x:t>
  </x:si>
  <x:si>
    <x:t>25244752</x:t>
  </x:si>
  <x:si>
    <x:t>BIOCAT, LA FUNDACIÓ BIOREGIÓ DE CATALUNYA</x:t>
  </x:si>
  <x:si>
    <x:t>El objeto del contrato consiste en la contratación de los servicios de diseño, construcción, montaje, desmontaje y explotación del stand Catalonia Health Innovation Ecosystem en el congreso 4YFN, que tendrá lugar del 2 al 5 de marzo de 2026 en la Feria Gran Vía (Barcelona), que se celebra de forma paralela al MWC 2026.</x:t>
  </x:si>
  <x:si>
    <x:t>2025_ESTAND4YFN_03</x:t>
  </x:si>
  <x:si>
    <x:t>SERVIARIUM, S.L.U</x:t>
  </x:si>
  <x:si>
    <x:t>25244773</x:t>
  </x:si>
  <x:si>
    <x:t>DIRECCIÓN GENERAL DE LA FUNDACIÓN CENTRO CULTURAL INTERNACIONAL OSCAR NIEMEYER-PRINCIPADO DE ASTURIAS</x:t>
  </x:si>
  <x:si>
    <x:t>Servicios de personal auxiliar para actividades del Centro Niemeyer</x:t>
  </x:si>
  <x:si>
    <x:t>75/2025</x:t>
  </x:si>
  <x:si>
    <x:t>ÁNGEL BONIFACIO MARTÍNEZ RODRÍGUEZ</x:t>
  </x:si>
  <x:si>
    <x:t>25244873</x:t>
  </x:si>
  <x:si>
    <x:t>ALCALDÍA DEL AYUNTAMIENTO DE VILLANUEVA DE LA CAÑADA (MADRID)</x:t>
  </x:si>
  <x:si>
    <x:t>Preparación, elaboración y edición de 36 vídeos para la Escuela de Salud</x:t>
  </x:si>
  <x:si>
    <x:t>23.02.11/2025/0037</x:t>
  </x:si>
  <x:si>
    <x:t>SASAPRINT, S.L</x:t>
  </x:si>
  <x:si>
    <x:t>25244881</x:t>
  </x:si>
  <x:si>
    <x:t>FUNDACIÓN SIGLO PARA EL TURISMO Y LAS ARTES DE CASTILLA Y LEÓN</x:t>
  </x:si>
  <x:si>
    <x:t>Procedimiento para la contratación del servicio de diseño, producción, transporte, montaje, desmontaje, almacenamiento, mantenimiento y servicios complementarios del stand que represente a Castilla y León en al Feria Internacional de Turismo de Madrid (FITUR) en el año 2026</x:t>
  </x:si>
  <x:si>
    <x:t>LI112TR25</x:t>
  </x:si>
  <x:si>
    <x:t>FERIAS, CONGRESOS Y EXPOSICIONES SAYPA, S.L.U</x:t>
  </x:si>
  <x:si>
    <x:t>25244911</x:t>
  </x:si>
  <x:si>
    <x:t>CONSEJO DE ADMINISTRACIÓN DE SERVICIOS TURÍSTICOS DE CEUTA, S.L</x:t>
  </x:si>
  <x:si>
    <x:t>Servicio de diseño, construcción en régimen de alquiler, transporte, montaje, desmontaje, decoración, equipamiento, mantenimiento y servicios complementarios, del stand de la Ciudad Autónoma de Ceuta en la Feria Internacional de Turismo (Fitur) 2026</x:t>
  </x:si>
  <x:si>
    <x:t>2025/43167</x:t>
  </x:si>
  <x:si>
    <x:t>T-SYSTEMS ITC IBERIA SAU</x:t>
  </x:si>
  <x:si>
    <x:t>25244938</x:t>
  </x:si>
  <x:si>
    <x:t>SECRETARÍA GENERAL DE LA FEDERACIÓN ESPAÑOLA DE MUNICIPIOS Y PROVINCIAS</x:t>
  </x:si>
  <x:si>
    <x:t>Contrato de servicios para el desarrollo y la puesta en marcha de los casos de uso en el espacio de datos de infraestructuras urbanas inteligentes (EDINT), en el marco del Plan de Recuperación, Transformación y Resiliencia financiado por la Unión Europea – Next Generation EU.</x:t>
  </x:si>
  <x:si>
    <x:t>CF_07_2025</x:t>
  </x:si>
  <x:si>
    <x:t>NIVELL PUBLICITARI DIGITAL S.L</x:t>
  </x:si>
  <x:si>
    <x:t>25245037</x:t>
  </x:si>
  <x:si>
    <x:t>ÁREA DE GOBIERNO DE VICEALCALDÍA, PORTAVOZ, SEGURIDAD Y EMERGENCIAS DEL AYUNTAMIENTO DE MADRID</x:t>
  </x:si>
  <x:si>
    <x:t>Semana del cine español 2026</x:t>
  </x:si>
  <x:si>
    <x:t>511/2024/09735.35</x:t>
  </x:si>
  <x:si>
    <x:t>ASOCIACION THE CONVERSATION ESPAÑA</x:t>
  </x:si>
  <x:si>
    <x:t>25245168</x:t>
  </x:si>
  <x:si>
    <x:t>RECTORADO DE LA UNIVERSIDAD DE OVIEDO</x:t>
  </x:si>
  <x:si>
    <x:t>Servicios de divulgación de la ciencia y el conocimiento en idioma español para la Universidad de Oviedo</x:t>
  </x:si>
  <x:si>
    <x:t>PN-S 2025/000080</x:t>
  </x:si>
  <x:si>
    <x:t>NOVAPRESS EDICIONS S.L</x:t>
  </x:si>
  <x:si>
    <x:t>25245214</x:t>
  </x:si>
  <x:si>
    <x:t>AYUNTAMIENTO DE SABADELL (BARCELONA)</x:t>
  </x:si>
  <x:si>
    <x:t>El objeto de este contrato es la contratación de los servicios de inserción en el medio impreso, y también en versión digital, "Diari de Sabadell", de anuncios de diversas campañas de publicidad, servicios y actividades organizadas por el Ayuntamiento de Sabadell</x:t>
  </x:si>
  <x:si>
    <x:t>COM/2024/52</x:t>
  </x:si>
  <x:si>
    <x:t>INTERVENTO 2 S.L</x:t>
  </x:si>
  <x:si>
    <x:t>25245220</x:t>
  </x:si>
  <x:si>
    <x:t>AYUNTAMIENTO DE MADRID. ÁREA DE GOBIERNO DE CULTURA, TURISMO Y DEPORTE</x:t>
  </x:si>
  <x:si>
    <x:t>Montaje y desmontaje de la exposición “Naturaleza de asfalto. Madrid Hiperrealista. José miguel Palacio“, que tendrá lugar en la sala de exposiciones temporales del Museo de Historia de Madrid</x:t>
  </x:si>
  <x:si>
    <x:t>191/2021/00447-L2-12</x:t>
  </x:si>
  <x:si>
    <x:t>Desierto</x:t>
  </x:si>
  <x:si>
    <x:t>DESIERTO</x:t>
  </x:si>
  <x:si>
    <x:t>25245300</x:t>
  </x:si>
  <x:si>
    <x:t>JUNTA DE CONTRATACIÓN DEL MINISTERIO DE CULTURA Y DEPORTE</x:t>
  </x:si>
  <x:si>
    <x:t>Servicio de soporte a la organización de las actividades previstas en el Plan de Formación de la Subdirección General del Instituto de Patrimonio Cultural de España</x:t>
  </x:si>
  <x:si>
    <x:t>J250056</x:t>
  </x:si>
  <x:si>
    <x:t>Madrid y La Rioja</x:t>
  </x:si>
  <x:si>
    <x:t>LOTE 2 CAS TRAINING SL</x:t>
  </x:si>
  <x:si>
    <x:t>25245375</x:t>
  </x:si>
  <x:si>
    <x:t>MINISTERIO DE HACIENDA. PRESIDENCIA - SOCIEDAD ESTATAL DE PARTICIPACIONES INDUSTRIALES (SEPI)</x:t>
  </x:si>
  <x:si>
    <x:t>Servicios de formación para la implementación de un modelo de liderazgo para el personal de la Sociedad Estatal de Participaciones Industriales (SEPI). Lote 1: Plan de formación dirigido a toda la plantilla. Lote 2: Plan de formación específico para personal predirectivo y directivo. Lote 3: Realización de conferencias de alto impacto.</x:t>
  </x:si>
  <x:si>
    <x:t>LIC-20250010SEPI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</x:si>
</x:sst>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HYPERLINK("https://www.infonalia.es/adjudicaciones1225/25244166.pdf","www.infonalia.es/adjudicaciones1225/25244166.pdf")</x:f>
        <x:v>www.infonalia.es/adjudicaciones1225/25244166.pdf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s">
        <x:v>19</x:v>
      </x:c>
      <x:c r="K2" s="9" t="n">
        <x:v>24831.16</x:v>
      </x:c>
    </x:row>
    <x:row r="3">
      <x:c r="A3" s="6" t="s">
        <x:v>11</x:v>
      </x:c>
      <x:c r="B3" s="6" t="s">
        <x:v>20</x:v>
      </x:c>
      <x:c r="C3" s="6" t="s">
        <x:v>13</x:v>
      </x:c>
      <x:c r="D3" s="7" t="str">
        <x:f xml:space="preserve">HYPERLINK("https://www.infonalia.es/adjudicaciones1225/25244167.pdf","www.infonalia.es/adjudicaciones1225/25244167.pdf")</x:f>
        <x:v>www.infonalia.es/adjudicaciones1225/25244167.pdf</x:v>
      </x:c>
      <x:c r="E3" s="8" t="s">
        <x:v>21</x:v>
      </x:c>
      <x:c r="F3" s="6" t="s">
        <x:v>22</x:v>
      </x:c>
      <x:c r="G3" s="6" t="s">
        <x:v>23</x:v>
      </x:c>
      <x:c r="H3" s="6" t="s">
        <x:v>24</x:v>
      </x:c>
      <x:c r="I3" s="6" t="s">
        <x:v>18</x:v>
      </x:c>
      <x:c r="J3" s="9" t="s">
        <x:v>19</x:v>
      </x:c>
      <x:c r="K3" s="9" t="n">
        <x:v>1612338.02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HYPERLINK("https://www.infonalia.es/adjudicaciones1225/25244303.pdf","www.infonalia.es/adjudicaciones1225/25244303.pdf")</x:f>
        <x:v>www.infonalia.es/adjudicaciones1225/25244303.pdf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18</x:v>
      </x:c>
      <x:c r="J4" s="9" t="n">
        <x:v>21000.00</x:v>
      </x:c>
      <x:c r="K4" s="9" t="n">
        <x:v>21000.00</x:v>
      </x:c>
    </x:row>
    <x:row r="5">
      <x:c r="A5" s="6" t="s">
        <x:v>11</x:v>
      </x:c>
      <x:c r="B5" s="6" t="s">
        <x:v>30</x:v>
      </x:c>
      <x:c r="C5" s="6" t="s">
        <x:v>13</x:v>
      </x:c>
      <x:c r="D5" s="7" t="str">
        <x:f xml:space="preserve">HYPERLINK("https://www.infonalia.es/adjudicaciones1225/25244557.pdf","www.infonalia.es/adjudicaciones1225/25244557.pdf")</x:f>
        <x:v>www.infonalia.es/adjudicaciones1225/25244557.pdf</x:v>
      </x:c>
      <x:c r="E5" s="8" t="s">
        <x:v>31</x:v>
      </x:c>
      <x:c r="F5" s="6" t="s">
        <x:v>32</x:v>
      </x:c>
      <x:c r="G5" s="6" t="s">
        <x:v>33</x:v>
      </x:c>
      <x:c r="H5" s="6" t="s">
        <x:v>34</x:v>
      </x:c>
      <x:c r="I5" s="6" t="s">
        <x:v>35</x:v>
      </x:c>
      <x:c r="J5" s="9" t="s">
        <x:v>19</x:v>
      </x:c>
      <x:c r="K5" s="9" t="n">
        <x:v>20302.40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HYPERLINK("https://www.infonalia.es/adjudicaciones1225/25244638.pdf","www.infonalia.es/adjudicaciones1225/25244638.pdf")</x:f>
        <x:v>www.infonalia.es/adjudicaciones1225/25244638.pdf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41</x:v>
      </x:c>
      <x:c r="J6" s="9" t="n">
        <x:v>25792.00</x:v>
      </x:c>
      <x:c r="K6" s="9" t="n">
        <x:v>26915.21</x:v>
      </x:c>
    </x:row>
    <x:row r="7">
      <x:c r="A7" s="6" t="s">
        <x:v>11</x:v>
      </x:c>
      <x:c r="B7" s="6" t="s">
        <x:v>42</x:v>
      </x:c>
      <x:c r="C7" s="6" t="s">
        <x:v>13</x:v>
      </x:c>
      <x:c r="D7" s="7" t="str">
        <x:f xml:space="preserve">HYPERLINK("https://www.infonalia.es/adjudicaciones1225/25244716.pdf","www.infonalia.es/adjudicaciones1225/25244716.pdf")</x:f>
        <x:v>www.infonalia.es/adjudicaciones1225/25244716.pdf</x:v>
      </x:c>
      <x:c r="E7" s="8" t="s">
        <x:v>43</x:v>
      </x:c>
      <x:c r="F7" s="6" t="s">
        <x:v>44</x:v>
      </x:c>
      <x:c r="G7" s="6" t="s">
        <x:v>45</x:v>
      </x:c>
      <x:c r="H7" s="6" t="s">
        <x:v>46</x:v>
      </x:c>
      <x:c r="I7" s="6" t="s">
        <x:v>47</x:v>
      </x:c>
      <x:c r="J7" s="9" t="s">
        <x:v>19</x:v>
      </x:c>
      <x:c r="K7" s="9" t="n">
        <x:v>125286.00</x:v>
      </x:c>
    </x:row>
    <x:row r="8">
      <x:c r="A8" s="6" t="s">
        <x:v>11</x:v>
      </x:c>
      <x:c r="B8" s="6" t="s">
        <x:v>48</x:v>
      </x:c>
      <x:c r="C8" s="6" t="s">
        <x:v>13</x:v>
      </x:c>
      <x:c r="D8" s="7" t="str">
        <x:f xml:space="preserve">HYPERLINK("https://www.infonalia.es/adjudicaciones1225/25244742.pdf","www.infonalia.es/adjudicaciones1225/25244742.pdf")</x:f>
        <x:v>www.infonalia.es/adjudicaciones1225/25244742.pdf</x:v>
      </x:c>
      <x:c r="E8" s="8" t="s">
        <x:v>49</x:v>
      </x:c>
      <x:c r="F8" s="6" t="s">
        <x:v>50</x:v>
      </x:c>
      <x:c r="G8" s="6" t="s">
        <x:v>51</x:v>
      </x:c>
      <x:c r="H8" s="6" t="s">
        <x:v>52</x:v>
      </x:c>
      <x:c r="I8" s="6" t="s">
        <x:v>18</x:v>
      </x:c>
      <x:c r="J8" s="9" t="n">
        <x:v>203681.60</x:v>
      </x:c>
      <x:c r="K8" s="9" t="n">
        <x:v>203681.60</x:v>
      </x:c>
    </x:row>
    <x:row r="9">
      <x:c r="A9" s="6" t="s">
        <x:v>11</x:v>
      </x:c>
      <x:c r="B9" s="6" t="s">
        <x:v>53</x:v>
      </x:c>
      <x:c r="C9" s="6" t="s">
        <x:v>13</x:v>
      </x:c>
      <x:c r="D9" s="7" t="str">
        <x:f xml:space="preserve">HYPERLINK("https://www.infonalia.es/adjudicaciones1225/25244752.pdf","www.infonalia.es/adjudicaciones1225/25244752.pdf")</x:f>
        <x:v>www.infonalia.es/adjudicaciones1225/25244752.pdf</x:v>
      </x:c>
      <x:c r="E9" s="8" t="s">
        <x:v>54</x:v>
      </x:c>
      <x:c r="F9" s="6" t="s">
        <x:v>55</x:v>
      </x:c>
      <x:c r="G9" s="6" t="s">
        <x:v>56</x:v>
      </x:c>
      <x:c r="H9" s="6" t="s">
        <x:v>57</x:v>
      </x:c>
      <x:c r="I9" s="6" t="s">
        <x:v>35</x:v>
      </x:c>
      <x:c r="J9" s="9" t="s">
        <x:v>19</x:v>
      </x:c>
      <x:c r="K9" s="9" t="n">
        <x:v>55000.00</x:v>
      </x:c>
    </x:row>
    <x:row r="10">
      <x:c r="A10" s="6" t="s">
        <x:v>11</x:v>
      </x:c>
      <x:c r="B10" s="6" t="s">
        <x:v>58</x:v>
      </x:c>
      <x:c r="C10" s="6" t="s">
        <x:v>13</x:v>
      </x:c>
      <x:c r="D10" s="7" t="str">
        <x:f xml:space="preserve">HYPERLINK("https://www.infonalia.es/adjudicaciones1225/25244773.pdf","www.infonalia.es/adjudicaciones1225/25244773.pdf")</x:f>
        <x:v>www.infonalia.es/adjudicaciones1225/25244773.pdf</x:v>
      </x:c>
      <x:c r="E10" s="8" t="s">
        <x:v>59</x:v>
      </x:c>
      <x:c r="F10" s="6" t="s">
        <x:v>60</x:v>
      </x:c>
      <x:c r="G10" s="6" t="s">
        <x:v>61</x:v>
      </x:c>
      <x:c r="H10" s="6" t="s">
        <x:v>62</x:v>
      </x:c>
      <x:c r="I10" s="6" t="s">
        <x:v>41</x:v>
      </x:c>
      <x:c r="J10" s="9" t="n">
        <x:v>20.70</x:v>
      </x:c>
      <x:c r="K10" s="9" t="n">
        <x:v>35000.00</x:v>
      </x:c>
    </x:row>
    <x:row r="11">
      <x:c r="A11" s="6" t="s">
        <x:v>11</x:v>
      </x:c>
      <x:c r="B11" s="6" t="s">
        <x:v>63</x:v>
      </x:c>
      <x:c r="C11" s="6" t="s">
        <x:v>13</x:v>
      </x:c>
      <x:c r="D11" s="7" t="str">
        <x:f xml:space="preserve">HYPERLINK("https://www.infonalia.es/adjudicaciones1225/25244873.pdf","www.infonalia.es/adjudicaciones1225/25244873.pdf")</x:f>
        <x:v>www.infonalia.es/adjudicaciones1225/25244873.pdf</x:v>
      </x:c>
      <x:c r="E11" s="8" t="s">
        <x:v>64</x:v>
      </x:c>
      <x:c r="F11" s="6" t="s">
        <x:v>65</x:v>
      </x:c>
      <x:c r="G11" s="6" t="s">
        <x:v>66</x:v>
      </x:c>
      <x:c r="H11" s="6" t="s">
        <x:v>67</x:v>
      </x:c>
      <x:c r="I11" s="6" t="s">
        <x:v>18</x:v>
      </x:c>
      <x:c r="J11" s="9" t="n">
        <x:v>14325.00</x:v>
      </x:c>
      <x:c r="K11" s="9" t="n">
        <x:v>37214.85</x:v>
      </x:c>
    </x:row>
    <x:row r="12">
      <x:c r="A12" s="6" t="s">
        <x:v>11</x:v>
      </x:c>
      <x:c r="B12" s="6" t="s">
        <x:v>68</x:v>
      </x:c>
      <x:c r="C12" s="6" t="s">
        <x:v>13</x:v>
      </x:c>
      <x:c r="D12" s="7" t="str">
        <x:f xml:space="preserve">HYPERLINK("https://www.infonalia.es/adjudicaciones1225/25244881.pdf","www.infonalia.es/adjudicaciones1225/25244881.pdf")</x:f>
        <x:v>www.infonalia.es/adjudicaciones1225/25244881.pdf</x:v>
      </x:c>
      <x:c r="E12" s="8" t="s">
        <x:v>69</x:v>
      </x:c>
      <x:c r="F12" s="6" t="s">
        <x:v>70</x:v>
      </x:c>
      <x:c r="G12" s="6" t="s">
        <x:v>71</x:v>
      </x:c>
      <x:c r="H12" s="6" t="s">
        <x:v>72</x:v>
      </x:c>
      <x:c r="I12" s="6" t="s">
        <x:v>18</x:v>
      </x:c>
      <x:c r="J12" s="9" t="n">
        <x:v>280660.00</x:v>
      </x:c>
      <x:c r="K12" s="9" t="n">
        <x:v>330578.51</x:v>
      </x:c>
    </x:row>
    <x:row r="13">
      <x:c r="A13" s="6" t="s">
        <x:v>11</x:v>
      </x:c>
      <x:c r="B13" s="6" t="s">
        <x:v>73</x:v>
      </x:c>
      <x:c r="C13" s="6" t="s">
        <x:v>13</x:v>
      </x:c>
      <x:c r="D13" s="7" t="str">
        <x:f xml:space="preserve">HYPERLINK("https://www.infonalia.es/adjudicaciones1225/25244911.pdf","www.infonalia.es/adjudicaciones1225/25244911.pdf")</x:f>
        <x:v>www.infonalia.es/adjudicaciones1225/25244911.pdf</x:v>
      </x:c>
      <x:c r="E13" s="8" t="s">
        <x:v>74</x:v>
      </x:c>
      <x:c r="F13" s="6" t="s">
        <x:v>75</x:v>
      </x:c>
      <x:c r="G13" s="6" t="s">
        <x:v>76</x:v>
      </x:c>
      <x:c r="H13" s="6" t="s">
        <x:v>77</x:v>
      </x:c>
      <x:c r="I13" s="6" t="s">
        <x:v>18</x:v>
      </x:c>
      <x:c r="J13" s="9" t="n">
        <x:v>136430.00</x:v>
      </x:c>
      <x:c r="K13" s="9" t="n">
        <x:v>139303.48</x:v>
      </x:c>
    </x:row>
    <x:row r="14">
      <x:c r="A14" s="6" t="s">
        <x:v>11</x:v>
      </x:c>
      <x:c r="B14" s="6" t="s">
        <x:v>78</x:v>
      </x:c>
      <x:c r="C14" s="6" t="s">
        <x:v>13</x:v>
      </x:c>
      <x:c r="D14" s="7" t="str">
        <x:f xml:space="preserve">HYPERLINK("https://www.infonalia.es/adjudicaciones1225/25244938.pdf","www.infonalia.es/adjudicaciones1225/25244938.pdf")</x:f>
        <x:v>www.infonalia.es/adjudicaciones1225/25244938.pdf</x:v>
      </x:c>
      <x:c r="E14" s="8" t="s">
        <x:v>79</x:v>
      </x:c>
      <x:c r="F14" s="6" t="s">
        <x:v>80</x:v>
      </x:c>
      <x:c r="G14" s="6" t="s">
        <x:v>81</x:v>
      </x:c>
      <x:c r="H14" s="6" t="s">
        <x:v>82</x:v>
      </x:c>
      <x:c r="I14" s="6" t="s">
        <x:v>18</x:v>
      </x:c>
      <x:c r="J14" s="9" t="n">
        <x:v>864059.21</x:v>
      </x:c>
      <x:c r="K14" s="9" t="n">
        <x:v>1375673.20</x:v>
      </x:c>
    </x:row>
    <x:row r="15">
      <x:c r="A15" s="6" t="s">
        <x:v>11</x:v>
      </x:c>
      <x:c r="B15" s="6" t="s">
        <x:v>83</x:v>
      </x:c>
      <x:c r="C15" s="6" t="s">
        <x:v>13</x:v>
      </x:c>
      <x:c r="D15" s="7" t="str">
        <x:f xml:space="preserve">HYPERLINK("https://www.infonalia.es/adjudicaciones1225/25245037.pdf","www.infonalia.es/adjudicaciones1225/25245037.pdf")</x:f>
        <x:v>www.infonalia.es/adjudicaciones1225/25245037.pdf</x:v>
      </x:c>
      <x:c r="E15" s="8" t="s">
        <x:v>84</x:v>
      </x:c>
      <x:c r="F15" s="6" t="s">
        <x:v>85</x:v>
      </x:c>
      <x:c r="G15" s="6" t="s">
        <x:v>86</x:v>
      </x:c>
      <x:c r="H15" s="6" t="s">
        <x:v>87</x:v>
      </x:c>
      <x:c r="I15" s="6" t="s">
        <x:v>18</x:v>
      </x:c>
      <x:c r="J15" s="9" t="n">
        <x:v>7822.70</x:v>
      </x:c>
      <x:c r="K15" s="9" t="n">
        <x:v>7822.70</x:v>
      </x:c>
    </x:row>
    <x:row r="16">
      <x:c r="A16" s="6" t="s">
        <x:v>11</x:v>
      </x:c>
      <x:c r="B16" s="6" t="s">
        <x:v>88</x:v>
      </x:c>
      <x:c r="C16" s="6" t="s">
        <x:v>13</x:v>
      </x:c>
      <x:c r="D16" s="7" t="str">
        <x:f xml:space="preserve">HYPERLINK("https://www.infonalia.es/adjudicaciones1225/25245168.pdf","www.infonalia.es/adjudicaciones1225/25245168.pdf")</x:f>
        <x:v>www.infonalia.es/adjudicaciones1225/25245168.pdf</x:v>
      </x:c>
      <x:c r="E16" s="8" t="s">
        <x:v>89</x:v>
      </x:c>
      <x:c r="F16" s="6" t="s">
        <x:v>90</x:v>
      </x:c>
      <x:c r="G16" s="6" t="s">
        <x:v>91</x:v>
      </x:c>
      <x:c r="H16" s="6" t="s">
        <x:v>92</x:v>
      </x:c>
      <x:c r="I16" s="6" t="s">
        <x:v>41</x:v>
      </x:c>
      <x:c r="J16" s="9" t="n">
        <x:v>6000.00</x:v>
      </x:c>
      <x:c r="K16" s="9" t="n">
        <x:v>6000.00</x:v>
      </x:c>
    </x:row>
    <x:row r="17">
      <x:c r="A17" s="6" t="s">
        <x:v>11</x:v>
      </x:c>
      <x:c r="B17" s="6" t="s">
        <x:v>93</x:v>
      </x:c>
      <x:c r="C17" s="6" t="s">
        <x:v>13</x:v>
      </x:c>
      <x:c r="D17" s="7" t="str">
        <x:f xml:space="preserve">HYPERLINK("https://www.infonalia.es/adjudicaciones1225/25245214.pdf","www.infonalia.es/adjudicaciones1225/25245214.pdf")</x:f>
        <x:v>www.infonalia.es/adjudicaciones1225/25245214.pdf</x:v>
      </x:c>
      <x:c r="E17" s="8" t="s">
        <x:v>94</x:v>
      </x:c>
      <x:c r="F17" s="6" t="s">
        <x:v>95</x:v>
      </x:c>
      <x:c r="G17" s="6" t="s">
        <x:v>96</x:v>
      </x:c>
      <x:c r="H17" s="6" t="s">
        <x:v>97</x:v>
      </x:c>
      <x:c r="I17" s="6" t="s">
        <x:v>35</x:v>
      </x:c>
      <x:c r="J17" s="9" t="n">
        <x:v>122768.60</x:v>
      </x:c>
      <x:c r="K17" s="9" t="n">
        <x:v>122768.60</x:v>
      </x:c>
    </x:row>
    <x:row r="18">
      <x:c r="A18" s="6" t="s">
        <x:v>11</x:v>
      </x:c>
      <x:c r="B18" s="6" t="s">
        <x:v>98</x:v>
      </x:c>
      <x:c r="C18" s="6" t="s">
        <x:v>13</x:v>
      </x:c>
      <x:c r="D18" s="7" t="str">
        <x:f xml:space="preserve">HYPERLINK("https://www.infonalia.es/adjudicaciones1225/25245220.pdf","www.infonalia.es/adjudicaciones1225/25245220.pdf")</x:f>
        <x:v>www.infonalia.es/adjudicaciones1225/25245220.pdf</x:v>
      </x:c>
      <x:c r="E18" s="8" t="s">
        <x:v>99</x:v>
      </x:c>
      <x:c r="F18" s="6" t="s">
        <x:v>100</x:v>
      </x:c>
      <x:c r="G18" s="6" t="s">
        <x:v>101</x:v>
      </x:c>
      <x:c r="H18" s="6" t="s">
        <x:v>102</x:v>
      </x:c>
      <x:c r="I18" s="6" t="s">
        <x:v>18</x:v>
      </x:c>
      <x:c r="J18" s="9" t="n">
        <x:v>41760.97</x:v>
      </x:c>
      <x:c r="K18" s="9" t="n">
        <x:v>41970.82</x:v>
      </x:c>
    </x:row>
    <x:row r="19">
      <x:c r="A19" s="6" t="s">
        <x:v>103</x:v>
      </x:c>
      <x:c r="B19" s="6" t="s">
        <x:v>104</x:v>
      </x:c>
      <x:c r="C19" s="6" t="s">
        <x:v>13</x:v>
      </x:c>
      <x:c r="D19" s="7" t="str">
        <x:f xml:space="preserve">HYPERLINK("https://www.infonalia.es/adjudicaciones1225/25245300.pdf","www.infonalia.es/adjudicaciones1225/25245300.pdf")</x:f>
        <x:v>www.infonalia.es/adjudicaciones1225/25245300.pdf</x:v>
      </x:c>
      <x:c r="E19" s="8" t="s">
        <x:v>105</x:v>
      </x:c>
      <x:c r="F19" s="6" t="s">
        <x:v>106</x:v>
      </x:c>
      <x:c r="G19" s="6" t="s">
        <x:v>107</x:v>
      </x:c>
      <x:c r="H19" s="6" t="s">
        <x:v>108</x:v>
      </x:c>
      <x:c r="I19" s="6" t="s">
        <x:v>109</x:v>
      </x:c>
      <x:c r="J19" s="9" t="s">
        <x:v>19</x:v>
      </x:c>
      <x:c r="K19" s="9" t="n">
        <x:v>41244.60</x:v>
      </x:c>
    </x:row>
    <x:row r="20">
      <x:c r="A20" s="6" t="s">
        <x:v>11</x:v>
      </x:c>
      <x:c r="B20" s="6" t="s">
        <x:v>110</x:v>
      </x:c>
      <x:c r="C20" s="6" t="s">
        <x:v>13</x:v>
      </x:c>
      <x:c r="D20" s="7" t="str">
        <x:f xml:space="preserve">HYPERLINK("https://www.infonalia.es/adjudicaciones1225/25245375.pdf","www.infonalia.es/adjudicaciones1225/25245375.pdf")</x:f>
        <x:v>www.infonalia.es/adjudicaciones1225/25245375.pdf</x:v>
      </x:c>
      <x:c r="E20" s="8" t="s">
        <x:v>111</x:v>
      </x:c>
      <x:c r="F20" s="6" t="s">
        <x:v>112</x:v>
      </x:c>
      <x:c r="G20" s="6" t="s">
        <x:v>113</x:v>
      </x:c>
      <x:c r="H20" s="6" t="s">
        <x:v>114</x:v>
      </x:c>
      <x:c r="I20" s="6" t="s">
        <x:v>18</x:v>
      </x:c>
      <x:c r="J20" s="9" t="n">
        <x:v>26500.00</x:v>
      </x:c>
      <x:c r="K20" s="9" t="n">
        <x:v>45000.00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