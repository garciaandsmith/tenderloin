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<x:sst xmlns:x="http://schemas.openxmlformats.org/spreadsheetml/2006/main" count="6" uniqueCount="6">
  <x:si>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</x:si>
  <x:si>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</x:si>
  <x:si>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</x:si>
  <x:si>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</x:si>
  <x:si>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</x:si>
  <x:si>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</x:si>
  <x:si>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2025174829</x:t>
  </x:si>
  <x:si>
    <x:t>Aclaración / Ampliación de pliegos</x:t>
  </x:si>
  <x:si>
    <x:t>CORPORACIÓ CATALANA DE MITJANS AUDIOVISUALS, SA (CCMA, SA)</x:t>
  </x:si>
  <x:si>
    <x:t>Servicio de implantación, mantenimiento y explotación de un nuevo sistema de medida interna de audiencias Cross Media de todos los contenidos de 3Cat. El objeto de esta concurrencia es la contratación por parte de la Corporació Catalana de Mitjans Audiovisuals, S. A. (en adelante CCMA, S. A.) del servicio de implantación, mantenimiento y explotación de un nuevo sistema de medida interna de audiencias Cross Media de todos los contenidos de la CCMA, S. A. Este servicio debe cubrir todas las ventanas de emisión de los contenidos de 3Cat: televisión, radio, plataforma 3CAT, webs, redes sociales, videojuegos, y debe estar abierta a nuevas incorporaciones fruto de los avances tecnológicos</x:t>
  </x:si>
  <x:si>
    <x:t>2026001452</x:t>
  </x:si>
  <x:si>
    <x:t>GENERALITAT DE CATALUNYA. DEPARTAMENTO DE LA PRESIDENCIA</x:t>
  </x:si>
  <x:si>
    <x:t>Servicios y suministros para la conceptualización, planificación y realización técnica de los actos institucionales del consejero del Departamento la Presidencia en el Palau de la Generalitat y en el resto de espacios donde se lleven a cabo</x:t>
  </x:si>
  <x:si>
    <x:t>2026010134</x:t>
  </x:si>
  <x:si>
    <x:t>Corrección de errores</x:t>
  </x:si>
  <x:si>
    <x:t>CONSEJO DE ADMINISTRACIÓN DE ICEX ESPAÑA EXPORTACIÓN E INVERSIONES, E.P.E</x:t>
  </x:si>
  <x:si>
    <x:t>Servicio de consultoría para el desarrollo y conceptualización del espacio expositivo “La Casa del Comercio” en torno al comercio internacional y su impacto en la cultura y la civilización, que ICEX tiene previsto establecer en su nueva sede de avenida de Manoteras, 28, Madrid</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</x:si>
</x:sst>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HYPERLINK("https://www.infonalia.es/modificaciones0226/2025174829.pdf","www.infonalia.es/modificaciones0226/2025174829.pdf")</x:f>
        <x:v>www.infonalia.es/modificaciones0226/2025174829.pdf</x:v>
      </x:c>
      <x:c r="F2" s="5" t="str">
        <x:f xml:space="preserve">HYPERLINK("https://www.infonalia.es/licitaciones1225/2025174829.pdf","www.infonalia.es/licitaciones1225/2025174829.pdf")</x:f>
        <x:v>www.infonalia.es/licitaciones1225/2025174829.pdf</x:v>
      </x:c>
    </x:row>
    <x:row r="3">
      <x:c r="A3" s="3" t="s">
        <x:v>10</x:v>
      </x:c>
      <x:c r="B3" s="4" t="s">
        <x:v>7</x:v>
      </x:c>
      <x:c r="C3" s="4" t="s">
        <x:v>11</x:v>
      </x:c>
      <x:c r="D3" s="4" t="s">
        <x:v>12</x:v>
      </x:c>
      <x:c r="E3" s="5" t="str">
        <x:f xml:space="preserve">HYPERLINK("https://www.infonalia.es/modificaciones0226/2026001452.pdf","www.infonalia.es/modificaciones0226/2026001452.pdf")</x:f>
        <x:v>www.infonalia.es/modificaciones0226/2026001452.pdf</x:v>
      </x:c>
      <x:c r="F3" s="5" t="str">
        <x:f xml:space="preserve">HYPERLINK("https://www.infonalia.es/licitaciones0126/2026001452.pdf","www.infonalia.es/licitaciones0126/2026001452.pdf")</x:f>
        <x:v>www.infonalia.es/licitaciones0126/2026001452.pdf</x:v>
      </x:c>
    </x:row>
    <x:row r="4">
      <x:c r="A4" s="3" t="s">
        <x:v>13</x:v>
      </x:c>
      <x:c r="B4" s="4" t="s">
        <x:v>14</x:v>
      </x:c>
      <x:c r="C4" s="4" t="s">
        <x:v>15</x:v>
      </x:c>
      <x:c r="D4" s="4" t="s">
        <x:v>16</x:v>
      </x:c>
      <x:c r="E4" s="5" t="str">
        <x:f xml:space="preserve">HYPERLINK("https://www.infonalia.es/modificaciones0226/2026010134.pdf","www.infonalia.es/modificaciones0226/2026010134.pdf")</x:f>
        <x:v>www.infonalia.es/modificaciones0226/2026010134.pdf</x:v>
      </x:c>
      <x:c r="F4" s="5" t="str">
        <x:f xml:space="preserve">HYPERLINK("https://www.infonalia.es/licitaciones0226/2026010134.pdf","www.infonalia.es/licitaciones0226/2026010134.pdf")</x:f>
        <x:v>www.infonalia.es/licitaciones0226/2026010134.pdf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