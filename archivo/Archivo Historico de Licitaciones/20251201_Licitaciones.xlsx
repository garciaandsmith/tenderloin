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<x:sst xmlns:x="http://schemas.openxmlformats.org/spreadsheetml/2006/main" count="17" uniqueCount="17">
  <x:si>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</x:si>
  <x:si>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</x:si>
  <x:si>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</x:si>
  <x:si>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</x:si>
  <x:si>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</x:si>
  <x:si>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</x:si>
  <x:si>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</x:si>
  <x:si>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</x:si>
  <x:si>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</x:si>
  <x:si>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</x:si>
  <x:si>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</x:si>
  <x:si>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</x:si>
  <x:si>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</x:si>
  <x:si>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</x:si>
  <x:si>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</x:si>
  <x:si>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</x:si>
  <x:si>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</x:si>
  <x:si>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</x:si>
  <x:si>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</x:si>
  <x:si>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29/12/2025</x:t>
  </x:si>
  <x:si>
    <x:t>2025170705</x:t>
  </x:si>
  <x:si>
    <x:t>01/12/2025</x:t>
  </x:si>
  <x:si>
    <x:t>DIRECCIÓN DE COMPRAS DE LA CORPORACIÓN DE RADIO Y TELEVISIÓN ESPAÑOLA S.A</x:t>
  </x:si>
  <x:si>
    <x:t>Acuerdo marco:Transmisión de señales de tv y radio mediante estaciones terrenas. Servicios ocasionales ETT's 12h HD/UHD</x:t>
  </x:si>
  <x:si>
    <x:t>S-04418-2025</x:t>
  </x:si>
  <x:si>
    <x:t>Importe sin impuestos</x:t>
  </x:si>
  <x:si>
    <x:t/>
  </x:si>
  <x:si>
    <x:t>-----</x:t>
  </x:si>
  <x:si>
    <x:t>30/11/2025</x:t>
  </x:si>
  <x:si>
    <x:t/>
  </x:si>
  <x:si>
    <x:t>Madrid</x:t>
  </x:si>
  <x:si>
    <x:t>16/12/2025</x:t>
  </x:si>
  <x:si>
    <x:t>2025170719</x:t>
  </x:si>
  <x:si>
    <x:t>JUNTA DE CONTRATACIÓN DEL MINISTERIO DE TRANSPORTES Y MOVILIDAD SOSTENIBLE</x:t>
  </x:si>
  <x:si>
    <x:t>Servicio de realización de la estrategia, creatividad y producción del plan de acciones de comunicación del Ministerio de Transportes y Movilidad Sostenible 2026-2027</x:t>
  </x:si>
  <x:si>
    <x:t>25PPS2VV0190</x:t>
  </x:si>
  <x:si>
    <x:t/>
  </x:si>
  <x:si>
    <x:t>18/12/2025</x:t>
  </x:si>
  <x:si>
    <x:t>2025170836</x:t>
  </x:si>
  <x:si>
    <x:t>FUNDACIÓN BARCELONA CAPITAL NÀUTICA, AC 24</x:t>
  </x:si>
  <x:si>
    <x:t>Servicio integral de gestión de la comunicación de la FBCN, que incluye la planificación, coordinación, desarrollo y ejecución de todas las acciones de comunicación estratégica, institucional, digital y gráfica y de relaciones con los medios, tanto de la propia FBCN como del Centro Colaborativo de la Década del Océano, con medidas de contratación pública sostenible</x:t>
  </x:si>
  <x:si>
    <x:t>18/2025-O-S</x:t>
  </x:si>
  <x:si>
    <x:t>28/11/2025</x:t>
  </x:si>
  <x:si>
    <x:t/>
  </x:si>
  <x:si>
    <x:t>Barcelona</x:t>
  </x:si>
  <x:si>
    <x:t>31/12/2025</x:t>
  </x:si>
  <x:si>
    <x:t>2025170927</x:t>
  </x:si>
  <x:si>
    <x:t>EMPRESA MIXTA DE SERVEIS FÚNEBRES MUNICIPALS DE TARRAGONA, SA</x:t>
  </x:si>
  <x:si>
    <x:t>Contratación del asesoramiento, planificación e inserción de publicidad convencional en los medios de comunicación de las campañas institucionales de la Empresa Mixta de Servicios Fúnebres Municipales de Tarragona, SA, y organización de eventos para divulgar el valor social de la empresa funeraria</x:t>
  </x:si>
  <x:si>
    <x:t>55/2025</x:t>
  </x:si>
  <x:si>
    <x:t/>
  </x:si>
  <x:si>
    <x:t>Tarragona</x:t>
  </x:si>
  <x:si>
    <x:t>07/01/2026</x:t>
  </x:si>
  <x:si>
    <x:t>2025171168</x:t>
  </x:si>
  <x:si>
    <x:t>CONSEJERO DELEGADO DE INGENIERÍA DE SISTEMAS PARA LA DEFENSA DE ESPAÑA S.A., S.M.E. Y M.P</x:t>
  </x:si>
  <x:si>
    <x:t>Servicio de consultoría tecnológica de inteligencia de negocio en el ámbito del planeamiento de recursos</x:t>
  </x:si>
  <x:si>
    <x:t>2025-01801</x:t>
  </x:si>
  <x:si>
    <x:t/>
  </x:si>
  <x:si>
    <x:t>15/01/2026</x:t>
  </x:si>
  <x:si>
    <x:t>2025171200</x:t>
  </x:si>
  <x:si>
    <x:t>BARCELONA DE SERVEIS MUNICIPALS SA</x:t>
  </x:si>
  <x:si>
    <x:t>Concurso de proyectos en una sola fase para la contratación de los servicios de conceptualización conjunta, diseño, definición y producción de contenidos y experiencias para los visitantes en el marco del desarrollo del futuro del Zoo de Barcelona</x:t>
  </x:si>
  <x:si>
    <x:t>2025ZO0210AC</x:t>
  </x:si>
  <x:si>
    <x:t/>
  </x:si>
  <x:si>
    <x:t>Catalunya - Plataforma de Contratación</x:t>
  </x:si>
  <x:si>
    <x:t>05/12/2025</x:t>
  </x:si>
  <x:si>
    <x:t>2025171234</x:t>
  </x:si>
  <x:si>
    <x:t>AYUNTAMIENTO DE VIELHA Y MIJARAN (LLEIDA)</x:t>
  </x:si>
  <x:si>
    <x:t>Contrato menor: Retransmisión en directo, mediante una emisora de radio en FM, de las campanadas y de la celebración de Fin de Año 2025 de Vielha desde la Plaza de la Iglesia</x:t>
  </x:si>
  <x:si>
    <x:t>4732/2025</x:t>
  </x:si>
  <x:si>
    <x:t>IVA excuido</x:t>
  </x:si>
  <x:si>
    <x:t/>
  </x:si>
  <x:si>
    <x:t/>
  </x:si>
  <x:si>
    <x:t>Lleida</x:t>
  </x:si>
  <x:si>
    <x:t>02/12/2025</x:t>
  </x:si>
  <x:si>
    <x:t>2025171313</x:t>
  </x:si>
  <x:si>
    <x:t>MINISTERIO DE DEFENSA. INTENDENCIA DE MADRID</x:t>
  </x:si>
  <x:si>
    <x:t>CM Servicio de Comunicación y Marketing digital para la Oficina de Comunicación Social de la Armada (OCS)</x:t>
  </x:si>
  <x:si>
    <x:t>2025/AR21U/00002724E</x:t>
  </x:si>
  <x:si>
    <x:t/>
  </x:si>
  <x:si>
    <x:t>09/12/2025</x:t>
  </x:si>
  <x:si>
    <x:t>2025171316</x:t>
  </x:si>
  <x:si>
    <x:t>Asesoramiento artístico ARCO 2026</x:t>
  </x:si>
  <x:si>
    <x:t>S-05101-2025</x:t>
  </x:si>
  <x:si>
    <x:t/>
  </x:si>
  <x:si>
    <x:t>2025171406</x:t>
  </x:si>
  <x:si>
    <x:t>CONSEJO CONSULTIVO DEL PRINCIPADO DE ASTURIAS</x:t>
  </x:si>
  <x:si>
    <x:t>Servicio de diseño, maquetación, impresión, encuadernación y suministro de 10 ejemplares de la Memoria anual del Consejo Consultivo del Principado de Asturias, así como de otras publicaciones eventuales previsibles</x:t>
  </x:si>
  <x:si>
    <x:t>CCPA 6/2025</x:t>
  </x:si>
  <x:si>
    <x:t/>
  </x:si>
  <x:si>
    <x:t>Asturias</x:t>
  </x:si>
  <x:si>
    <x:t>17/12/2025</x:t>
  </x:si>
  <x:si>
    <x:t>2025171463</x:t>
  </x:si>
  <x:si>
    <x:t>Servicios de apoyo técnico gestión de la comunicación en el ámbito del CESEDEN [Lote 1: Gestion de la comunicacion - Lote 2: Apoyo técnico y asesoramiento para diseño gráfico, multimedia y material fotográfico. - Lote 3: Administración del sistema de producción de vídeo en vivo – Tricaster]
</x:t>
  </x:si>
  <x:si>
    <x:t>2025-01824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</x:si>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</x:sst>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322500.00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HYPERLINK("https://contrataciondelestado.es/wps/poc?uri=deeplink:detalle_licitacion&amp;idEvl=IQj2HmXnN5s2wEhQbcAqug%3D%3D","contrataciondelestado.es/wps/poc?uri=deeplink:detalle_licitacion&amp;idEvl=IQj2HmXnN5s2wEhQbcAqug%3D%3D")</x:f>
        <x:v>contrataciondelestado.es/wps/poc?uri=deeplink:detalle_licitacion&amp;idEvl=IQj2HmXnN5s2wEhQbcAqug%3D%3D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HYPERLINK("https://www.infonalia.es/licitaciones1225/2025170705.pdf","www.infonalia.es/licitaciones1225/2025170705.pdf")</x:f>
        <x:v>www.infonalia.es/licitaciones1225/2025170705.pdf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534026.71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HYPERLINK("https://contrataciondelestado.es/wps/poc?uri=deeplink:detalle_licitacion&amp;idEvl=GR9mzvHiPwNJ8Trn0ZPzLw%3D%3D","contrataciondelestado.es/wps/poc?uri=deeplink:detalle_licitacion&amp;idEvl=GR9mzvHiPwNJ8Trn0ZPzLw%3D%3D")</x:f>
        <x:v>contrataciondelestado.es/wps/poc?uri=deeplink:detalle_licitacion&amp;idEvl=GR9mzvHiPwNJ8Trn0ZPzLw%3D%3D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HYPERLINK("https://www.infonalia.es/licitaciones1225/2025170719.pdf","www.infonalia.es/licitaciones1225/2025170719.pdf")</x:f>
        <x:v>www.infonalia.es/licitaciones1225/2025170719.pdf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69856.00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HYPERLINK("https://contractaciopublica.cat/ca/detall-publicacio/6cfb3975-eea8-43c3-a113-aed8b8180689/300621202","contractaciopublica.cat/ca/detall-publicacio/6cfb3975-eea8-43c3-a113-aed8b8180689/300621202")</x:f>
        <x:v>contractaciopublica.cat/ca/detall-publicacio/6cfb3975-eea8-43c3-a113-aed8b8180689/300621202</x:v>
      </x:c>
      <x:c r="M4" s="11" t="s">
        <x:v>27</x:v>
      </x:c>
      <x:c r="N4" s="13" t="s">
        <x:v>42</x:v>
      </x:c>
      <x:c r="O4" s="11" t="s">
        <x:v>43</x:v>
      </x:c>
      <x:c r="P4" s="11" t="s">
        <x:v>44</x:v>
      </x:c>
      <x:c r="Q4" s="14" t="str">
        <x:f xml:space="preserve">HYPERLINK("https://www.infonalia.es/licitaciones1225/2025170836.pdf","www.infonalia.es/licitaciones1225/2025170836.pdf")</x:f>
        <x:v>www.infonalia.es/licitaciones1225/2025170836.pdf</x:v>
      </x:c>
    </x:row>
    <x:row r="5">
      <x:c r="A5" s="6" t="s">
        <x:v>17</x:v>
      </x:c>
      <x:c r="B5" s="6" t="s">
        <x:v>18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248674.48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HYPERLINK("https://contractaciopublica.cat/ca/detall-publicacio/dc035031-e689-4de6-b439-80146603a20e/300632192","contractaciopublica.cat/ca/detall-publicacio/dc035031-e689-4de6-b439-80146603a20e/300632192")</x:f>
        <x:v>contractaciopublica.cat/ca/detall-publicacio/dc035031-e689-4de6-b439-80146603a20e/300632192</x:v>
      </x:c>
      <x:c r="M5" s="11" t="s">
        <x:v>27</x:v>
      </x:c>
      <x:c r="N5" s="13" t="s">
        <x:v>42</x:v>
      </x:c>
      <x:c r="O5" s="11" t="s">
        <x:v>50</x:v>
      </x:c>
      <x:c r="P5" s="11" t="s">
        <x:v>51</x:v>
      </x:c>
      <x:c r="Q5" s="14" t="str">
        <x:f xml:space="preserve">HYPERLINK("https://www.infonalia.es/licitaciones1225/2025170927.pdf","www.infonalia.es/licitaciones1225/2025170927.pdf")</x:f>
        <x:v>www.infonalia.es/licitaciones1225/2025170927.pdf</x:v>
      </x:c>
    </x:row>
    <x:row r="6">
      <x:c r="A6" s="6" t="s">
        <x:v>17</x:v>
      </x:c>
      <x:c r="B6" s="6" t="s">
        <x:v>18</x:v>
      </x:c>
      <x:c r="C6" s="7" t="s">
        <x:v>52</x:v>
      </x:c>
      <x:c r="D6" s="8" t="s">
        <x:v>53</x:v>
      </x:c>
      <x:c r="E6" s="9" t="s">
        <x:v>21</x:v>
      </x:c>
      <x:c r="F6" s="6" t="s">
        <x:v>54</x:v>
      </x:c>
      <x:c r="G6" s="6" t="s">
        <x:v>55</x:v>
      </x:c>
      <x:c r="H6" s="6" t="s">
        <x:v>56</x:v>
      </x:c>
      <x:c r="I6" s="10" t="n">
        <x:v>28000.00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HYPERLINK("https://contrataciondelestado.es/wps/poc?uri=deeplink:detalle_licitacion&amp;idEvl=jj1p2a6qpxo%2B1TMyIiZmzw%3D%3D","contrataciondelestado.es/wps/poc?uri=deeplink:detalle_licitacion&amp;idEvl=jj1p2a6qpxo%2B1TMyIiZmzw%3D%3D")</x:f>
        <x:v>contrataciondelestado.es/wps/poc?uri=deeplink:detalle_licitacion&amp;idEvl=jj1p2a6qpxo%2B1TMyIiZmzw%3D%3D</x:v>
      </x:c>
      <x:c r="M6" s="11" t="s">
        <x:v>27</x:v>
      </x:c>
      <x:c r="N6" s="13" t="s">
        <x:v>42</x:v>
      </x:c>
      <x:c r="O6" s="11" t="s">
        <x:v>57</x:v>
      </x:c>
      <x:c r="P6" s="11" t="s">
        <x:v>30</x:v>
      </x:c>
      <x:c r="Q6" s="14" t="str">
        <x:f xml:space="preserve">HYPERLINK("https://www.infonalia.es/licitaciones1225/2025171168.pdf","www.infonalia.es/licitaciones1225/2025171168.pdf")</x:f>
        <x:v>www.infonalia.es/licitaciones1225/2025171168.pdf</x:v>
      </x:c>
    </x:row>
    <x:row r="7">
      <x:c r="A7" s="6" t="s">
        <x:v>17</x:v>
      </x:c>
      <x:c r="B7" s="6" t="s">
        <x:v>18</x:v>
      </x:c>
      <x:c r="C7" s="7" t="s">
        <x:v>58</x:v>
      </x:c>
      <x:c r="D7" s="8" t="s">
        <x:v>59</x:v>
      </x:c>
      <x:c r="E7" s="9" t="s">
        <x:v>21</x:v>
      </x:c>
      <x:c r="F7" s="6" t="s">
        <x:v>60</x:v>
      </x:c>
      <x:c r="G7" s="6" t="s">
        <x:v>61</x:v>
      </x:c>
      <x:c r="H7" s="6" t="s">
        <x:v>62</x:v>
      </x:c>
      <x:c r="I7" s="10" t="n">
        <x:v>177428.00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HYPERLINK("https://contractaciopublica.cat/ca/detall-publicacio/9d4cfc1f-5281-4b42-bc78-19ac28d57101/300630930","contractaciopublica.cat/ca/detall-publicacio/9d4cfc1f-5281-4b42-bc78-19ac28d57101/300630930")</x:f>
        <x:v>contractaciopublica.cat/ca/detall-publicacio/9d4cfc1f-5281-4b42-bc78-19ac28d57101/300630930</x:v>
      </x:c>
      <x:c r="M7" s="11" t="s">
        <x:v>27</x:v>
      </x:c>
      <x:c r="N7" s="13" t="s">
        <x:v>42</x:v>
      </x:c>
      <x:c r="O7" s="11" t="s">
        <x:v>63</x:v>
      </x:c>
      <x:c r="P7" s="11" t="s">
        <x:v>44</x:v>
      </x:c>
      <x:c r="Q7" s="14" t="str">
        <x:f xml:space="preserve">HYPERLINK("https://www.infonalia.es/licitaciones1225/2025171200.pdf","www.infonalia.es/licitaciones1225/2025171200.pdf")</x:f>
        <x:v>www.infonalia.es/licitaciones1225/2025171200.pdf</x:v>
      </x:c>
    </x:row>
    <x:row r="8">
      <x:c r="A8" s="6" t="s">
        <x:v>17</x:v>
      </x:c>
      <x:c r="B8" s="6" t="s">
        <x:v>64</x:v>
      </x:c>
      <x:c r="C8" s="7" t="s">
        <x:v>65</x:v>
      </x:c>
      <x:c r="D8" s="8" t="s">
        <x:v>66</x:v>
      </x:c>
      <x:c r="E8" s="9" t="s">
        <x:v>21</x:v>
      </x:c>
      <x:c r="F8" s="6" t="s">
        <x:v>67</x:v>
      </x:c>
      <x:c r="G8" s="6" t="s">
        <x:v>68</x:v>
      </x:c>
      <x:c r="H8" s="6" t="s">
        <x:v>69</x:v>
      </x:c>
      <x:c r="I8" s="10" t="n">
        <x:v>8500.00</x:v>
      </x:c>
      <x:c r="J8" s="11" t="s">
        <x:v>70</x:v>
      </x:c>
      <x:c r="K8" s="11" t="s">
        <x:v>71</x:v>
      </x:c>
      <x:c r="L8" s="12" t="str">
        <x:f xml:space="preserve">HYPERLINK("https://contractaciopublica.cat/es/detall-publicacio/300632160","contractaciopublica.cat/es/detall-publicacio/300632160")</x:f>
        <x:v>contractaciopublica.cat/es/detall-publicacio/300632160</x:v>
      </x:c>
      <x:c r="M8" s="11" t="s">
        <x:v>27</x:v>
      </x:c>
      <x:c r="N8" s="13" t="s">
        <x:v>42</x:v>
      </x:c>
      <x:c r="O8" s="11" t="s">
        <x:v>72</x:v>
      </x:c>
      <x:c r="P8" s="11" t="s">
        <x:v>73</x:v>
      </x:c>
      <x:c r="Q8" s="14" t="str">
        <x:f xml:space="preserve">HYPERLINK("https://www.infonalia.es/licitaciones1225/2025171234.pdf","www.infonalia.es/licitaciones1225/2025171234.pdf")</x:f>
        <x:v>www.infonalia.es/licitaciones1225/2025171234.pdf</x:v>
      </x:c>
    </x:row>
    <x:row r="9">
      <x:c r="A9" s="6" t="s">
        <x:v>17</x:v>
      </x:c>
      <x:c r="B9" s="6" t="s">
        <x:v>18</x:v>
      </x:c>
      <x:c r="C9" s="7" t="s">
        <x:v>74</x:v>
      </x:c>
      <x:c r="D9" s="8" t="s">
        <x:v>75</x:v>
      </x:c>
      <x:c r="E9" s="9" t="s">
        <x:v>21</x:v>
      </x:c>
      <x:c r="F9" s="6" t="s">
        <x:v>76</x:v>
      </x:c>
      <x:c r="G9" s="6" t="s">
        <x:v>77</x:v>
      </x:c>
      <x:c r="H9" s="6" t="s">
        <x:v>78</x:v>
      </x:c>
      <x:c r="I9" s="10" t="n">
        <x:v>8264.46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HYPERLINK("https://contrataciondelestado.es/wps/poc?uri=deeplink:detalle_licitacion&amp;idEvl=01wd0YmKTbEeC9GJQOEBkQ%3D%3D","contrataciondelestado.es/wps/poc?uri=deeplink:detalle_licitacion&amp;idEvl=01wd0YmKTbEeC9GJQOEBkQ%3D%3D")</x:f>
        <x:v>contrataciondelestado.es/wps/poc?uri=deeplink:detalle_licitacion&amp;idEvl=01wd0YmKTbEeC9GJQOEBkQ%3D%3D</x:v>
      </x:c>
      <x:c r="M9" s="11" t="s">
        <x:v>27</x:v>
      </x:c>
      <x:c r="N9" s="13" t="s">
        <x:v>21</x:v>
      </x:c>
      <x:c r="O9" s="11" t="s">
        <x:v>79</x:v>
      </x:c>
      <x:c r="P9" s="11" t="s">
        <x:v>30</x:v>
      </x:c>
      <x:c r="Q9" s="14" t="str">
        <x:f xml:space="preserve">HYPERLINK("https://www.infonalia.es/licitaciones1225/2025171313.pdf","www.infonalia.es/licitaciones1225/2025171313.pdf")</x:f>
        <x:v>www.infonalia.es/licitaciones1225/2025171313.pdf</x:v>
      </x:c>
    </x:row>
    <x:row r="10">
      <x:c r="A10" s="6" t="s">
        <x:v>17</x:v>
      </x:c>
      <x:c r="B10" s="6" t="s">
        <x:v>18</x:v>
      </x:c>
      <x:c r="C10" s="7" t="s">
        <x:v>80</x:v>
      </x:c>
      <x:c r="D10" s="8" t="s">
        <x:v>81</x:v>
      </x:c>
      <x:c r="E10" s="9" t="s">
        <x:v>21</x:v>
      </x:c>
      <x:c r="F10" s="6" t="s">
        <x:v>22</x:v>
      </x:c>
      <x:c r="G10" s="6" t="s">
        <x:v>82</x:v>
      </x:c>
      <x:c r="H10" s="6" t="s">
        <x:v>83</x:v>
      </x:c>
      <x:c r="I10" s="10" t="n">
        <x:v>3000.00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HYPERLINK("https://contrataciondelestado.es/wps/poc?uri=deeplink:detalle_licitacion&amp;idEvl=dk%2BraAeaFIqFlFRHfEzEaw%3D%3D","contrataciondelestado.es/wps/poc?uri=deeplink:detalle_licitacion&amp;idEvl=dk%2BraAeaFIqFlFRHfEzEaw%3D%3D")</x:f>
        <x:v>contrataciondelestado.es/wps/poc?uri=deeplink:detalle_licitacion&amp;idEvl=dk%2BraAeaFIqFlFRHfEzEaw%3D%3D</x:v>
      </x:c>
      <x:c r="M10" s="11" t="s">
        <x:v>27</x:v>
      </x:c>
      <x:c r="N10" s="13" t="s">
        <x:v>28</x:v>
      </x:c>
      <x:c r="O10" s="11" t="s">
        <x:v>84</x:v>
      </x:c>
      <x:c r="P10" s="11" t="s">
        <x:v>30</x:v>
      </x:c>
      <x:c r="Q10" s="14" t="str">
        <x:f xml:space="preserve">HYPERLINK("https://www.infonalia.es/licitaciones1225/2025171316.pdf","www.infonalia.es/licitaciones1225/2025171316.pdf")</x:f>
        <x:v>www.infonalia.es/licitaciones1225/2025171316.pdf</x:v>
      </x:c>
    </x:row>
    <x:row r="11">
      <x:c r="A11" s="6" t="s">
        <x:v>17</x:v>
      </x:c>
      <x:c r="B11" s="6" t="s">
        <x:v>18</x:v>
      </x:c>
      <x:c r="C11" s="7" t="s">
        <x:v>31</x:v>
      </x:c>
      <x:c r="D11" s="8" t="s">
        <x:v>85</x:v>
      </x:c>
      <x:c r="E11" s="9" t="s">
        <x:v>21</x:v>
      </x:c>
      <x:c r="F11" s="6" t="s">
        <x:v>86</x:v>
      </x:c>
      <x:c r="G11" s="6" t="s">
        <x:v>87</x:v>
      </x:c>
      <x:c r="H11" s="6" t="s">
        <x:v>88</x:v>
      </x:c>
      <x:c r="I11" s="10" t="n">
        <x:v>9177.00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HYPERLINK("https://contrataciondelestado.es/wps/poc?uri=deeplink:detalle_licitacion&amp;idEvl=SYYrWINtFK5SYrkJkLlFdw%3D%3D","contrataciondelestado.es/wps/poc?uri=deeplink:detalle_licitacion&amp;idEvl=SYYrWINtFK5SYrkJkLlFdw%3D%3D")</x:f>
        <x:v>contrataciondelestado.es/wps/poc?uri=deeplink:detalle_licitacion&amp;idEvl=SYYrWINtFK5SYrkJkLlFdw%3D%3D</x:v>
      </x:c>
      <x:c r="M11" s="11" t="s">
        <x:v>27</x:v>
      </x:c>
      <x:c r="N11" s="13" t="s">
        <x:v>21</x:v>
      </x:c>
      <x:c r="O11" s="11" t="s">
        <x:v>89</x:v>
      </x:c>
      <x:c r="P11" s="11" t="s">
        <x:v>90</x:v>
      </x:c>
      <x:c r="Q11" s="14" t="str">
        <x:f xml:space="preserve">HYPERLINK("https://www.infonalia.es/licitaciones1225/2025171406.pdf","www.infonalia.es/licitaciones1225/2025171406.pdf")</x:f>
        <x:v>www.infonalia.es/licitaciones1225/2025171406.pdf</x:v>
      </x:c>
    </x:row>
    <x:row r="12">
      <x:c r="A12" s="6" t="s">
        <x:v>17</x:v>
      </x:c>
      <x:c r="B12" s="6" t="s">
        <x:v>18</x:v>
      </x:c>
      <x:c r="C12" s="7" t="s">
        <x:v>91</x:v>
      </x:c>
      <x:c r="D12" s="8" t="s">
        <x:v>92</x:v>
      </x:c>
      <x:c r="E12" s="9" t="s">
        <x:v>21</x:v>
      </x:c>
      <x:c r="F12" s="6" t="s">
        <x:v>54</x:v>
      </x:c>
      <x:c r="G12" s="6" t="s">
        <x:v>93</x:v>
      </x:c>
      <x:c r="H12" s="6" t="s">
        <x:v>94</x:v>
      </x:c>
      <x:c r="I12" s="10" t="n">
        <x:v>190000.00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HYPERLINK("https://contrataciondelestado.es/wps/poc?uri=deeplink:detalle_licitacion&amp;idEvl=JJnOapjwni6cCF8sV%2BqtYA%3D%3D","contrataciondelestado.es/wps/poc?uri=deeplink:detalle_licitacion&amp;idEvl=JJnOapjwni6cCF8sV%2BqtYA%3D%3D")</x:f>
        <x:v>contrataciondelestado.es/wps/poc?uri=deeplink:detalle_licitacion&amp;idEvl=JJnOapjwni6cCF8sV%2BqtYA%3D%3D</x:v>
      </x:c>
      <x:c r="M12" s="11" t="s">
        <x:v>27</x:v>
      </x:c>
      <x:c r="N12" s="13" t="s">
        <x:v>21</x:v>
      </x:c>
      <x:c r="O12" s="11" t="s">
        <x:v>95</x:v>
      </x:c>
      <x:c r="P12" s="11" t="s">
        <x:v>30</x:v>
      </x:c>
      <x:c r="Q12" s="14" t="str">
        <x:f xml:space="preserve">HYPERLINK("https://www.infonalia.es/licitaciones1225/2025171463.pdf","www.infonalia.es/licitaciones1225/2025171463.pdf")</x:f>
        <x:v>www.infonalia.es/licitaciones1225/2025171463.pdf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