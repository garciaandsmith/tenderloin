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<x:sst xmlns:x="http://schemas.openxmlformats.org/spreadsheetml/2006/main" count="17" uniqueCount="17">
  <x:si>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</x:si>
  <x:si>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</x:si>
  <x:si>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</x:si>
  <x:si>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</x:si>
  <x:si>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</x:si>
  <x:si>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</x:si>
  <x:si>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</x:si>
  <x:si>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</x:si>
  <x:si>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</x:si>
  <x:si>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</x:si>
  <x:si>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</x:si>
  <x:si>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</x:si>
  <x:si>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</x:si>
  <x:si>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</x:si>
  <x:si>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</x:si>
  <x:si>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</x:si>
  <x:si>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</x:si>
  <x:si>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</x:si>
  <x:si>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Barcelona. Perfil del Contratante del Ayuntamiento</x:t>
  </x:si>
  <x:si>
    <x:t>12/02/2026</x:t>
  </x:si>
  <x:si>
    <x:t>2026011312</x:t>
  </x:si>
  <x:si>
    <x:t>04/02/2026</x:t>
  </x:si>
  <x:si>
    <x:t>INSTITUTO DE CULTURA DE BARCELONA</x:t>
  </x:si>
  <x:si>
    <x:t>Contratación de 5 sesiones públicas de Juego Tradicional.</x:t>
  </x:si>
  <x:si>
    <x:t>006_P2600235</x:t>
  </x:si>
  <x:si>
    <x:t>Importe sin impuestos</x:t>
  </x:si>
  <x:si>
    <x:t/>
  </x:si>
  <x:si>
    <x:t>-----</x:t>
  </x:si>
  <x:si>
    <x:t>03/02/2026</x:t>
  </x:si>
  <x:si>
    <x:t/>
  </x:si>
  <x:si>
    <x:t>Barcelona</x:t>
  </x:si>
  <x:si>
    <x:t>10/02/2026</x:t>
  </x:si>
  <x:si>
    <x:t>2026011313</x:t>
  </x:si>
  <x:si>
    <x:t>Publicación de contenidos de la web del Festival Grec 2026.</x:t>
  </x:si>
  <x:si>
    <x:t>006_P2600244</x:t>
  </x:si>
  <x:si>
    <x:t/>
  </x:si>
  <x:si>
    <x:t/>
  </x:si>
  <x:si>
    <x:t>2026011314</x:t>
  </x:si>
  <x:si>
    <x:t>Servicios de activación, gestión y dinamización de públicos del Grec Festival de Barcelona 2026.</x:t>
  </x:si>
  <x:si>
    <x:t>006_P2600232</x:t>
  </x:si>
  <x:si>
    <x:t/>
  </x:si>
  <x:si>
    <x:t/>
  </x:si>
  <x:si>
    <x:t>Plataforma de Contratación del Estado</x:t>
  </x:si>
  <x:si>
    <x:t>19/02/2026</x:t>
  </x:si>
  <x:si>
    <x:t>2026011376</x:t>
  </x:si>
  <x:si>
    <x:t>GERENCIA DE LA UNIVERSIDAD DE ALCALÁ</x:t>
  </x:si>
  <x:si>
    <x:t>Servicio de traducción de textos, revisión lingüística, ortotipográfica y estilística de textos destinados a la difusión de la producción científica del PDI vinculado a la Universidad de Alcalá</x:t>
  </x:si>
  <x:si>
    <x:t>2026/005.SER.ABR.MC</x:t>
  </x:si>
  <x:si>
    <x:t/>
  </x:si>
  <x:si>
    <x:t>Madrid</x:t>
  </x:si>
  <x:si>
    <x:t>18/02/2026</x:t>
  </x:si>
  <x:si>
    <x:t>2026011388</x:t>
  </x:si>
  <x:si>
    <x:t>CONSELH GENERAU D'ARAN (LLEIDA)</x:t>
  </x:si>
  <x:si>
    <x:t>El Conselh Generau d'Aran tiene necesidad de garantizar el servicio de gestión y representación de la reserva de la biosfera de la Val d'Aran. concretamente, el servicio de coordinación y desarrollo del plan de gestión de la biosfera de Val d'Aran, así como todas las acciones y tareas necesarias para cumplir con el programa man &amp; biosphere de la Unesco</x:t>
  </x:si>
  <x:si>
    <x:t>CGA 3085-0001/2026</x:t>
  </x:si>
  <x:si>
    <x:t/>
  </x:si>
  <x:si>
    <x:t>Lleida</x:t>
  </x:si>
  <x:si>
    <x:t>05/03/2026</x:t>
  </x:si>
  <x:si>
    <x:t>2026011468</x:t>
  </x:si>
  <x:si>
    <x:t>PATRONATO MUNICIPAL DE DEPORTES DE TARRAGONA</x:t>
  </x:si>
  <x:si>
    <x:t>Selección de empresas patrocinadoras de la 46ª Peonada Popular de Sta Tecla</x:t>
  </x:si>
  <x:si>
    <x:t>2026/2-EG676_1</x:t>
  </x:si>
  <x:si>
    <x:t>Ver pliegos</x:t>
  </x:si>
  <x:si>
    <x:t/>
  </x:si>
  <x:si>
    <x:t>Tarragona</x:t>
  </x:si>
  <x:si>
    <x:t>2026011595</x:t>
  </x:si>
  <x:si>
    <x:t>Selección de empresas patrocinadoras de la 35ª Media Maratón+10K "Ciutat de Tarragona"</x:t>
  </x:si>
  <x:si>
    <x:t>2026/3-EG676_1</x:t>
  </x:si>
  <x:si>
    <x:t/>
  </x:si>
  <x:si>
    <x:t>2026011597</x:t>
  </x:si>
  <x:si>
    <x:t>Selección de empresas patrocinadoras de la 5a edición del Trail Tarragona</x:t>
  </x:si>
  <x:si>
    <x:t>2026/1-EG676_1</x:t>
  </x:si>
  <x:si>
    <x:t/>
  </x:si>
  <x:si>
    <x:t>23/02/2026</x:t>
  </x:si>
  <x:si>
    <x:t>2026011606</x:t>
  </x:si>
  <x:si>
    <x:t>MINISTERIO DE ECONOMÍA, COMERCIO Y EMPRESA. SECRETARÍA GENERAL DE LA COMISIÓN NACIONAL DE LOS MERCADOS Y LA COMPETENCIA</x:t>
  </x:si>
  <x:si>
    <x:t>El objeto del contrato consiste en proporcionar la asistencia técnica necesaria para la elaboración de un trabajo de análisis y consulta del contenido audiovisual que determinados influencers publican en sus perfiles de plataformas de intercambio de vídeos, con el fin de detectar posibles comunicaciones comerciales no identificadas. Lote 1: Plataforma de intercambio de vídeos Instagram. Lote 2: Plataforma de intercambio de vídeos TikTok. Lote 3: Plataforma de intercambio de vídeos YouTube</x:t>
  </x:si>
  <x:si>
    <x:t>250017</x:t>
  </x:si>
  <x:si>
    <x:t/>
  </x:si>
  <x:si>
    <x:t>2026011784</x:t>
  </x:si>
  <x:si>
    <x:t>GERENCIA DE MAZ MÚTUA DE ACCIDENTES DE TRABAJO Y ENFERMEDADES PROFESIONALES DE LA SEGURIDAD SOCIAL Nº 11</x:t>
  </x:si>
  <x:si>
    <x:t>ANUNCIO PREVIO de la futura contratación prevista llevar a cabo por el Órgano de Contratación de MAZ a lo largo del ejercicio 2026 del servicio necesario de diseño gráfico, elaboración de material multimedia y maquetación de la memoria de sostenibilidad e informe de gobierno corporativo.</x:t>
  </x:si>
  <x:si>
    <x:t>PDC 2026 - 3 ANUNCIO PREVIO</x:t>
  </x:si>
  <x:si>
    <x:t>Valor estimado</x:t>
  </x:si>
  <x:si>
    <x:t>No consta</x:t>
  </x:si>
  <x:si>
    <x:t/>
  </x:si>
  <x:si>
    <x:t>25/02/2026</x:t>
  </x:si>
  <x:si>
    <x:t>2026011837</x:t>
  </x:si>
  <x:si>
    <x:t>DIRECCIÓN GERENCIA DE LA FUNDACIÓN JÓVENES Y DEPORTE</x:t>
  </x:si>
  <x:si>
    <x:t>Patrocinio publicitario de la imagen de la FJyD y de Marca Extremadura a través del deportista Iñaki Batzán Merchán en sus distintas participaciones en competiciones oficiales durante el año 2026</x:t>
  </x:si>
  <x:si>
    <x:t>P37/26</x:t>
  </x:si>
  <x:si>
    <x:t/>
  </x:si>
  <x:si>
    <x:t>2026011988</x:t>
  </x:si>
  <x:si>
    <x:t>CONSEJERÍA DE MOVILIDAD, MEDIO AMBIENTE Y GESTIÓN DE EMERGENCIAS DEL PRINCIPADO DE ASTURIAS</x:t>
  </x:si>
  <x:si>
    <x:t>Servicio de creatividad y el plan de medios para la promoción, divulgación y publicidad del proyecto ANDA (agrupación Nora-Noreña digitalización del agua), enmarcado en el Plan de Recuperación, Transformación y Resiliencia, financiado por la Unión Europea Nextgeneration Eu. Lote 1: Creatividad, conceptualización y planificación del plan de publicidad y comunicación del proyecto ANDA. Lote 2: Ejecución del Plan de Medios y elaboración de la documentación justificativa necesaria para la auditoría externa.</x:t>
  </x:si>
  <x:si>
    <x:t>2025001105</x:t>
  </x:si>
  <x:si>
    <x:t/>
  </x:si>
  <x:si>
    <x:t>Asturias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</x:si>
</x:sst>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3000.00</x:v>
      </x:c>
      <x:c r="J2" s="11" t="s">
        <x:v>25</x:v>
      </x:c>
      <x:c r="K2" s="11" t="s">
        <x:v>26</x:v>
      </x:c>
      <x:c r="L2" s="12" t="str">
        <x:f xml:space="preserve">HYPERLINK("https://licitacions.bcn.cat/licitacion/licitaciones/detalle?id=14673474","licitacions.bcn.cat/licitacion/licitaciones/detalle?id=14673474")</x:f>
        <x:v>licitacions.bcn.cat/licitacion/licitaciones/detalle?id=14673474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HYPERLINK("https://www.infonalia.es/licitaciones0226/2026011312.pdf","www.infonalia.es/licitaciones0226/2026011312.pdf")</x:f>
        <x:v>www.infonalia.es/licitaciones0226/2026011312.pdf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22</x:v>
      </x:c>
      <x:c r="G3" s="6" t="s">
        <x:v>33</x:v>
      </x:c>
      <x:c r="H3" s="6" t="s">
        <x:v>34</x:v>
      </x:c>
      <x:c r="I3" s="10" t="n">
        <x:v>8325.00</x:v>
      </x:c>
      <x:c r="J3" s="11" t="s">
        <x:v>25</x:v>
      </x:c>
      <x:c r="K3" s="11" t="s">
        <x:v>35</x:v>
      </x:c>
      <x:c r="L3" s="12" t="str">
        <x:f xml:space="preserve">HYPERLINK("https://licitacions.bcn.cat/licitacion/licitaciones/detalle?id=14673996","licitacions.bcn.cat/licitacion/licitaciones/detalle?id=14673996")</x:f>
        <x:v>licitacions.bcn.cat/licitacion/licitaciones/detalle?id=14673996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HYPERLINK("https://www.infonalia.es/licitaciones0226/2026011313.pdf","www.infonalia.es/licitaciones0226/2026011313.pdf")</x:f>
        <x:v>www.infonalia.es/licitaciones0226/2026011313.pdf</x:v>
      </x:c>
    </x:row>
    <x:row r="4">
      <x:c r="A4" s="6" t="s">
        <x:v>17</x:v>
      </x:c>
      <x:c r="B4" s="6" t="s">
        <x:v>18</x:v>
      </x:c>
      <x:c r="C4" s="7" t="s">
        <x:v>31</x:v>
      </x:c>
      <x:c r="D4" s="8" t="s">
        <x:v>37</x:v>
      </x:c>
      <x:c r="E4" s="9" t="s">
        <x:v>21</x:v>
      </x:c>
      <x:c r="F4" s="6" t="s">
        <x:v>22</x:v>
      </x:c>
      <x:c r="G4" s="6" t="s">
        <x:v>38</x:v>
      </x:c>
      <x:c r="H4" s="6" t="s">
        <x:v>39</x:v>
      </x:c>
      <x:c r="I4" s="10" t="n">
        <x:v>14999.00</x:v>
      </x:c>
      <x:c r="J4" s="11" t="s">
        <x:v>25</x:v>
      </x:c>
      <x:c r="K4" s="11" t="s">
        <x:v>40</x:v>
      </x:c>
      <x:c r="L4" s="12" t="str">
        <x:f xml:space="preserve">HYPERLINK("https://licitacions.bcn.cat/licitacion/licitaciones/detalle?id=14669833","licitacions.bcn.cat/licitacion/licitaciones/detalle?id=14669833")</x:f>
        <x:v>licitacions.bcn.cat/licitacion/licitaciones/detalle?id=14669833</x:v>
      </x:c>
      <x:c r="M4" s="11" t="s">
        <x:v>27</x:v>
      </x:c>
      <x:c r="N4" s="13" t="s">
        <x:v>28</x:v>
      </x:c>
      <x:c r="O4" s="11" t="s">
        <x:v>41</x:v>
      </x:c>
      <x:c r="P4" s="11" t="s">
        <x:v>30</x:v>
      </x:c>
      <x:c r="Q4" s="14" t="str">
        <x:f xml:space="preserve">HYPERLINK("https://www.infonalia.es/licitaciones0226/2026011314.pdf","www.infonalia.es/licitaciones0226/2026011314.pdf")</x:f>
        <x:v>www.infonalia.es/licitaciones0226/2026011314.pdf</x:v>
      </x:c>
    </x:row>
    <x:row r="5">
      <x:c r="A5" s="6" t="s">
        <x:v>17</x:v>
      </x:c>
      <x:c r="B5" s="6" t="s">
        <x:v>42</x:v>
      </x:c>
      <x:c r="C5" s="7" t="s">
        <x:v>43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20500.00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HYPERLINK("https://contrataciondelestado.es/wps/poc?uri=deeplink:detalle_licitacion&amp;idEvl=iSkBcWso0l3LIx6q1oPaMg%3D%3D","contrataciondelestado.es/wps/poc?uri=deeplink:detalle_licitacion&amp;idEvl=iSkBcWso0l3LIx6q1oPaMg%3D%3D")</x:f>
        <x:v>contrataciondelestado.es/wps/poc?uri=deeplink:detalle_licitacion&amp;idEvl=iSkBcWso0l3LIx6q1oPaMg%3D%3D</x:v>
      </x:c>
      <x:c r="M5" s="11" t="s">
        <x:v>27</x:v>
      </x:c>
      <x:c r="N5" s="13" t="s">
        <x:v>28</x:v>
      </x:c>
      <x:c r="O5" s="11" t="s">
        <x:v>48</x:v>
      </x:c>
      <x:c r="P5" s="11" t="s">
        <x:v>49</x:v>
      </x:c>
      <x:c r="Q5" s="14" t="str">
        <x:f xml:space="preserve">HYPERLINK("https://www.infonalia.es/licitaciones0226/2026011376.pdf","www.infonalia.es/licitaciones0226/2026011376.pdf")</x:f>
        <x:v>www.infonalia.es/licitaciones0226/2026011376.pdf</x:v>
      </x:c>
    </x:row>
    <x:row r="6">
      <x:c r="A6" s="6" t="s">
        <x:v>17</x:v>
      </x:c>
      <x:c r="B6" s="6" t="s">
        <x:v>42</x:v>
      </x:c>
      <x:c r="C6" s="7" t="s">
        <x:v>50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104400.00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HYPERLINK("https://contractaciopublica.cat/ca/detall-publicacio/a1b19b88-0095-41a0-bac1-ca5fd29f1d64/300683421","contractaciopublica.cat/ca/detall-publicacio/a1b19b88-0095-41a0-bac1-ca5fd29f1d64/300683421")</x:f>
        <x:v>contractaciopublica.cat/ca/detall-publicacio/a1b19b88-0095-41a0-bac1-ca5fd29f1d64/300683421</x:v>
      </x:c>
      <x:c r="M6" s="11" t="s">
        <x:v>27</x:v>
      </x:c>
      <x:c r="N6" s="13" t="s">
        <x:v>28</x:v>
      </x:c>
      <x:c r="O6" s="11" t="s">
        <x:v>55</x:v>
      </x:c>
      <x:c r="P6" s="11" t="s">
        <x:v>56</x:v>
      </x:c>
      <x:c r="Q6" s="14" t="str">
        <x:f xml:space="preserve">HYPERLINK("https://www.infonalia.es/licitaciones0226/2026011388.pdf","www.infonalia.es/licitaciones0226/2026011388.pdf")</x:f>
        <x:v>www.infonalia.es/licitaciones0226/2026011388.pdf</x:v>
      </x:c>
    </x:row>
    <x:row r="7">
      <x:c r="A7" s="6" t="s">
        <x:v>17</x:v>
      </x:c>
      <x:c r="B7" s="6" t="s">
        <x:v>42</x:v>
      </x:c>
      <x:c r="C7" s="7" t="s">
        <x:v>57</x:v>
      </x:c>
      <x:c r="D7" s="8" t="s">
        <x:v>58</x:v>
      </x:c>
      <x:c r="E7" s="9" t="s">
        <x:v>21</x:v>
      </x:c>
      <x:c r="F7" s="6" t="s">
        <x:v>59</x:v>
      </x:c>
      <x:c r="G7" s="6" t="s">
        <x:v>60</x:v>
      </x:c>
      <x:c r="H7" s="6" t="s">
        <x:v>61</x:v>
      </x:c>
      <x:c r="I7" s="10"/>
      <x:c r="J7" s="11" t="s">
        <x:v>62</x:v>
      </x:c>
      <x:c r="K7" s="11" t="s">
        <x:v>26</x:v>
      </x:c>
      <x:c r="L7" s="12" t="str">
        <x:f xml:space="preserve">HYPERLINK("https://contractaciopublica.cat/ca/detall-publicacio/9bc2de82-b5b6-453f-8296-9e6f4b8eb63d/300682512","contractaciopublica.cat/ca/detall-publicacio/9bc2de82-b5b6-453f-8296-9e6f4b8eb63d/300682512")</x:f>
        <x:v>contractaciopublica.cat/ca/detall-publicacio/9bc2de82-b5b6-453f-8296-9e6f4b8eb63d/300682512</x:v>
      </x:c>
      <x:c r="M7" s="11" t="s">
        <x:v>27</x:v>
      </x:c>
      <x:c r="N7" s="13" t="s">
        <x:v>28</x:v>
      </x:c>
      <x:c r="O7" s="11" t="s">
        <x:v>63</x:v>
      </x:c>
      <x:c r="P7" s="11" t="s">
        <x:v>64</x:v>
      </x:c>
      <x:c r="Q7" s="14" t="str">
        <x:f xml:space="preserve">HYPERLINK("https://www.infonalia.es/licitaciones0226/2026011468.pdf","www.infonalia.es/licitaciones0226/2026011468.pdf")</x:f>
        <x:v>www.infonalia.es/licitaciones0226/2026011468.pdf</x:v>
      </x:c>
    </x:row>
    <x:row r="8">
      <x:c r="A8" s="6" t="s">
        <x:v>17</x:v>
      </x:c>
      <x:c r="B8" s="6" t="s">
        <x:v>42</x:v>
      </x:c>
      <x:c r="C8" s="7" t="s">
        <x:v>57</x:v>
      </x:c>
      <x:c r="D8" s="8" t="s">
        <x:v>65</x:v>
      </x:c>
      <x:c r="E8" s="9" t="s">
        <x:v>21</x:v>
      </x:c>
      <x:c r="F8" s="6" t="s">
        <x:v>59</x:v>
      </x:c>
      <x:c r="G8" s="6" t="s">
        <x:v>66</x:v>
      </x:c>
      <x:c r="H8" s="6" t="s">
        <x:v>67</x:v>
      </x:c>
      <x:c r="I8" s="10"/>
      <x:c r="J8" s="11" t="s">
        <x:v>62</x:v>
      </x:c>
      <x:c r="K8" s="11" t="s">
        <x:v>26</x:v>
      </x:c>
      <x:c r="L8" s="12" t="str">
        <x:f xml:space="preserve">HYPERLINK("https://contractaciopublica.cat/ca/detall-publicacio/cbdd5cbf-9d8a-47b8-a636-1a31957f326a/300682721","contractaciopublica.cat/ca/detall-publicacio/cbdd5cbf-9d8a-47b8-a636-1a31957f326a/300682721")</x:f>
        <x:v>contractaciopublica.cat/ca/detall-publicacio/cbdd5cbf-9d8a-47b8-a636-1a31957f326a/300682721</x:v>
      </x:c>
      <x:c r="M8" s="11" t="s">
        <x:v>27</x:v>
      </x:c>
      <x:c r="N8" s="13" t="s">
        <x:v>28</x:v>
      </x:c>
      <x:c r="O8" s="11" t="s">
        <x:v>68</x:v>
      </x:c>
      <x:c r="P8" s="11" t="s">
        <x:v>64</x:v>
      </x:c>
      <x:c r="Q8" s="14" t="str">
        <x:f xml:space="preserve">HYPERLINK("https://www.infonalia.es/licitaciones0226/2026011595.pdf","www.infonalia.es/licitaciones0226/2026011595.pdf")</x:f>
        <x:v>www.infonalia.es/licitaciones0226/2026011595.pdf</x:v>
      </x:c>
    </x:row>
    <x:row r="9">
      <x:c r="A9" s="6" t="s">
        <x:v>17</x:v>
      </x:c>
      <x:c r="B9" s="6" t="s">
        <x:v>42</x:v>
      </x:c>
      <x:c r="C9" s="7" t="s">
        <x:v>57</x:v>
      </x:c>
      <x:c r="D9" s="8" t="s">
        <x:v>69</x:v>
      </x:c>
      <x:c r="E9" s="9" t="s">
        <x:v>21</x:v>
      </x:c>
      <x:c r="F9" s="6" t="s">
        <x:v>59</x:v>
      </x:c>
      <x:c r="G9" s="6" t="s">
        <x:v>70</x:v>
      </x:c>
      <x:c r="H9" s="6" t="s">
        <x:v>71</x:v>
      </x:c>
      <x:c r="I9" s="10"/>
      <x:c r="J9" s="11" t="s">
        <x:v>62</x:v>
      </x:c>
      <x:c r="K9" s="11" t="s">
        <x:v>26</x:v>
      </x:c>
      <x:c r="L9" s="12" t="str">
        <x:f xml:space="preserve">HYPERLINK("https://contractaciopublica.cat/ca/detall-publicacio/b4593a0f-4676-46fd-93c8-79326b21ee30/300682293","contractaciopublica.cat/ca/detall-publicacio/b4593a0f-4676-46fd-93c8-79326b21ee30/300682293")</x:f>
        <x:v>contractaciopublica.cat/ca/detall-publicacio/b4593a0f-4676-46fd-93c8-79326b21ee30/300682293</x:v>
      </x:c>
      <x:c r="M9" s="11" t="s">
        <x:v>27</x:v>
      </x:c>
      <x:c r="N9" s="13" t="s">
        <x:v>28</x:v>
      </x:c>
      <x:c r="O9" s="11" t="s">
        <x:v>72</x:v>
      </x:c>
      <x:c r="P9" s="11" t="s">
        <x:v>64</x:v>
      </x:c>
      <x:c r="Q9" s="14" t="str">
        <x:f xml:space="preserve">HYPERLINK("https://www.infonalia.es/licitaciones0226/2026011597.pdf","www.infonalia.es/licitaciones0226/2026011597.pdf")</x:f>
        <x:v>www.infonalia.es/licitaciones0226/2026011597.pdf</x:v>
      </x:c>
    </x:row>
    <x:row r="10">
      <x:c r="A10" s="6" t="s">
        <x:v>17</x:v>
      </x:c>
      <x:c r="B10" s="6" t="s">
        <x:v>42</x:v>
      </x:c>
      <x:c r="C10" s="7" t="s">
        <x:v>73</x:v>
      </x:c>
      <x:c r="D10" s="8" t="s">
        <x:v>74</x:v>
      </x:c>
      <x:c r="E10" s="9" t="s">
        <x:v>21</x:v>
      </x:c>
      <x:c r="F10" s="6" t="s">
        <x:v>75</x:v>
      </x:c>
      <x:c r="G10" s="6" t="s">
        <x:v>76</x:v>
      </x:c>
      <x:c r="H10" s="6" t="s">
        <x:v>77</x:v>
      </x:c>
      <x:c r="I10" s="10" t="n">
        <x:v>59666.25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HYPERLINK("https://contrataciondelestado.es/wps/poc?uri=deeplink:detalle_licitacion&amp;idEvl=3iGYJTwAIA8tm4eBPtV6eQ%3D%3D","contrataciondelestado.es/wps/poc?uri=deeplink:detalle_licitacion&amp;idEvl=3iGYJTwAIA8tm4eBPtV6eQ%3D%3D")</x:f>
        <x:v>contrataciondelestado.es/wps/poc?uri=deeplink:detalle_licitacion&amp;idEvl=3iGYJTwAIA8tm4eBPtV6eQ%3D%3D</x:v>
      </x:c>
      <x:c r="M10" s="11" t="s">
        <x:v>27</x:v>
      </x:c>
      <x:c r="N10" s="13" t="s">
        <x:v>28</x:v>
      </x:c>
      <x:c r="O10" s="11" t="s">
        <x:v>78</x:v>
      </x:c>
      <x:c r="P10" s="11" t="s">
        <x:v>49</x:v>
      </x:c>
      <x:c r="Q10" s="14" t="str">
        <x:f xml:space="preserve">HYPERLINK("https://www.infonalia.es/licitaciones0226/2026011606.pdf","www.infonalia.es/licitaciones0226/2026011606.pdf")</x:f>
        <x:v>www.infonalia.es/licitaciones0226/2026011606.pdf</x:v>
      </x:c>
    </x:row>
    <x:row r="11">
      <x:c r="A11" s="6" t="s">
        <x:v>17</x:v>
      </x:c>
      <x:c r="B11" s="6" t="s">
        <x:v>42</x:v>
      </x:c>
      <x:c r="C11" s="7" t="s">
        <x:v>26</x:v>
      </x:c>
      <x:c r="D11" s="8" t="s">
        <x:v>79</x:v>
      </x:c>
      <x:c r="E11" s="9" t="s">
        <x:v>21</x:v>
      </x:c>
      <x:c r="F11" s="6" t="s">
        <x:v>80</x:v>
      </x:c>
      <x:c r="G11" s="6" t="s">
        <x:v>81</x:v>
      </x:c>
      <x:c r="H11" s="6" t="s">
        <x:v>82</x:v>
      </x:c>
      <x:c r="I11" s="10" t="n">
        <x:v>108800.00</x:v>
      </x:c>
      <x:c r="J11" s="11" t="s">
        <x:v>83</x:v>
      </x:c>
      <x:c r="K11" s="11" t="s">
        <x:v>84</x:v>
      </x:c>
      <x:c r="L11" s="12" t="str">
        <x:f xml:space="preserve">HYPERLINK("https://contrataciondelestado.es/wps/poc?uri=deeplink:detalle_licitacion&amp;idEvl=%2FUBQ8q4DGYX%2B3JAijKO%2Bkg%3D%3D","contrataciondelestado.es/wps/poc?uri=deeplink:detalle_licitacion&amp;idEvl=%2FUBQ8q4DGYX%2B3JAijKO%2Bkg%3D%3D")</x:f>
        <x:v>contrataciondelestado.es/wps/poc?uri=deeplink:detalle_licitacion&amp;idEvl=%2FUBQ8q4DGYX%2B3JAijKO%2Bkg%3D%3D</x:v>
      </x:c>
      <x:c r="M11" s="11" t="s">
        <x:v>27</x:v>
      </x:c>
      <x:c r="N11" s="13" t="s">
        <x:v>28</x:v>
      </x:c>
      <x:c r="O11" s="11" t="s">
        <x:v>85</x:v>
      </x:c>
      <x:c r="P11" s="11" t="s">
        <x:v>62</x:v>
      </x:c>
      <x:c r="Q11" s="14" t="str">
        <x:f xml:space="preserve">HYPERLINK("https://www.infonalia.es/licitaciones0226/2026011784.pdf","www.infonalia.es/licitaciones0226/2026011784.pdf")</x:f>
        <x:v>www.infonalia.es/licitaciones0226/2026011784.pdf</x:v>
      </x:c>
    </x:row>
    <x:row r="12">
      <x:c r="A12" s="6" t="s">
        <x:v>17</x:v>
      </x:c>
      <x:c r="B12" s="6" t="s">
        <x:v>42</x:v>
      </x:c>
      <x:c r="C12" s="7" t="s">
        <x:v>86</x:v>
      </x:c>
      <x:c r="D12" s="8" t="s">
        <x:v>87</x:v>
      </x:c>
      <x:c r="E12" s="9" t="s">
        <x:v>21</x:v>
      </x:c>
      <x:c r="F12" s="6" t="s">
        <x:v>88</x:v>
      </x:c>
      <x:c r="G12" s="6" t="s">
        <x:v>89</x:v>
      </x:c>
      <x:c r="H12" s="6" t="s">
        <x:v>90</x:v>
      </x:c>
      <x:c r="I12" s="10" t="n">
        <x:v>4132.23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HYPERLINK("https://contrataciondelestado.es/wps/poc?uri=deeplink:detalle_licitacion&amp;idEvl=pBR6%2Fnk2lKNLAIVZdUs8KA%3D%3D","contrataciondelestado.es/wps/poc?uri=deeplink:detalle_licitacion&amp;idEvl=pBR6%2Fnk2lKNLAIVZdUs8KA%3D%3D")</x:f>
        <x:v>contrataciondelestado.es/wps/poc?uri=deeplink:detalle_licitacion&amp;idEvl=pBR6%2Fnk2lKNLAIVZdUs8KA%3D%3D</x:v>
      </x:c>
      <x:c r="M12" s="11" t="s">
        <x:v>27</x:v>
      </x:c>
      <x:c r="N12" s="13" t="s">
        <x:v>21</x:v>
      </x:c>
      <x:c r="O12" s="11" t="s">
        <x:v>91</x:v>
      </x:c>
      <x:c r="P12" s="11" t="s">
        <x:v>62</x:v>
      </x:c>
      <x:c r="Q12" s="14" t="str">
        <x:f xml:space="preserve">HYPERLINK("https://www.infonalia.es/licitaciones0226/2026011837.pdf","www.infonalia.es/licitaciones0226/2026011837.pdf")</x:f>
        <x:v>www.infonalia.es/licitaciones0226/2026011837.pdf</x:v>
      </x:c>
    </x:row>
    <x:row r="13">
      <x:c r="A13" s="6" t="s">
        <x:v>17</x:v>
      </x:c>
      <x:c r="B13" s="6" t="s">
        <x:v>42</x:v>
      </x:c>
      <x:c r="C13" s="7" t="s">
        <x:v>43</x:v>
      </x:c>
      <x:c r="D13" s="8" t="s">
        <x:v>92</x:v>
      </x:c>
      <x:c r="E13" s="9" t="s">
        <x:v>21</x:v>
      </x:c>
      <x:c r="F13" s="6" t="s">
        <x:v>93</x:v>
      </x:c>
      <x:c r="G13" s="6" t="s">
        <x:v>94</x:v>
      </x:c>
      <x:c r="H13" s="6" t="s">
        <x:v>95</x:v>
      </x:c>
      <x:c r="I13" s="10" t="n">
        <x:v>69837.60</x:v>
      </x:c>
      <x:c r="J13" s="11" t="s">
        <x:v>25</x:v>
      </x:c>
      <x:c r="K13" s="11" t="s">
        <x:v>26</x:v>
      </x:c>
      <x:c r="L13" s="12" t="str">
        <x:f xml:space="preserve">HYPERLINK("https://contrataciondelestado.es/wps/poc?uri=deeplink:detalle_licitacion&amp;idEvl=nKpFQigc0KHi0Kd8%2Brcp6w%3D%3D","contrataciondelestado.es/wps/poc?uri=deeplink:detalle_licitacion&amp;idEvl=nKpFQigc0KHi0Kd8%2Brcp6w%3D%3D")</x:f>
        <x:v>contrataciondelestado.es/wps/poc?uri=deeplink:detalle_licitacion&amp;idEvl=nKpFQigc0KHi0Kd8%2Brcp6w%3D%3D</x:v>
      </x:c>
      <x:c r="M13" s="11" t="s">
        <x:v>27</x:v>
      </x:c>
      <x:c r="N13" s="13" t="s">
        <x:v>21</x:v>
      </x:c>
      <x:c r="O13" s="11" t="s">
        <x:v>96</x:v>
      </x:c>
      <x:c r="P13" s="11" t="s">
        <x:v>97</x:v>
      </x:c>
      <x:c r="Q13" s="14" t="str">
        <x:f xml:space="preserve">HYPERLINK("https://www.infonalia.es/licitaciones0226/2026011988.pdf","www.infonalia.es/licitaciones0226/2026011988.pdf")</x:f>
        <x:v>www.infonalia.es/licitaciones0226/2026011988.pdf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