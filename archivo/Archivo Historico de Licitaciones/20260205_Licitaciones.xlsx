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<x:sst xmlns:x="http://schemas.openxmlformats.org/spreadsheetml/2006/main" count="17" uniqueCount="17">
  <x:si>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</x:si>
  <x:si>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</x:si>
  <x:si>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</x:si>
  <x:si>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</x:si>
  <x:si>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</x:si>
  <x:si>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</x:si>
  <x:si>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</x:si>
  <x:si>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</x:si>
  <x:si>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</x:si>
  <x:si>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</x:si>
  <x:si>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</x:si>
  <x:si>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</x:si>
  <x:si>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</x:si>
  <x:si>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</x:si>
  <x:si>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</x:si>
  <x:si>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</x:si>
  <x:si>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</x:si>
  <x:si>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</x:si>
  <x:si>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</x:si>
  <x:si>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19/02/2026</x:t>
  </x:si>
  <x:si>
    <x:t>2026012054</x:t>
  </x:si>
  <x:si>
    <x:t>05/02/2026</x:t>
  </x:si>
  <x:si>
    <x:t>AYUNTAMIENTO DE PIERA (BARCELONA)</x:t>
  </x:si>
  <x:si>
    <x:t>Contrato de servicios para la gestión integral de la organización de la Feria de San Cristo de Piera</x:t>
  </x:si>
  <x:si>
    <x:t>540/2026</x:t>
  </x:si>
  <x:si>
    <x:t>Importe sin impuestos</x:t>
  </x:si>
  <x:si>
    <x:t/>
  </x:si>
  <x:si>
    <x:t>-----</x:t>
  </x:si>
  <x:si>
    <x:t>04/02/2026</x:t>
  </x:si>
  <x:si>
    <x:t/>
  </x:si>
  <x:si>
    <x:t>Barcelona</x:t>
  </x:si>
  <x:si>
    <x:t>2026012060</x:t>
  </x:si>
  <x:si>
    <x:t>AYUNTAMIENTO DE PALAU-SOLITÀ I PLEGAMANS (BARCELONA)</x:t>
  </x:si>
  <x:si>
    <x:t>Servicios de diseño gráfico y servicio community manager en el Ayuntamiento de Palau-solità i Plegamans: Lote 1: servicio de community manager. Lote 2: servicio de diseño gráfico</x:t>
  </x:si>
  <x:si>
    <x:t>2026/01-350</x:t>
  </x:si>
  <x:si>
    <x:t/>
  </x:si>
  <x:si>
    <x:t>2026012155</x:t>
  </x:si>
  <x:si>
    <x:t>PRESIDENCIA DE LA SOCIEDAD MERCANTIL ESTATAL PARA LA GESTIÓN DE LA INNOVACIÓN Y LAS TECNOLOGÍAS TURÍSTICAS, S.A.M.P. (SEGITTUR)</x:t>
  </x:si>
  <x:si>
    <x:t>Servicios de organización del XVII Foro SICTED que se celebrará en Madrid el día 24 de marzo de 2026. Las necesidades a satisfacer se especifican con mayor detalle en el PLIEGO DE PRESCRIPCIONES TÉCNICAS QUE RIGE LA CONTRATACIÓN</x:t>
  </x:si>
  <x:si>
    <x:t>042026</x:t>
  </x:si>
  <x:si>
    <x:t/>
  </x:si>
  <x:si>
    <x:t>Madrid</x:t>
  </x:si>
  <x:si>
    <x:t>2026012177</x:t>
  </x:si>
  <x:si>
    <x:t>DIRECCIÓN DE COMPRAS DE LA CORPORACIÓN DE RADIO Y TELEVISIÓN ESPAÑOLA S.A</x:t>
  </x:si>
  <x:si>
    <x:t>Cámara robotizada - Especial Alfombra Roja 2026</x:t>
  </x:si>
  <x:si>
    <x:t>S-00245-2026</x:t>
  </x:si>
  <x:si>
    <x:t/>
  </x:si>
  <x:si>
    <x:t>06/02/2026</x:t>
  </x:si>
  <x:si>
    <x:t>2026012519</x:t>
  </x:si>
  <x:si>
    <x:t>JUNTA DE GOBIERNO DEL AYUNTAMIENTO DE ALCOBENDAS (MADRID)</x:t>
  </x:si>
  <x:si>
    <x:t>Desarrollo del programa "Cine de Verano" en 2026 que comprenderá la programación de títulos, el suministro de las películas con su correspondiente licencia de exhibición, así como el apoyo logístico y personal especializado que requiera el desarrollo de las sesiones</x:t>
  </x:si>
  <x:si>
    <x:t>CM/2026/406/011</x:t>
  </x:si>
  <x:si>
    <x:t/>
  </x:si>
  <x:si>
    <x:t>20/02/2026</x:t>
  </x:si>
  <x:si>
    <x:t>2026012580</x:t>
  </x:si>
  <x:si>
    <x:t>AYUNTAMIENTO DE LA BISBAL DE EMPORDÀ (GIRONA)</x:t>
  </x:si>
  <x:si>
    <x:t>Servicio de diseño, edición de material (digital e impreso), comunicación y distribución de material de las siguientes ferias en la Bisbal d'Empordà: Feria Artesana (Lote 1), Feria-Mercado 1 de mayo (Lote 2) y Feria de Brocanters 11 Septiembre (Lote 3)</x:t>
  </x:si>
  <x:si>
    <x:t>X2026000086</x:t>
  </x:si>
  <x:si>
    <x:t/>
  </x:si>
  <x:si>
    <x:t>Girona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</x:si>
</x:sst>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39579.50</x:v>
      </x:c>
      <x:c r="J2" s="11" t="s">
        <x:v>25</x:v>
      </x:c>
      <x:c r="K2" s="11" t="s">
        <x:v>26</x:v>
      </x:c>
      <x:c r="L2" s="12" t="str">
        <x:f xml:space="preserve">HYPERLINK("https://contractaciopublica.cat/ca/detall-publicacio/7922c04d-aee8-487f-aa2d-540b157657d6/300685708","contractaciopublica.cat/ca/detall-publicacio/7922c04d-aee8-487f-aa2d-540b157657d6/300685708")</x:f>
        <x:v>contractaciopublica.cat/ca/detall-publicacio/7922c04d-aee8-487f-aa2d-540b157657d6/300685708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HYPERLINK("https://www.infonalia.es/licitaciones0226/2026012054.pdf","www.infonalia.es/licitaciones0226/2026012054.pdf")</x:f>
        <x:v>www.infonalia.es/licitaciones0226/2026012054.pdf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32</x:v>
      </x:c>
      <x:c r="G3" s="6" t="s">
        <x:v>33</x:v>
      </x:c>
      <x:c r="H3" s="6" t="s">
        <x:v>34</x:v>
      </x:c>
      <x:c r="I3" s="10" t="n">
        <x:v>45591.88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HYPERLINK("https://contractaciopublica.cat/ca/detall-publicacio/daac928d-4c37-442b-bf66-8c7f145a0b47/300679943","contractaciopublica.cat/ca/detall-publicacio/daac928d-4c37-442b-bf66-8c7f145a0b47/300679943")</x:f>
        <x:v>contractaciopublica.cat/ca/detall-publicacio/daac928d-4c37-442b-bf66-8c7f145a0b47/300679943</x:v>
      </x:c>
      <x:c r="M3" s="11" t="s">
        <x:v>27</x:v>
      </x:c>
      <x:c r="N3" s="13" t="s">
        <x:v>28</x:v>
      </x:c>
      <x:c r="O3" s="11" t="s">
        <x:v>35</x:v>
      </x:c>
      <x:c r="P3" s="11" t="s">
        <x:v>30</x:v>
      </x:c>
      <x:c r="Q3" s="14" t="str">
        <x:f xml:space="preserve">HYPERLINK("https://www.infonalia.es/licitaciones0226/2026012060.pdf","www.infonalia.es/licitaciones0226/2026012060.pdf")</x:f>
        <x:v>www.infonalia.es/licitaciones0226/2026012060.pdf</x:v>
      </x:c>
    </x:row>
    <x:row r="4">
      <x:c r="A4" s="6" t="s">
        <x:v>17</x:v>
      </x:c>
      <x:c r="B4" s="6" t="s">
        <x:v>18</x:v>
      </x:c>
      <x:c r="C4" s="7" t="s">
        <x:v>19</x:v>
      </x:c>
      <x:c r="D4" s="8" t="s">
        <x:v>36</x:v>
      </x:c>
      <x:c r="E4" s="9" t="s">
        <x:v>21</x:v>
      </x:c>
      <x:c r="F4" s="6" t="s">
        <x:v>37</x:v>
      </x:c>
      <x:c r="G4" s="6" t="s">
        <x:v>38</x:v>
      </x:c>
      <x:c r="H4" s="6" t="s">
        <x:v>39</x:v>
      </x:c>
      <x:c r="I4" s="10" t="n">
        <x:v>47712.12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HYPERLINK("https://contrataciondelestado.es/wps/poc?uri=deeplink:detalle_licitacion&amp;idEvl=BNe5%2FLl53fQmMOlAXxDEjw%3D%3D","contrataciondelestado.es/wps/poc?uri=deeplink:detalle_licitacion&amp;idEvl=BNe5%2FLl53fQmMOlAXxDEjw%3D%3D")</x:f>
        <x:v>contrataciondelestado.es/wps/poc?uri=deeplink:detalle_licitacion&amp;idEvl=BNe5%2FLl53fQmMOlAXxDEjw%3D%3D</x:v>
      </x:c>
      <x:c r="M4" s="11" t="s">
        <x:v>27</x:v>
      </x:c>
      <x:c r="N4" s="13" t="s">
        <x:v>28</x:v>
      </x:c>
      <x:c r="O4" s="11" t="s">
        <x:v>40</x:v>
      </x:c>
      <x:c r="P4" s="11" t="s">
        <x:v>41</x:v>
      </x:c>
      <x:c r="Q4" s="14" t="str">
        <x:f xml:space="preserve">HYPERLINK("https://www.infonalia.es/licitaciones0226/2026012155.pdf","www.infonalia.es/licitaciones0226/2026012155.pdf")</x:f>
        <x:v>www.infonalia.es/licitaciones0226/2026012155.pdf</x:v>
      </x:c>
    </x:row>
    <x:row r="5">
      <x:c r="A5" s="6" t="s">
        <x:v>17</x:v>
      </x:c>
      <x:c r="B5" s="6" t="s">
        <x:v>18</x:v>
      </x:c>
      <x:c r="C5" s="7" t="s">
        <x:v>19</x:v>
      </x:c>
      <x:c r="D5" s="8" t="s">
        <x:v>42</x:v>
      </x:c>
      <x:c r="E5" s="9" t="s">
        <x:v>21</x:v>
      </x:c>
      <x:c r="F5" s="6" t="s">
        <x:v>43</x:v>
      </x:c>
      <x:c r="G5" s="6" t="s">
        <x:v>44</x:v>
      </x:c>
      <x:c r="H5" s="6" t="s">
        <x:v>45</x:v>
      </x:c>
      <x:c r="I5" s="10" t="n">
        <x:v>14500.00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HYPERLINK("https://contrataciondelestado.es/wps/poc?uri=deeplink:detalle_licitacion&amp;idEvl=PCVzqCvNTh0%2FbjW6njtWLw%3D%3D","contrataciondelestado.es/wps/poc?uri=deeplink:detalle_licitacion&amp;idEvl=PCVzqCvNTh0%2FbjW6njtWLw%3D%3D")</x:f>
        <x:v>contrataciondelestado.es/wps/poc?uri=deeplink:detalle_licitacion&amp;idEvl=PCVzqCvNTh0%2FbjW6njtWLw%3D%3D</x:v>
      </x:c>
      <x:c r="M5" s="11" t="s">
        <x:v>27</x:v>
      </x:c>
      <x:c r="N5" s="13" t="s">
        <x:v>28</x:v>
      </x:c>
      <x:c r="O5" s="11" t="s">
        <x:v>46</x:v>
      </x:c>
      <x:c r="P5" s="11" t="s">
        <x:v>30</x:v>
      </x:c>
      <x:c r="Q5" s="14" t="str">
        <x:f xml:space="preserve">HYPERLINK("https://www.infonalia.es/licitaciones0226/2026012177.pdf","www.infonalia.es/licitaciones0226/2026012177.pdf")</x:f>
        <x:v>www.infonalia.es/licitaciones0226/2026012177.pdf</x:v>
      </x:c>
    </x:row>
    <x:row r="6">
      <x:c r="A6" s="6" t="s">
        <x:v>17</x:v>
      </x:c>
      <x:c r="B6" s="6" t="s">
        <x:v>18</x:v>
      </x:c>
      <x:c r="C6" s="7" t="s">
        <x:v>47</x:v>
      </x:c>
      <x:c r="D6" s="8" t="s">
        <x:v>48</x:v>
      </x:c>
      <x:c r="E6" s="9" t="s">
        <x:v>21</x:v>
      </x:c>
      <x:c r="F6" s="6" t="s">
        <x:v>49</x:v>
      </x:c>
      <x:c r="G6" s="6" t="s">
        <x:v>50</x:v>
      </x:c>
      <x:c r="H6" s="6" t="s">
        <x:v>51</x:v>
      </x:c>
      <x:c r="I6" s="10" t="n">
        <x:v>8677.69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HYPERLINK("https://contrataciondelestado.es/wps/poc?uri=deeplink:detalle_licitacion&amp;idEvl=ih7UuopO35N4zIRvjBVCSw%3D%3D","contrataciondelestado.es/wps/poc?uri=deeplink:detalle_licitacion&amp;idEvl=ih7UuopO35N4zIRvjBVCSw%3D%3D")</x:f>
        <x:v>contrataciondelestado.es/wps/poc?uri=deeplink:detalle_licitacion&amp;idEvl=ih7UuopO35N4zIRvjBVCSw%3D%3D</x:v>
      </x:c>
      <x:c r="M6" s="11" t="s">
        <x:v>27</x:v>
      </x:c>
      <x:c r="N6" s="13" t="s">
        <x:v>28</x:v>
      </x:c>
      <x:c r="O6" s="11" t="s">
        <x:v>52</x:v>
      </x:c>
      <x:c r="P6" s="11" t="s">
        <x:v>41</x:v>
      </x:c>
      <x:c r="Q6" s="14" t="str">
        <x:f xml:space="preserve">HYPERLINK("https://www.infonalia.es/licitaciones0226/2026012519.pdf","www.infonalia.es/licitaciones0226/2026012519.pdf")</x:f>
        <x:v>www.infonalia.es/licitaciones0226/2026012519.pdf</x:v>
      </x:c>
    </x:row>
    <x:row r="7">
      <x:c r="A7" s="6" t="s">
        <x:v>17</x:v>
      </x:c>
      <x:c r="B7" s="6" t="s">
        <x:v>18</x:v>
      </x:c>
      <x:c r="C7" s="7" t="s">
        <x:v>53</x:v>
      </x:c>
      <x:c r="D7" s="8" t="s">
        <x:v>54</x:v>
      </x:c>
      <x:c r="E7" s="9" t="s">
        <x:v>21</x:v>
      </x:c>
      <x:c r="F7" s="6" t="s">
        <x:v>55</x:v>
      </x:c>
      <x:c r="G7" s="6" t="s">
        <x:v>56</x:v>
      </x:c>
      <x:c r="H7" s="6" t="s">
        <x:v>57</x:v>
      </x:c>
      <x:c r="I7" s="10" t="n">
        <x:v>17619.75</x:v>
      </x:c>
      <x:c r="J7" s="11" t="s">
        <x:v>25</x:v>
      </x:c>
      <x:c r="K7" s="11" t="s">
        <x:v>26</x:v>
      </x:c>
      <x:c r="L7" s="12" t="str">
        <x:f xml:space="preserve">HYPERLINK("https://contractaciopublica.cat/ca/detall-publicacio/5d26b5a5-49e0-46fa-a257-9e5d15c1cb86/300681299","contractaciopublica.cat/ca/detall-publicacio/5d26b5a5-49e0-46fa-a257-9e5d15c1cb86/300681299")</x:f>
        <x:v>contractaciopublica.cat/ca/detall-publicacio/5d26b5a5-49e0-46fa-a257-9e5d15c1cb86/300681299</x:v>
      </x:c>
      <x:c r="M7" s="11" t="s">
        <x:v>27</x:v>
      </x:c>
      <x:c r="N7" s="13" t="s">
        <x:v>21</x:v>
      </x:c>
      <x:c r="O7" s="11" t="s">
        <x:v>58</x:v>
      </x:c>
      <x:c r="P7" s="11" t="s">
        <x:v>59</x:v>
      </x:c>
      <x:c r="Q7" s="14" t="str">
        <x:f xml:space="preserve">HYPERLINK("https://www.infonalia.es/licitaciones0226/2026012580.pdf","www.infonalia.es/licitaciones0226/2026012580.pdf")</x:f>
        <x:v>www.infonalia.es/licitaciones0226/2026012580.pdf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