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<x:sst xmlns:x="http://schemas.openxmlformats.org/spreadsheetml/2006/main" count="11" uniqueCount="11">
  <x:si>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</x:si>
  <x:si>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</x:si>
  <x:si>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</x:si>
  <x:si>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</x:si>
  <x:si>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</x:si>
  <x:si>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</x:si>
  <x:si>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</x:si>
  <x:si>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</x:si>
  <x:si>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</x:si>
  <x:si>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</x:si>
  <x:si>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</x:si>
  <x:si>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</x:si>
  <x:si>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MISTER NILSON, S.L</x:t>
  </x:si>
  <x:si>
    <x:t>09/01/2026 0:00:00</x:t>
  </x:si>
  <x:si>
    <x:t>26001524</x:t>
  </x:si>
  <x:si>
    <x:t>DIRECCIÓN GENERAL ECONÓMICO-FINANCIERA DE LA ENTIDAD PÚBLICA EMPRESARIAL RENFE-OPERADORA</x:t>
  </x:si>
  <x:si>
    <x:t>Servicios de una productora audiovisual para comunicación interna en el Grupo RENFE</x:t>
  </x:si>
  <x:si>
    <x:t>2025-00745</x:t>
  </x:si>
  <x:si>
    <x:t>Ver pliegos</x:t>
  </x:si>
  <x:si>
    <x:t>THE COCKTAIL EXPERIENCE SL</x:t>
  </x:si>
  <x:si>
    <x:t>26001585</x:t>
  </x:si>
  <x:si>
    <x:t>CORPORACIÓ CATALANA DE MITJANS AUDIOVISUALS, SA (CCMA, SA)</x:t>
  </x:si>
  <x:si>
    <x:t>El objeto de esta concurrencia es la contratación por parte de la Corporación Catalana de Medios Audiovisuales, SA (en adelante CCMA, SA) de un servicio de análisis de tendencias de ciudadanía que permita tener un punto de situación de cuáles son las tendencias más relevantes año a año. Este servicio de investigación facilitará a la CCMA la toma de decisiones estratégicas de cara a plantear las necesidades presentes y futuras de la ciudadanía. El servicio incluirá: -un informe anual de tendencias anuales en base al análisis de los cambios y aprendizajes del año anterior, para ofrecer un punto de situación al inicio del nuevo año -un vídeo que recoja el story telling y los principales Insights del estudio de tendencias para mostrar de forma clara y concisa los aprendizajes para la organización de sumergir en las tendencias de forma más vivenciales</x:t>
  </x:si>
  <x:si>
    <x:t>2510OB01</x:t>
  </x:si>
  <x:si>
    <x:t>Catalunya</x:t>
  </x:si>
  <x:si>
    <x:t>CBM SERVICIOS AUDIOVISUALES SLU</x:t>
  </x:si>
  <x:si>
    <x:t>26001592</x:t>
  </x:si>
  <x:si>
    <x:t>Servicio broadcast de directos ilimitado (tarifa plana) personalizados. Servicio puntual de grabación, edición (ENG) y conexiones en directo con o sin mochila 5G de una persona con transporte. Servicio de producción/administración para las gestiones necesarias para la producción de noticias, imágenes y audios, contactos y gestiones de la corresponsalía de la CCMA, SA. Espacio de trabajo para nuestro/s corresponsal/es. Espacio preparado para el normal desarrollo del trabajo periodístico de nuestros corresponsales de televisión y radio de la CCMA, SA. Conectividad a través de internet con capacidad de envío y recepción de imágenes, audios y señales en directo. Conectividad que cubra todas las comunicaciones del equipamiento informático en la corresponsalía y en los desplazamientos. Vía FTTH a la sede y 5G al exterior. Capacidad de ofrecer servicios extras excluidos en el precio del servicio fijo, pero necesarios para la producción de noticias u otros servicios para los medios de la CCMA, SA</x:t>
  </x:si>
  <x:si>
    <x:t>2509OB04</x:t>
  </x:si>
  <x:si>
    <x:t>Formalizado</x:t>
  </x:si>
  <x:si>
    <x:t>LOTE 2 ZELIG COMUNICACIÓ SL</x:t>
  </x:si>
  <x:si>
    <x:t>26001713</x:t>
  </x:si>
  <x:si>
    <x:t>AYUNTAMIENTO DE GRANOLLERS (BARCELONA)</x:t>
  </x:si>
  <x:si>
    <x:t>La señalización física de los recursos turísticos, el servicio de la promoción turística y producción de recursos digitales vinculados al proyecto de rehabilitación y valorización de las murallas medievales de Granollers con el fin de mejorar la experiencia de la visita al patrimonio de las murallas de la ciudad de Granollers y potenciar el itinerario turístico y cultural. – Next Generation. Lote 1 Sistema de señalización física de los recursos turísticos. Lote 2 Servicio de promoción turística. Lote 3 Producción de recursos digitales de interpretación y difusión.</x:t>
  </x:si>
  <x:si>
    <x:t>2025/078 (75/2025/CONT)</x:t>
  </x:si>
  <x:si>
    <x:t>Barcelona</x:t>
  </x:si>
  <x:si>
    <x:t>2003 DYLUNIO SA</x:t>
  </x:si>
  <x:si>
    <x:t>26001740</x:t>
  </x:si>
  <x:si>
    <x:t>GENERALITAT DE CATALUNYA. DEPARTAMENTO DE INTERIOR Y SEGURIDAD PÚBLICA</x:t>
  </x:si>
  <x:si>
    <x:t>Servicio de diseño, construcción y montaje y desmontaje de un stand para la Dirección General de la Policía en el Mobile World Congress 2026.</x:t>
  </x:si>
  <x:si>
    <x:t>IT-2026-55</x:t>
  </x:si>
  <x:si>
    <x:t>BARTER PARTNERSHIP S.L</x:t>
  </x:si>
  <x:si>
    <x:t>26001753</x:t>
  </x:si>
  <x:si>
    <x:t>FUNDACIÓN BARCELONA MOBILE WORLD CAPITAL FOUNDATION</x:t>
  </x:si>
  <x:si>
    <x:t>Servicio de oﬁcina técnica para la gestión de eventos de Fundació Barcelona Mobile World Capital Foundation (Exp. A/F202521/S)</x:t>
  </x:si>
  <x:si>
    <x:t>A/F202521/S</x:t>
  </x:si>
  <x:si>
    <x:t>ECOSTUDI SIMA SL</x:t>
  </x:si>
  <x:si>
    <x:t>26001776</x:t>
  </x:si>
  <x:si>
    <x:t>CONSELL COMARCAL DEL VALLÈS OCCIDENTAL (BARCELONA)</x:t>
  </x:si>
  <x:si>
    <x:t>Contrato mixto para la prestación de los servicios de creación, planificación y ejecución de un paquete de actividades de información y sensibilización para aumentar la prevención de residuos e incrementar la recogida selectiva, disminuyendo la fracción restante, para mejorar el tratamiento y valorización de los residuos en la comarca del Vallès Occidental.</x:t>
  </x:si>
  <x:si>
    <x:t>1407/2025</x:t>
  </x:si>
  <x:si>
    <x:t>DOS PUNTOS AN INTERNET COMPANY S.L</x:t>
  </x:si>
  <x:si>
    <x:t>26001779</x:t>
  </x:si>
  <x:si>
    <x:t>DIRECCIÓN DEL CENTRO ASOCIADO DE LA UNED EN MADRID</x:t>
  </x:si>
  <x:si>
    <x:t>Prestación integrada, coordinada y continua de todos los servicios de comunicación institucional, marketing digital, diseño gráfico, relaciones con medios, gestión web y redes sociales, fotografía y campañas publicitarias de UNED Madrid</x:t>
  </x:si>
  <x:si>
    <x:t>PAS 4/2025</x:t>
  </x:si>
  <x:si>
    <x:t>Madrid</x:t>
  </x:si>
  <x:si>
    <x:t>LOTE 1 NOV25STUDIO SL.; LOTE 2 KARAVAN PRODUCTIONS FILMS, SL; LOTE 3 ADMIRA EVENTS SL</x:t>
  </x:si>
  <x:si>
    <x:t>26001816</x:t>
  </x:si>
  <x:si>
    <x:t>ÀREA METROPOLITANA DE BARCELONA</x:t>
  </x:si>
  <x:si>
    <x:t>Servicio consistente en la creación de las piezas audiovisuales de la exposición 2026 de la Dirección de Servicios del Espacio Público del AMB. Lote 1: Audiovisual «Territorio AMB». Lote 2: Audiovisual «Passejades». Lote 3: Audiovisual «Making-of».</x:t>
  </x:si>
  <x:si>
    <x:t>902133/25</x:t>
  </x:si>
  <x:si>
    <x:t>Ver detalle de la adjudicación</x:t>
  </x:si>
  <x:si>
    <x:t>IGLUUU STUDIO S.L</x:t>
  </x:si>
  <x:si>
    <x:t>26001900</x:t>
  </x:si>
  <x:si>
    <x:t>Servicio consistente en la producción de un vídeo que resuma el proyecto LIFE AgroForAdapt y cuatro cápsulas resumen para redes sociales en cuatro idiomas. El Área Metropolitana de Barcelona (AMB) participa como socio colaborador en el proyecto LIFE AgroForAdapt (LIFE20 CCA/ES/001682; 10/2021 – 09/2026) financiado por el programa LIFE de la Unión Europea. El 100% del coste de este contrato está subvencionado por la UE.</x:t>
  </x:si>
  <x:si>
    <x:t>901874/25</x:t>
  </x:si>
  <x:si>
    <x:t>NOTIDIG, SL</x:t>
  </x:si>
  <x:si>
    <x:t>26001916</x:t>
  </x:si>
  <x:si>
    <x:t>AYUNTAMIENTO DE LLAGOSTERA (GIRONA)</x:t>
  </x:si>
  <x:si>
    <x:t>Servicio de comunicación y difusión institucional, entorno digital, transparencia, buen gobierno y participación ciudadana del municipio de Llagostera. </x:t>
  </x:si>
  <x:si>
    <x:t>2025/2278</x:t>
  </x:si>
  <x:si>
    <x:t>Girona</x:t>
  </x:si>
  <x:si>
    <x:t>LOTE 1 INICIATIVES EVENTS S.L.; LOTE 2 WE ARE VISUAL MAKERS SL</x:t>
  </x:si>
  <x:si>
    <x:t>26001986</x:t>
  </x:si>
  <x:si>
    <x:t>GENERALITAT DE CATALUNYA. DEPARTAMENTO DE EMPRESA Y TRABAJO</x:t>
  </x:si>
  <x:si>
    <x:t>El objeto del contrato es el diseño, producción, montaje, desmontaje y explotación del stand de la Generalidad de Cataluña en el MWC Barcelona 2026 (MWC en adelante), que está previsto que se celebre del 2 al 5 de marzo de 2026 en el recinto ferial de Barcelona Gran Via - L'Hospitalet de Llobregat y la conceptualización, diseño tendrá lugar en la zona expositiva del stand de la Generalidad de Cataluña en el MWC 2026.</x:t>
  </x:si>
  <x:si>
    <x:t>EMO-2026-10</x:t>
  </x:si>
  <x:si>
    <x:t>118 STUDIO WORKS S</x:t>
  </x:si>
  <x:si>
    <x:t>26002080</x:t>
  </x:si>
  <x:si>
    <x:t>UNIVERSITAT DE BARCELONA</x:t>
  </x:si>
  <x:si>
    <x:t>Servicio de reacondicionamiento del stand de ediciones anteriores (2024 y 2025) del Salón de la Enseñanza para la edición 2026. El reacondicionamiento contempla: - Transporte de los módulos del stand de las ediciones anteriores en la Fira de Barcelona desde el almacén de la empresa 118Studio Produc. puntos de anclaje y su certificación, canon de montaje y servicios de limpieza - Instalación de nuevo entarimado y enmoquetado de los espacios de la UB - Realización de la instalación eléctrica y red cableada - Instalación del truss perimetral de características similares a las ediciones anteriores - Suministro de los elementos audiovisuales: videowall del estado, reacondicionamiento y repintado de cubos interactivos y aéreos - Realización de la nueva rotulación de acuerdo con la incorporación de la marca del 575 Aniversario y con la nueva oferta formativa para el curso 2026-2027 - Montaje del stand - Desmontaje, transporte y destrucción del stand al finalizar</x:t>
  </x:si>
  <x:si>
    <x:t>2025/109</x:t>
  </x:si>
  <x:si>
    <x:t>LOTE 1 RAMON CAROL ROMERA; LOTE 2 RAMON CAROL ROMERA; LOTE 3 RAMON CAROL ROMERA; LOTE 4 RAMON CAROL ROMERA</x:t>
  </x:si>
  <x:si>
    <x:t>26002109</x:t>
  </x:si>
  <x:si>
    <x:t>CONSORCI SANITARI DE TERRASSA</x:t>
  </x:si>
  <x:si>
    <x:t>Servicio de la realización de material audiovisual en diferentes formatos y soportes para la difusión y formación vinculada a los proyectos VERA, PRISMA, DIANA y AREQUIPA para el Consorci Sanitari de Terrassa</x:t>
  </x:si>
  <x:si>
    <x:t>CST 25-27 SUP-SE</x:t>
  </x:si>
  <x:si>
    <x:t>NEU MUSICA CONTEMPORANIA SL</x:t>
  </x:si>
  <x:si>
    <x:t>26002113</x:t>
  </x:si>
  <x:si>
    <x:t>CONSORCIO DEL AUDITORIO Y LA ORQUESTA DE BARCELONA</x:t>
  </x:si>
  <x:si>
    <x:t>Servicios de curadoria, coordinación y promoción del sello discográfico de L'Auditori, producción musical y grabación de los discos de la OBC y la BMB y control de calidad de L'AuditoriPlay</x:t>
  </x:si>
  <x:si>
    <x:t>081_25000471</x:t>
  </x:si>
  <x:si>
    <x:t>PUBLIPRINTERS GLOBAL S.L</x:t>
  </x:si>
  <x:si>
    <x:t>26002203</x:t>
  </x:si>
  <x:si>
    <x:t>PRESIDENCIA DE LA SOCIEDAD MERCANTIL ESTATAL PARA LA GESTIÓN DE LA INNOVACIÓN Y LAS TECNOLOGÍAS TURÍSTICAS, S.A.M.P. (SEGITTUR)</x:t>
  </x:si>
  <x:si>
    <x:t>Servicio de revisión del diseño gráfico, actualización, producción y distribución de los diferentes elementos distintivos del Sistema Integral de Calidad Turística Española en Destinos (SICTED) . Las necesidades a satifacer se especifican con mayor detalle en el PLIEGO DE PRESCRIPCIONES TÉCNICAS QUE RIGE LA CONTRATACIÓN</x:t>
  </x:si>
  <x:si>
    <x:t>372025</x:t>
  </x:si>
  <x:si>
    <x:t>REBOLD COMMUNICATION, SLU</x:t>
  </x:si>
  <x:si>
    <x:t>26002228</x:t>
  </x:si>
  <x:si>
    <x:t>AUTORITAT CATALANA DE PROTECCIÓ DE DADES</x:t>
  </x:si>
  <x:si>
    <x:t>Servicio de recopilación de prensa y su plataforma digital para el seguimiento de los medios de comunicación para la Autoridad Catalana de Protección de Datos.</x:t>
  </x:si>
  <x:si>
    <x:t>ACPD-2026-1</x:t>
  </x:si>
  <x:si>
    <x:t>PRODUCCIONES MIC S.L</x:t>
  </x:si>
  <x:si>
    <x:t>26002243</x:t>
  </x:si>
  <x:si>
    <x:t>AYUNTAMIENTO DE SABADELL (BARCELONA)</x:t>
  </x:si>
  <x:si>
    <x:t>Este contrato tiene por objeto la impresión del boletín municipal del Ayuntamiento de Sabadell, a fin de informar a la ciudadanía de los servicios municipales así como de informaciones de interés general relacionadas con la ciudad de Sabadell. Se quieren realizar anulamente 3 ediciones del boletín municipal del Ayuntamiento de Sabadell, se prevé la impresión del boletín durante el mes de noviembre 2025 y los meses de marzo y junio de 2026. El objeto del presente contrato es precisamente la prestación de servicios de impresión de 3 ediciones del boletín municipal Hola Sabadell durante el contrato</x:t>
  </x:si>
  <x:si>
    <x:t>COM/2025/25</x:t>
  </x:si>
  <x:si>
    <x:t>26002287</x:t>
  </x:si>
  <x:si>
    <x:t>JUAN JOSÉ FUENTES TABARES S.L.U</x:t>
  </x:si>
  <x:si>
    <x:t>26002437</x:t>
  </x:si>
  <x:si>
    <x:t>CONSEJERO DELEGADO DE LA SOCIEDAD DE DESARROLLO DE SANTA CRUZ DE TENERIFE, S.A.U</x:t>
  </x:si>
  <x:si>
    <x:t>El objeto del contrato es contratación de un servicio de diseño, gestión y contratación de publicidad y gestiones de medios de comunicación para la promoción de acciones de diversa naturaleza relacionadas con la presencia de la Sociedad de Desarrollo en FITUR 2026</x:t>
  </x:si>
  <x:si>
    <x:t>375/2025</x:t>
  </x:si>
  <x:si>
    <x:t>E1DOS DINAMITZACIÓ SOCIAL SL</x:t>
  </x:si>
  <x:si>
    <x:t>26002455</x:t>
  </x:si>
  <x:si>
    <x:t>AYUNTAMIENTO DE BARCELONA</x:t>
  </x:si>
  <x:si>
    <x:t>Elaboración de las actas de los órganos de participación. Con medidas de contratación sostenible.</x:t>
  </x:si>
  <x:si>
    <x:t>001_25003135</x:t>
  </x:si>
  <x:si>
    <x:t>MONTCAU PRODUCCIONS SL</x:t>
  </x:si>
  <x:si>
    <x:t>26002456</x:t>
  </x:si>
  <x:si>
    <x:t>ENTITAT PÚBLICA EMPRESARIAL RÀDIO ARENYS</x:t>
  </x:si>
  <x:si>
    <x:t>Contratación del servicio de la gestión de la publicidad</x:t>
  </x:si>
  <x:si>
    <x:t>2025-57</x:t>
  </x:si>
  <x:si>
    <x:t>GEMCOM-LIARBA COMUNICACIÓ, SL</x:t>
  </x:si>
  <x:si>
    <x:t>26002473</x:t>
  </x:si>
  <x:si>
    <x:t>CONSORCI DE POLÍTIQUES AMBIENTALS DE LES TERRES DE L'EBRE (COPATE)</x:t>
  </x:si>
  <x:si>
    <x:t>El objeto del contrato es la prestación de un servicio integral de asesoramiento, planificación, negociación e inserción de publicidad institucional, orientado a garantizar la eficiencia y coherencia de las acciones comunicativas vinculadas a la Reserva de la Biosfera de las Terres de l'Ebre. El servicio incluye el diseño y ejecución de la estrategia publicitaria, la selección de los soportes y canales más adecuados, la negociación de condiciones con los medios de comunicación, la gestión de la inserción de las campañas y el correspondiente seguimiento y análisis de resultados, con el fin de verificar su eficacia e impacto. El objetivo último del contrato es incrementar la visibilidad y el reconocimiento institucional de la Reserva de la Biosfera de las Terres de l'Ebre, promoviendo sus valores, iniciativas y acciones a través de los canales de comunicación más adecuados, y garantizando, al mismo tiempo, una gestión óptima de los recursos públicos mediante una planificación profesionalizada, transparente y eficiente del gasto publicitario.</x:t>
  </x:si>
  <x:si>
    <x:t>306/2025</x:t>
  </x:si>
  <x:si>
    <x:t>Tarragona</x:t>
  </x:si>
  <x:si>
    <x:t>26002501</x:t>
  </x:si>
  <x:si>
    <x:t>TRYPTIC COMUNICACIO S.C.P</x:t>
  </x:si>
  <x:si>
    <x:t>26002507</x:t>
  </x:si>
  <x:si>
    <x:t>DIRECCIÓN GENERAL DE RENFE VIAJEROS SOCIEDAD MERCANTIL ESTATAL, S.A</x:t>
  </x:si>
  <x:si>
    <x:t>Apoyo y seguimiento rrpp en Francia</x:t>
  </x:si>
  <x:si>
    <x:t>2025-04278</x:t>
  </x:si>
  <x:si>
    <x:t>Francia </x:t>
  </x:si>
  <x:si>
    <x:t>NIVELL PUBLICITARI DIGITAL S.L</x:t>
  </x:si>
  <x:si>
    <x:t>26002511</x:t>
  </x:si>
  <x:si>
    <x:t>ÁREA DE GOBIERNO DE VICEALCALDÍA, PORTAVOZ, SEGURIDAD Y EMERGENCIAS DEL AYUNTAMIENTO DE MADRID</x:t>
  </x:si>
  <x:si>
    <x:t>Presupuestos Participativos. Fase I – Presentación de Proyectos</x:t>
  </x:si>
  <x:si>
    <x:t>511/2024/09735.41</x:t>
  </x:si>
  <x:si>
    <x:t>CLUB PATÍN GIJÓN SOLIMAR</x:t>
  </x:si>
  <x:si>
    <x:t>26002604</x:t>
  </x:si>
  <x:si>
    <x:t>SOCIEDAD PÚBLICA DE GESTIÓN Y PROMOCIÓN TURÍSTICA Y CULTURAL DEL PRINCIPADO DE ASTURIAS S.A.U</x:t>
  </x:si>
  <x:si>
    <x:t>Patrocinio publicitario del equipo femenino Telecable Hockey Club durante la temporada 2025-2026</x:t>
  </x:si>
  <x:si>
    <x:t>CM 100/25</x:t>
  </x:si>
  <x:si>
    <x:t>Asturias</x:t>
  </x:si>
  <x:si>
    <x:t>CATPRESS SERVEIS DE COMUNICACIÓ SL</x:t>
  </x:si>
  <x:si>
    <x:t>26002712</x:t>
  </x:si>
  <x:si>
    <x:t>CONSELL COMARCAL DEL BAGES (BARCELONA)</x:t>
  </x:si>
  <x:si>
    <x:t>El objeto de este pliego es la contratación de la prestación del servicio de comunicación integral que trabaja la implementación y la estrategia para posicionar el Bages como un destino turístico. Este servicio permitirá disponer de un gabinete de prensa que permita comunicar los proyectos y acciones que realiza la Unidad de Turismo del Consejo Comarcal de El Bages, así como la comunicación y promoción turística constante del destino Bages-Geoparc a través de las redes sociales</x:t>
  </x:si>
  <x:si>
    <x:t>2025_2660</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</x:si>
</x:sst>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HYPERLINK("https://www.infonalia.es/adjudicaciones0126/26001524.pdf","www.infonalia.es/adjudicaciones0126/26001524.pdf")</x:f>
        <x:v>www.infonalia.es/adjudicaciones0126/26001524.pdf</x:v>
      </x:c>
      <x:c r="E2" s="8" t="s">
        <x:v>14</x:v>
      </x:c>
      <x:c r="F2" s="6" t="s">
        <x:v>15</x:v>
      </x:c>
      <x:c r="G2" s="6" t="s">
        <x:v>16</x:v>
      </x:c>
      <x:c r="H2" s="6" t="s">
        <x:v>17</x:v>
      </x:c>
      <x:c r="I2" s="6" t="s">
        <x:v>18</x:v>
      </x:c>
      <x:c r="J2" s="9" t="n">
        <x:v>160000.00</x:v>
      </x:c>
      <x:c r="K2" s="9" t="n">
        <x:v>160000.00</x:v>
      </x:c>
    </x:row>
    <x:row r="3">
      <x:c r="A3" s="6" t="s">
        <x:v>11</x:v>
      </x:c>
      <x:c r="B3" s="6" t="s">
        <x:v>19</x:v>
      </x:c>
      <x:c r="C3" s="6" t="s">
        <x:v>13</x:v>
      </x:c>
      <x:c r="D3" s="7" t="str">
        <x:f xml:space="preserve">HYPERLINK("https://www.infonalia.es/adjudicaciones0126/26001585.pdf","www.infonalia.es/adjudicaciones0126/26001585.pdf")</x:f>
        <x:v>www.infonalia.es/adjudicaciones0126/26001585.pdf</x:v>
      </x:c>
      <x:c r="E3" s="8" t="s">
        <x:v>20</x:v>
      </x:c>
      <x:c r="F3" s="6" t="s">
        <x:v>21</x:v>
      </x:c>
      <x:c r="G3" s="6" t="s">
        <x:v>22</x:v>
      </x:c>
      <x:c r="H3" s="6" t="s">
        <x:v>23</x:v>
      </x:c>
      <x:c r="I3" s="6" t="s">
        <x:v>24</x:v>
      </x:c>
      <x:c r="J3" s="9" t="n">
        <x:v>47595.24</x:v>
      </x:c>
      <x:c r="K3" s="9" t="n">
        <x:v>50000.00</x:v>
      </x:c>
    </x:row>
    <x:row r="4">
      <x:c r="A4" s="6" t="s">
        <x:v>11</x:v>
      </x:c>
      <x:c r="B4" s="6" t="s">
        <x:v>25</x:v>
      </x:c>
      <x:c r="C4" s="6" t="s">
        <x:v>13</x:v>
      </x:c>
      <x:c r="D4" s="7" t="str">
        <x:f xml:space="preserve">HYPERLINK("https://www.infonalia.es/adjudicaciones0126/26001592.pdf","www.infonalia.es/adjudicaciones0126/26001592.pdf")</x:f>
        <x:v>www.infonalia.es/adjudicaciones0126/26001592.pdf</x:v>
      </x:c>
      <x:c r="E4" s="8" t="s">
        <x:v>26</x:v>
      </x:c>
      <x:c r="F4" s="6" t="s">
        <x:v>21</x:v>
      </x:c>
      <x:c r="G4" s="6" t="s">
        <x:v>27</x:v>
      </x:c>
      <x:c r="H4" s="6" t="s">
        <x:v>28</x:v>
      </x:c>
      <x:c r="I4" s="6" t="s">
        <x:v>24</x:v>
      </x:c>
      <x:c r="J4" s="9" t="n">
        <x:v>354391.03</x:v>
      </x:c>
      <x:c r="K4" s="9" t="n">
        <x:v>370000.00</x:v>
      </x:c>
    </x:row>
    <x:row r="5">
      <x:c r="A5" s="6" t="s">
        <x:v>29</x:v>
      </x:c>
      <x:c r="B5" s="6" t="s">
        <x:v>30</x:v>
      </x:c>
      <x:c r="C5" s="6" t="s">
        <x:v>13</x:v>
      </x:c>
      <x:c r="D5" s="7" t="str">
        <x:f xml:space="preserve">HYPERLINK("https://www.infonalia.es/adjudicaciones0126/26001713.pdf","www.infonalia.es/adjudicaciones0126/26001713.pdf")</x:f>
        <x:v>www.infonalia.es/adjudicaciones0126/26001713.pdf</x:v>
      </x:c>
      <x:c r="E5" s="8" t="s">
        <x:v>31</x:v>
      </x:c>
      <x:c r="F5" s="6" t="s">
        <x:v>32</x:v>
      </x:c>
      <x:c r="G5" s="6" t="s">
        <x:v>33</x:v>
      </x:c>
      <x:c r="H5" s="6" t="s">
        <x:v>34</x:v>
      </x:c>
      <x:c r="I5" s="6" t="s">
        <x:v>35</x:v>
      </x:c>
      <x:c r="J5" s="9" t="n">
        <x:v>32000.00</x:v>
      </x:c>
      <x:c r="K5" s="9" t="n">
        <x:v>82600.00</x:v>
      </x:c>
    </x:row>
    <x:row r="6">
      <x:c r="A6" s="6" t="s">
        <x:v>11</x:v>
      </x:c>
      <x:c r="B6" s="6" t="s">
        <x:v>36</x:v>
      </x:c>
      <x:c r="C6" s="6" t="s">
        <x:v>13</x:v>
      </x:c>
      <x:c r="D6" s="7" t="str">
        <x:f xml:space="preserve">HYPERLINK("https://www.infonalia.es/adjudicaciones0126/26001740.pdf","www.infonalia.es/adjudicaciones0126/26001740.pdf")</x:f>
        <x:v>www.infonalia.es/adjudicaciones0126/26001740.pdf</x:v>
      </x:c>
      <x:c r="E6" s="8" t="s">
        <x:v>37</x:v>
      </x:c>
      <x:c r="F6" s="6" t="s">
        <x:v>38</x:v>
      </x:c>
      <x:c r="G6" s="6" t="s">
        <x:v>39</x:v>
      </x:c>
      <x:c r="H6" s="6" t="s">
        <x:v>40</x:v>
      </x:c>
      <x:c r="I6" s="6" t="s">
        <x:v>35</x:v>
      </x:c>
      <x:c r="J6" s="9" t="n">
        <x:v>45800.00</x:v>
      </x:c>
      <x:c r="K6" s="9" t="n">
        <x:v>59000.00</x:v>
      </x:c>
    </x:row>
    <x:row r="7">
      <x:c r="A7" s="6" t="s">
        <x:v>11</x:v>
      </x:c>
      <x:c r="B7" s="6" t="s">
        <x:v>41</x:v>
      </x:c>
      <x:c r="C7" s="6" t="s">
        <x:v>13</x:v>
      </x:c>
      <x:c r="D7" s="7" t="str">
        <x:f xml:space="preserve">HYPERLINK("https://www.infonalia.es/adjudicaciones0126/26001753.pdf","www.infonalia.es/adjudicaciones0126/26001753.pdf")</x:f>
        <x:v>www.infonalia.es/adjudicaciones0126/26001753.pdf</x:v>
      </x:c>
      <x:c r="E7" s="8" t="s">
        <x:v>42</x:v>
      </x:c>
      <x:c r="F7" s="6" t="s">
        <x:v>43</x:v>
      </x:c>
      <x:c r="G7" s="6" t="s">
        <x:v>44</x:v>
      </x:c>
      <x:c r="H7" s="6" t="s">
        <x:v>45</x:v>
      </x:c>
      <x:c r="I7" s="6" t="s">
        <x:v>35</x:v>
      </x:c>
      <x:c r="J7" s="9" t="n">
        <x:v>69420.00</x:v>
      </x:c>
      <x:c r="K7" s="9" t="n">
        <x:v>234000.00</x:v>
      </x:c>
    </x:row>
    <x:row r="8">
      <x:c r="A8" s="6" t="s">
        <x:v>11</x:v>
      </x:c>
      <x:c r="B8" s="6" t="s">
        <x:v>46</x:v>
      </x:c>
      <x:c r="C8" s="6" t="s">
        <x:v>13</x:v>
      </x:c>
      <x:c r="D8" s="7" t="str">
        <x:f xml:space="preserve">HYPERLINK("https://www.infonalia.es/adjudicaciones0126/26001776.pdf","www.infonalia.es/adjudicaciones0126/26001776.pdf")</x:f>
        <x:v>www.infonalia.es/adjudicaciones0126/26001776.pdf</x:v>
      </x:c>
      <x:c r="E8" s="8" t="s">
        <x:v>47</x:v>
      </x:c>
      <x:c r="F8" s="6" t="s">
        <x:v>48</x:v>
      </x:c>
      <x:c r="G8" s="6" t="s">
        <x:v>49</x:v>
      </x:c>
      <x:c r="H8" s="6" t="s">
        <x:v>50</x:v>
      </x:c>
      <x:c r="I8" s="6" t="s">
        <x:v>35</x:v>
      </x:c>
      <x:c r="J8" s="9" t="n">
        <x:v>805238.02</x:v>
      </x:c>
      <x:c r="K8" s="9" t="n">
        <x:v>805238.02</x:v>
      </x:c>
    </x:row>
    <x:row r="9">
      <x:c r="A9" s="6" t="s">
        <x:v>11</x:v>
      </x:c>
      <x:c r="B9" s="6" t="s">
        <x:v>51</x:v>
      </x:c>
      <x:c r="C9" s="6" t="s">
        <x:v>13</x:v>
      </x:c>
      <x:c r="D9" s="7" t="str">
        <x:f xml:space="preserve">HYPERLINK("https://www.infonalia.es/adjudicaciones0126/26001779.pdf","www.infonalia.es/adjudicaciones0126/26001779.pdf")</x:f>
        <x:v>www.infonalia.es/adjudicaciones0126/26001779.pdf</x:v>
      </x:c>
      <x:c r="E9" s="8" t="s">
        <x:v>52</x:v>
      </x:c>
      <x:c r="F9" s="6" t="s">
        <x:v>53</x:v>
      </x:c>
      <x:c r="G9" s="6" t="s">
        <x:v>54</x:v>
      </x:c>
      <x:c r="H9" s="6" t="s">
        <x:v>55</x:v>
      </x:c>
      <x:c r="I9" s="6" t="s">
        <x:v>56</x:v>
      </x:c>
      <x:c r="J9" s="9" t="n">
        <x:v>42000.00</x:v>
      </x:c>
      <x:c r="K9" s="9" t="n">
        <x:v>84371.64</x:v>
      </x:c>
    </x:row>
    <x:row r="10">
      <x:c r="A10" s="6" t="s">
        <x:v>11</x:v>
      </x:c>
      <x:c r="B10" s="6" t="s">
        <x:v>57</x:v>
      </x:c>
      <x:c r="C10" s="6" t="s">
        <x:v>13</x:v>
      </x:c>
      <x:c r="D10" s="7" t="str">
        <x:f xml:space="preserve">HYPERLINK("https://www.infonalia.es/adjudicaciones0126/26001816.pdf","www.infonalia.es/adjudicaciones0126/26001816.pdf")</x:f>
        <x:v>www.infonalia.es/adjudicaciones0126/26001816.pdf</x:v>
      </x:c>
      <x:c r="E10" s="8" t="s">
        <x:v>58</x:v>
      </x:c>
      <x:c r="F10" s="6" t="s">
        <x:v>59</x:v>
      </x:c>
      <x:c r="G10" s="6" t="s">
        <x:v>60</x:v>
      </x:c>
      <x:c r="H10" s="6" t="s">
        <x:v>61</x:v>
      </x:c>
      <x:c r="I10" s="6" t="s">
        <x:v>35</x:v>
      </x:c>
      <x:c r="J10" s="9" t="s">
        <x:v>62</x:v>
      </x:c>
      <x:c r="K10" s="9" t="n">
        <x:v>129870.00</x:v>
      </x:c>
    </x:row>
    <x:row r="11">
      <x:c r="A11" s="6" t="s">
        <x:v>11</x:v>
      </x:c>
      <x:c r="B11" s="6" t="s">
        <x:v>63</x:v>
      </x:c>
      <x:c r="C11" s="6" t="s">
        <x:v>13</x:v>
      </x:c>
      <x:c r="D11" s="7" t="str">
        <x:f xml:space="preserve">HYPERLINK("https://www.infonalia.es/adjudicaciones0126/26001900.pdf","www.infonalia.es/adjudicaciones0126/26001900.pdf")</x:f>
        <x:v>www.infonalia.es/adjudicaciones0126/26001900.pdf</x:v>
      </x:c>
      <x:c r="E11" s="8" t="s">
        <x:v>64</x:v>
      </x:c>
      <x:c r="F11" s="6" t="s">
        <x:v>59</x:v>
      </x:c>
      <x:c r="G11" s="6" t="s">
        <x:v>65</x:v>
      </x:c>
      <x:c r="H11" s="6" t="s">
        <x:v>66</x:v>
      </x:c>
      <x:c r="I11" s="6" t="s">
        <x:v>35</x:v>
      </x:c>
      <x:c r="J11" s="9" t="n">
        <x:v>19728.67</x:v>
      </x:c>
      <x:c r="K11" s="9" t="n">
        <x:v>24793.39</x:v>
      </x:c>
    </x:row>
    <x:row r="12">
      <x:c r="A12" s="6" t="s">
        <x:v>11</x:v>
      </x:c>
      <x:c r="B12" s="6" t="s">
        <x:v>67</x:v>
      </x:c>
      <x:c r="C12" s="6" t="s">
        <x:v>13</x:v>
      </x:c>
      <x:c r="D12" s="7" t="str">
        <x:f xml:space="preserve">HYPERLINK("https://www.infonalia.es/adjudicaciones0126/26001916.pdf","www.infonalia.es/adjudicaciones0126/26001916.pdf")</x:f>
        <x:v>www.infonalia.es/adjudicaciones0126/26001916.pdf</x:v>
      </x:c>
      <x:c r="E12" s="8" t="s">
        <x:v>68</x:v>
      </x:c>
      <x:c r="F12" s="6" t="s">
        <x:v>69</x:v>
      </x:c>
      <x:c r="G12" s="6" t="s">
        <x:v>70</x:v>
      </x:c>
      <x:c r="H12" s="6" t="s">
        <x:v>71</x:v>
      </x:c>
      <x:c r="I12" s="6" t="s">
        <x:v>72</x:v>
      </x:c>
      <x:c r="J12" s="9" t="n">
        <x:v>56710.74</x:v>
      </x:c>
      <x:c r="K12" s="9" t="n">
        <x:v>66719.24</x:v>
      </x:c>
    </x:row>
    <x:row r="13">
      <x:c r="A13" s="6" t="s">
        <x:v>11</x:v>
      </x:c>
      <x:c r="B13" s="6" t="s">
        <x:v>73</x:v>
      </x:c>
      <x:c r="C13" s="6" t="s">
        <x:v>13</x:v>
      </x:c>
      <x:c r="D13" s="7" t="str">
        <x:f xml:space="preserve">HYPERLINK("https://www.infonalia.es/adjudicaciones0126/26001986.pdf","www.infonalia.es/adjudicaciones0126/26001986.pdf")</x:f>
        <x:v>www.infonalia.es/adjudicaciones0126/26001986.pdf</x:v>
      </x:c>
      <x:c r="E13" s="8" t="s">
        <x:v>74</x:v>
      </x:c>
      <x:c r="F13" s="6" t="s">
        <x:v>75</x:v>
      </x:c>
      <x:c r="G13" s="6" t="s">
        <x:v>76</x:v>
      </x:c>
      <x:c r="H13" s="6" t="s">
        <x:v>77</x:v>
      </x:c>
      <x:c r="I13" s="6" t="s">
        <x:v>35</x:v>
      </x:c>
      <x:c r="J13" s="9" t="s">
        <x:v>62</x:v>
      </x:c>
      <x:c r="K13" s="9" t="n">
        <x:v>570010.34</x:v>
      </x:c>
    </x:row>
    <x:row r="14">
      <x:c r="A14" s="6" t="s">
        <x:v>11</x:v>
      </x:c>
      <x:c r="B14" s="6" t="s">
        <x:v>78</x:v>
      </x:c>
      <x:c r="C14" s="6" t="s">
        <x:v>13</x:v>
      </x:c>
      <x:c r="D14" s="7" t="str">
        <x:f xml:space="preserve">HYPERLINK("https://www.infonalia.es/adjudicaciones0126/26002080.pdf","www.infonalia.es/adjudicaciones0126/26002080.pdf")</x:f>
        <x:v>www.infonalia.es/adjudicaciones0126/26002080.pdf</x:v>
      </x:c>
      <x:c r="E14" s="8" t="s">
        <x:v>79</x:v>
      </x:c>
      <x:c r="F14" s="6" t="s">
        <x:v>80</x:v>
      </x:c>
      <x:c r="G14" s="6" t="s">
        <x:v>81</x:v>
      </x:c>
      <x:c r="H14" s="6" t="s">
        <x:v>82</x:v>
      </x:c>
      <x:c r="I14" s="6" t="s">
        <x:v>35</x:v>
      </x:c>
      <x:c r="J14" s="9" t="n">
        <x:v>76989.65</x:v>
      </x:c>
      <x:c r="K14" s="9" t="n">
        <x:v>80000.00</x:v>
      </x:c>
    </x:row>
    <x:row r="15">
      <x:c r="A15" s="6" t="s">
        <x:v>11</x:v>
      </x:c>
      <x:c r="B15" s="6" t="s">
        <x:v>83</x:v>
      </x:c>
      <x:c r="C15" s="6" t="s">
        <x:v>13</x:v>
      </x:c>
      <x:c r="D15" s="7" t="str">
        <x:f xml:space="preserve">HYPERLINK("https://www.infonalia.es/adjudicaciones0126/26002109.pdf","www.infonalia.es/adjudicaciones0126/26002109.pdf")</x:f>
        <x:v>www.infonalia.es/adjudicaciones0126/26002109.pdf</x:v>
      </x:c>
      <x:c r="E15" s="8" t="s">
        <x:v>84</x:v>
      </x:c>
      <x:c r="F15" s="6" t="s">
        <x:v>85</x:v>
      </x:c>
      <x:c r="G15" s="6" t="s">
        <x:v>86</x:v>
      </x:c>
      <x:c r="H15" s="6" t="s">
        <x:v>87</x:v>
      </x:c>
      <x:c r="I15" s="6" t="s">
        <x:v>35</x:v>
      </x:c>
      <x:c r="J15" s="9" t="s">
        <x:v>62</x:v>
      </x:c>
      <x:c r="K15" s="9" t="n">
        <x:v>44700.00</x:v>
      </x:c>
    </x:row>
    <x:row r="16">
      <x:c r="A16" s="6" t="s">
        <x:v>11</x:v>
      </x:c>
      <x:c r="B16" s="6" t="s">
        <x:v>88</x:v>
      </x:c>
      <x:c r="C16" s="6" t="s">
        <x:v>13</x:v>
      </x:c>
      <x:c r="D16" s="7" t="str">
        <x:f xml:space="preserve">HYPERLINK("https://www.infonalia.es/adjudicaciones0126/26002113.pdf","www.infonalia.es/adjudicaciones0126/26002113.pdf")</x:f>
        <x:v>www.infonalia.es/adjudicaciones0126/26002113.pdf</x:v>
      </x:c>
      <x:c r="E16" s="8" t="s">
        <x:v>89</x:v>
      </x:c>
      <x:c r="F16" s="6" t="s">
        <x:v>90</x:v>
      </x:c>
      <x:c r="G16" s="6" t="s">
        <x:v>91</x:v>
      </x:c>
      <x:c r="H16" s="6" t="s">
        <x:v>92</x:v>
      </x:c>
      <x:c r="I16" s="6" t="s">
        <x:v>35</x:v>
      </x:c>
      <x:c r="J16" s="9" t="n">
        <x:v>285500.00</x:v>
      </x:c>
      <x:c r="K16" s="9" t="n">
        <x:v>285500.00</x:v>
      </x:c>
    </x:row>
    <x:row r="17">
      <x:c r="A17" s="6" t="s">
        <x:v>11</x:v>
      </x:c>
      <x:c r="B17" s="6" t="s">
        <x:v>93</x:v>
      </x:c>
      <x:c r="C17" s="6" t="s">
        <x:v>13</x:v>
      </x:c>
      <x:c r="D17" s="7" t="str">
        <x:f xml:space="preserve">HYPERLINK("https://www.infonalia.es/adjudicaciones0126/26002203.pdf","www.infonalia.es/adjudicaciones0126/26002203.pdf")</x:f>
        <x:v>www.infonalia.es/adjudicaciones0126/26002203.pdf</x:v>
      </x:c>
      <x:c r="E17" s="8" t="s">
        <x:v>94</x:v>
      </x:c>
      <x:c r="F17" s="6" t="s">
        <x:v>95</x:v>
      </x:c>
      <x:c r="G17" s="6" t="s">
        <x:v>96</x:v>
      </x:c>
      <x:c r="H17" s="6" t="s">
        <x:v>97</x:v>
      </x:c>
      <x:c r="I17" s="6" t="s">
        <x:v>56</x:v>
      </x:c>
      <x:c r="J17" s="9" t="n">
        <x:v>27124.72</x:v>
      </x:c>
      <x:c r="K17" s="9" t="n">
        <x:v>30085.88</x:v>
      </x:c>
    </x:row>
    <x:row r="18">
      <x:c r="A18" s="6" t="s">
        <x:v>11</x:v>
      </x:c>
      <x:c r="B18" s="6" t="s">
        <x:v>98</x:v>
      </x:c>
      <x:c r="C18" s="6" t="s">
        <x:v>13</x:v>
      </x:c>
      <x:c r="D18" s="7" t="str">
        <x:f xml:space="preserve">HYPERLINK("https://www.infonalia.es/adjudicaciones0126/26002228.pdf","www.infonalia.es/adjudicaciones0126/26002228.pdf")</x:f>
        <x:v>www.infonalia.es/adjudicaciones0126/26002228.pdf</x:v>
      </x:c>
      <x:c r="E18" s="8" t="s">
        <x:v>99</x:v>
      </x:c>
      <x:c r="F18" s="6" t="s">
        <x:v>100</x:v>
      </x:c>
      <x:c r="G18" s="6" t="s">
        <x:v>101</x:v>
      </x:c>
      <x:c r="H18" s="6" t="s">
        <x:v>102</x:v>
      </x:c>
      <x:c r="I18" s="6" t="s">
        <x:v>35</x:v>
      </x:c>
      <x:c r="J18" s="9" t="n">
        <x:v>6000.00</x:v>
      </x:c>
      <x:c r="K18" s="9" t="n">
        <x:v>7500.00</x:v>
      </x:c>
    </x:row>
    <x:row r="19">
      <x:c r="A19" s="6" t="s">
        <x:v>11</x:v>
      </x:c>
      <x:c r="B19" s="6" t="s">
        <x:v>103</x:v>
      </x:c>
      <x:c r="C19" s="6" t="s">
        <x:v>13</x:v>
      </x:c>
      <x:c r="D19" s="7" t="str">
        <x:f xml:space="preserve">HYPERLINK("https://www.infonalia.es/adjudicaciones0126/26002243.pdf","www.infonalia.es/adjudicaciones0126/26002243.pdf")</x:f>
        <x:v>www.infonalia.es/adjudicaciones0126/26002243.pdf</x:v>
      </x:c>
      <x:c r="E19" s="8" t="s">
        <x:v>104</x:v>
      </x:c>
      <x:c r="F19" s="6" t="s">
        <x:v>105</x:v>
      </x:c>
      <x:c r="G19" s="6" t="s">
        <x:v>106</x:v>
      </x:c>
      <x:c r="H19" s="6" t="s">
        <x:v>107</x:v>
      </x:c>
      <x:c r="I19" s="6" t="s">
        <x:v>35</x:v>
      </x:c>
      <x:c r="J19" s="9" t="n">
        <x:v>14787.00</x:v>
      </x:c>
      <x:c r="K19" s="9" t="n">
        <x:v>17298.00</x:v>
      </x:c>
    </x:row>
    <x:row r="20">
      <x:c r="A20" s="6" t="s">
        <x:v>11</x:v>
      </x:c>
      <x:c r="B20" s="6" t="s">
        <x:v>19</x:v>
      </x:c>
      <x:c r="C20" s="6" t="s">
        <x:v>13</x:v>
      </x:c>
      <x:c r="D20" s="7" t="str">
        <x:f xml:space="preserve">HYPERLINK("https://www.infonalia.es/adjudicaciones0126/26002287.pdf","www.infonalia.es/adjudicaciones0126/26002287.pdf")</x:f>
        <x:v>www.infonalia.es/adjudicaciones0126/26002287.pdf</x:v>
      </x:c>
      <x:c r="E20" s="8" t="s">
        <x:v>108</x:v>
      </x:c>
      <x:c r="F20" s="6" t="s">
        <x:v>21</x:v>
      </x:c>
      <x:c r="G20" s="6" t="s">
        <x:v>22</x:v>
      </x:c>
      <x:c r="H20" s="6" t="s">
        <x:v>23</x:v>
      </x:c>
      <x:c r="I20" s="6" t="s">
        <x:v>24</x:v>
      </x:c>
      <x:c r="J20" s="9" t="n">
        <x:v>47595.24</x:v>
      </x:c>
      <x:c r="K20" s="9" t="n">
        <x:v>50000.00</x:v>
      </x:c>
    </x:row>
    <x:row r="21">
      <x:c r="A21" s="6" t="s">
        <x:v>11</x:v>
      </x:c>
      <x:c r="B21" s="6" t="s">
        <x:v>109</x:v>
      </x:c>
      <x:c r="C21" s="6" t="s">
        <x:v>13</x:v>
      </x:c>
      <x:c r="D21" s="7" t="str">
        <x:f xml:space="preserve">HYPERLINK("https://www.infonalia.es/adjudicaciones0126/26002437.pdf","www.infonalia.es/adjudicaciones0126/26002437.pdf")</x:f>
        <x:v>www.infonalia.es/adjudicaciones0126/26002437.pdf</x:v>
      </x:c>
      <x:c r="E21" s="8" t="s">
        <x:v>110</x:v>
      </x:c>
      <x:c r="F21" s="6" t="s">
        <x:v>111</x:v>
      </x:c>
      <x:c r="G21" s="6" t="s">
        <x:v>112</x:v>
      </x:c>
      <x:c r="H21" s="6" t="s">
        <x:v>113</x:v>
      </x:c>
      <x:c r="I21" s="6" t="s">
        <x:v>56</x:v>
      </x:c>
      <x:c r="J21" s="9" t="n">
        <x:v>49880.52</x:v>
      </x:c>
      <x:c r="K21" s="9" t="n">
        <x:v>50000.00</x:v>
      </x:c>
    </x:row>
    <x:row r="22">
      <x:c r="A22" s="6" t="s">
        <x:v>11</x:v>
      </x:c>
      <x:c r="B22" s="6" t="s">
        <x:v>114</x:v>
      </x:c>
      <x:c r="C22" s="6" t="s">
        <x:v>13</x:v>
      </x:c>
      <x:c r="D22" s="7" t="str">
        <x:f xml:space="preserve">HYPERLINK("https://www.infonalia.es/adjudicaciones0126/26002455.pdf","www.infonalia.es/adjudicaciones0126/26002455.pdf")</x:f>
        <x:v>www.infonalia.es/adjudicaciones0126/26002455.pdf</x:v>
      </x:c>
      <x:c r="E22" s="8" t="s">
        <x:v>115</x:v>
      </x:c>
      <x:c r="F22" s="6" t="s">
        <x:v>116</x:v>
      </x:c>
      <x:c r="G22" s="6" t="s">
        <x:v>117</x:v>
      </x:c>
      <x:c r="H22" s="6" t="s">
        <x:v>118</x:v>
      </x:c>
      <x:c r="I22" s="6" t="s">
        <x:v>35</x:v>
      </x:c>
      <x:c r="J22" s="9" t="n">
        <x:v>13223.14</x:v>
      </x:c>
      <x:c r="K22" s="9" t="n">
        <x:v>13223.14</x:v>
      </x:c>
    </x:row>
    <x:row r="23">
      <x:c r="A23" s="6" t="s">
        <x:v>11</x:v>
      </x:c>
      <x:c r="B23" s="6" t="s">
        <x:v>119</x:v>
      </x:c>
      <x:c r="C23" s="6" t="s">
        <x:v>13</x:v>
      </x:c>
      <x:c r="D23" s="7" t="str">
        <x:f xml:space="preserve">HYPERLINK("https://www.infonalia.es/adjudicaciones0126/26002456.pdf","www.infonalia.es/adjudicaciones0126/26002456.pdf")</x:f>
        <x:v>www.infonalia.es/adjudicaciones0126/26002456.pdf</x:v>
      </x:c>
      <x:c r="E23" s="8" t="s">
        <x:v>120</x:v>
      </x:c>
      <x:c r="F23" s="6" t="s">
        <x:v>121</x:v>
      </x:c>
      <x:c r="G23" s="6" t="s">
        <x:v>122</x:v>
      </x:c>
      <x:c r="H23" s="6" t="s">
        <x:v>123</x:v>
      </x:c>
      <x:c r="I23" s="6" t="s">
        <x:v>35</x:v>
      </x:c>
      <x:c r="J23" s="9" t="n">
        <x:v>0.01</x:v>
      </x:c>
      <x:c r="K23" s="9" t="n">
        <x:v>6773.03</x:v>
      </x:c>
    </x:row>
    <x:row r="24">
      <x:c r="A24" s="6" t="s">
        <x:v>11</x:v>
      </x:c>
      <x:c r="B24" s="6" t="s">
        <x:v>124</x:v>
      </x:c>
      <x:c r="C24" s="6" t="s">
        <x:v>13</x:v>
      </x:c>
      <x:c r="D24" s="7" t="str">
        <x:f xml:space="preserve">HYPERLINK("https://www.infonalia.es/adjudicaciones0126/26002473.pdf","www.infonalia.es/adjudicaciones0126/26002473.pdf")</x:f>
        <x:v>www.infonalia.es/adjudicaciones0126/26002473.pdf</x:v>
      </x:c>
      <x:c r="E24" s="8" t="s">
        <x:v>125</x:v>
      </x:c>
      <x:c r="F24" s="6" t="s">
        <x:v>126</x:v>
      </x:c>
      <x:c r="G24" s="6" t="s">
        <x:v>127</x:v>
      </x:c>
      <x:c r="H24" s="6" t="s">
        <x:v>128</x:v>
      </x:c>
      <x:c r="I24" s="6" t="s">
        <x:v>129</x:v>
      </x:c>
      <x:c r="J24" s="9" t="n">
        <x:v>64505.00</x:v>
      </x:c>
      <x:c r="K24" s="9" t="n">
        <x:v>64505.00</x:v>
      </x:c>
    </x:row>
    <x:row r="25">
      <x:c r="A25" s="6" t="s">
        <x:v>11</x:v>
      </x:c>
      <x:c r="B25" s="6" t="s">
        <x:v>57</x:v>
      </x:c>
      <x:c r="C25" s="6" t="s">
        <x:v>13</x:v>
      </x:c>
      <x:c r="D25" s="7" t="str">
        <x:f xml:space="preserve">HYPERLINK("https://www.infonalia.es/adjudicaciones0126/26002501.pdf","www.infonalia.es/adjudicaciones0126/26002501.pdf")</x:f>
        <x:v>www.infonalia.es/adjudicaciones0126/26002501.pdf</x:v>
      </x:c>
      <x:c r="E25" s="8" t="s">
        <x:v>130</x:v>
      </x:c>
      <x:c r="F25" s="6" t="s">
        <x:v>59</x:v>
      </x:c>
      <x:c r="G25" s="6" t="s">
        <x:v>60</x:v>
      </x:c>
      <x:c r="H25" s="6" t="s">
        <x:v>61</x:v>
      </x:c>
      <x:c r="I25" s="6" t="s">
        <x:v>35</x:v>
      </x:c>
      <x:c r="J25" s="9" t="s">
        <x:v>62</x:v>
      </x:c>
      <x:c r="K25" s="9" t="n">
        <x:v>129870.00</x:v>
      </x:c>
    </x:row>
    <x:row r="26">
      <x:c r="A26" s="6" t="s">
        <x:v>11</x:v>
      </x:c>
      <x:c r="B26" s="6" t="s">
        <x:v>131</x:v>
      </x:c>
      <x:c r="C26" s="6" t="s">
        <x:v>13</x:v>
      </x:c>
      <x:c r="D26" s="7" t="str">
        <x:f xml:space="preserve">HYPERLINK("https://www.infonalia.es/adjudicaciones0126/26002507.pdf","www.infonalia.es/adjudicaciones0126/26002507.pdf")</x:f>
        <x:v>www.infonalia.es/adjudicaciones0126/26002507.pdf</x:v>
      </x:c>
      <x:c r="E26" s="8" t="s">
        <x:v>132</x:v>
      </x:c>
      <x:c r="F26" s="6" t="s">
        <x:v>133</x:v>
      </x:c>
      <x:c r="G26" s="6" t="s">
        <x:v>134</x:v>
      </x:c>
      <x:c r="H26" s="6" t="s">
        <x:v>135</x:v>
      </x:c>
      <x:c r="I26" s="6" t="s">
        <x:v>136</x:v>
      </x:c>
      <x:c r="J26" s="9" t="n">
        <x:v>14995.00</x:v>
      </x:c>
      <x:c r="K26" s="9" t="n">
        <x:v>14995.00</x:v>
      </x:c>
    </x:row>
    <x:row r="27">
      <x:c r="A27" s="6" t="s">
        <x:v>11</x:v>
      </x:c>
      <x:c r="B27" s="6" t="s">
        <x:v>137</x:v>
      </x:c>
      <x:c r="C27" s="6" t="s">
        <x:v>13</x:v>
      </x:c>
      <x:c r="D27" s="7" t="str">
        <x:f xml:space="preserve">HYPERLINK("https://www.infonalia.es/adjudicaciones0126/26002511.pdf","www.infonalia.es/adjudicaciones0126/26002511.pdf")</x:f>
        <x:v>www.infonalia.es/adjudicaciones0126/26002511.pdf</x:v>
      </x:c>
      <x:c r="E27" s="8" t="s">
        <x:v>138</x:v>
      </x:c>
      <x:c r="F27" s="6" t="s">
        <x:v>139</x:v>
      </x:c>
      <x:c r="G27" s="6" t="s">
        <x:v>140</x:v>
      </x:c>
      <x:c r="H27" s="6" t="s">
        <x:v>141</x:v>
      </x:c>
      <x:c r="I27" s="6" t="s">
        <x:v>56</x:v>
      </x:c>
      <x:c r="J27" s="9" t="n">
        <x:v>44758.00</x:v>
      </x:c>
      <x:c r="K27" s="9" t="n">
        <x:v>44758.00</x:v>
      </x:c>
    </x:row>
    <x:row r="28">
      <x:c r="A28" s="6" t="s">
        <x:v>11</x:v>
      </x:c>
      <x:c r="B28" s="6" t="s">
        <x:v>142</x:v>
      </x:c>
      <x:c r="C28" s="6" t="s">
        <x:v>13</x:v>
      </x:c>
      <x:c r="D28" s="7" t="str">
        <x:f xml:space="preserve">HYPERLINK("https://www.infonalia.es/adjudicaciones0126/26002604.pdf","www.infonalia.es/adjudicaciones0126/26002604.pdf")</x:f>
        <x:v>www.infonalia.es/adjudicaciones0126/26002604.pdf</x:v>
      </x:c>
      <x:c r="E28" s="8" t="s">
        <x:v>143</x:v>
      </x:c>
      <x:c r="F28" s="6" t="s">
        <x:v>144</x:v>
      </x:c>
      <x:c r="G28" s="6" t="s">
        <x:v>145</x:v>
      </x:c>
      <x:c r="H28" s="6" t="s">
        <x:v>146</x:v>
      </x:c>
      <x:c r="I28" s="6" t="s">
        <x:v>147</x:v>
      </x:c>
      <x:c r="J28" s="9" t="n">
        <x:v>48000.00</x:v>
      </x:c>
      <x:c r="K28" s="9" t="n">
        <x:v>48000.00</x:v>
      </x:c>
    </x:row>
    <x:row r="29">
      <x:c r="A29" s="6" t="s">
        <x:v>11</x:v>
      </x:c>
      <x:c r="B29" s="6" t="s">
        <x:v>148</x:v>
      </x:c>
      <x:c r="C29" s="6" t="s">
        <x:v>13</x:v>
      </x:c>
      <x:c r="D29" s="7" t="str">
        <x:f xml:space="preserve">HYPERLINK("https://www.infonalia.es/adjudicaciones0126/26002712.pdf","www.infonalia.es/adjudicaciones0126/26002712.pdf")</x:f>
        <x:v>www.infonalia.es/adjudicaciones0126/26002712.pdf</x:v>
      </x:c>
      <x:c r="E29" s="8" t="s">
        <x:v>149</x:v>
      </x:c>
      <x:c r="F29" s="6" t="s">
        <x:v>150</x:v>
      </x:c>
      <x:c r="G29" s="6" t="s">
        <x:v>151</x:v>
      </x:c>
      <x:c r="H29" s="6" t="s">
        <x:v>152</x:v>
      </x:c>
      <x:c r="I29" s="6" t="s">
        <x:v>35</x:v>
      </x:c>
      <x:c r="J29" s="9" t="n">
        <x:v>18483.08</x:v>
      </x:c>
      <x:c r="K29" s="9" t="n">
        <x:v>20074.11</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