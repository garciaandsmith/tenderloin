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<x:sst xmlns:x="http://schemas.openxmlformats.org/spreadsheetml/2006/main" count="11" uniqueCount="11">
  <x:si>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</x:si>
  <x:si>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</x:si>
  <x:si>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</x:si>
  <x:si>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</x:si>
  <x:si>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</x:si>
  <x:si>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</x:si>
  <x:si>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</x:si>
  <x:si>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</x:si>
  <x:si>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</x:si>
  <x:si>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</x:si>
  <x:si>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</x:si>
  <x:si>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</x:si>
  <x:si>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PRODUCCIONS CULTURALS TRANSVERSAL, S.L</x:t>
  </x:si>
  <x:si>
    <x:t>22/01/2026 0:00:00</x:t>
  </x:si>
  <x:si>
    <x:t>26008852</x:t>
  </x:si>
  <x:si>
    <x:t>CONSORCI DEL PARC AGRARI DEL BAIX LLOBREGAT</x:t>
  </x:si>
  <x:si>
    <x:t>Producción y montaje de la exposición del “Centro de descubrimiento del Parque Agrario del Baix Llobregat”, enmarcada en la Actuación de Cohesión entre Destinos (ACD) “Catalunya, terra de sabors”, dentro del Plan de recuperación, transformación y resiliencia (PRTR), financiado con Fondo Next Generation EU (NGEU).</x:t>
  </x:si>
  <x:si>
    <x:t>2023/0031364</x:t>
  </x:si>
  <x:si>
    <x:t>Barcelona</x:t>
  </x:si>
  <x:si>
    <x:t>INTERVENTO 2, SL</x:t>
  </x:si>
  <x:si>
    <x:t>26008853</x:t>
  </x:si>
  <x:si>
    <x:t>CENTRO DE CULTURA CONTEMPORÁNEA DE BARCELONA CCCB</x:t>
  </x:si>
  <x:si>
    <x:t>Contrato de suministro para la fabricación y suministro de los elementos expositivos y de montaje y desmontaje de la exposición “EL CULTE A LA BELLESA” que se presentará en el CCCB de mayo a noviembre de 2026. Lote 1 Elementos expositivos. Lote 2 Elementos gráficos.</x:t>
  </x:si>
  <x:si>
    <x:t>CCCB/2025/0005897</x:t>
  </x:si>
  <x:si>
    <x:t>ARUM CONSULTORIA AMBIENTAL SLU</x:t>
  </x:si>
  <x:si>
    <x:t>26008880</x:t>
  </x:si>
  <x:si>
    <x:t>AYUNTAMIENTO DE DOSRIUS (BARCELONA)</x:t>
  </x:si>
  <x:si>
    <x:t>Contrato de servicios para la campaña informativa de la tasa justa vigente para el año 2026 y la actualización de precios según el comportamiento de 2026 de la tasa de 2027</x:t>
  </x:si>
  <x:si>
    <x:t>EXP. 2920/2025</x:t>
  </x:si>
  <x:si>
    <x:t>SMALL MEDIUM LARGE EXTRALARGE BCN</x:t>
  </x:si>
  <x:si>
    <x:t>26008894</x:t>
  </x:si>
  <x:si>
    <x:t>CONSORCI DE L'AUDITORI I L'ORQUESTRA</x:t>
  </x:si>
  <x:si>
    <x:t>Creación y producción de la campaña de publicidad de el auditorio</x:t>
  </x:si>
  <x:si>
    <x:t>081_25000513</x:t>
  </x:si>
  <x:si>
    <x:t>LA FÀBRICA DE SOMBREROS, SL</x:t>
  </x:si>
  <x:si>
    <x:t>26009113</x:t>
  </x:si>
  <x:si>
    <x:t>FOMENT DE CIUTAT SA</x:t>
  </x:si>
  <x:si>
    <x:t>Servicio de gestión de las redes sociales del Plan de Barrios de Foment de Ciutat.</x:t>
  </x:si>
  <x:si>
    <x:t>F240000321</x:t>
  </x:si>
  <x:si>
    <x:t>DISCMEDI, S.A</x:t>
  </x:si>
  <x:si>
    <x:t>26009218</x:t>
  </x:si>
  <x:si>
    <x:t>INSTITUTO DE CULTURA DE BARCELONA</x:t>
  </x:si>
  <x:si>
    <x:t>El objeto del contrato son los servicios de oficina técnica para la gestión de la contratación, logística de viajes y alojamientos del festival Món Llibre, con medidas de contratación pública sostenible.</x:t>
  </x:si>
  <x:si>
    <x:t>006_25001850</x:t>
  </x:si>
  <x:si>
    <x:t>MUUTOS EVOLUTION CONSULTING, S.L.U</x:t>
  </x:si>
  <x:si>
    <x:t>26009220</x:t>
  </x:si>
  <x:si>
    <x:t>AYUNTAMIENTO DE CALAFELL (TARRAGONA)</x:t>
  </x:si>
  <x:si>
    <x:t>Servicio de dinamización del espacio empresarial "Connecta" de VilarencZenit. El objetivo de esta contratación es contar con un servicio profesional especializado en la dinamización del espacio empresarial “Connecta” de VilarencZenit, que asegure la ejecución de actividades, talleres, eventos y otras iniciativas que fomenten la colaboración entre personas emprendedoras y la creación de nuevas oportunidades</x:t>
  </x:si>
  <x:si>
    <x:t>59_2025-CNT</x:t>
  </x:si>
  <x:si>
    <x:t>Tarragona</x:t>
  </x:si>
  <x:si>
    <x:t>Desierto</x:t>
  </x:si>
  <x:si>
    <x:t>DESIERTO</x:t>
  </x:si>
  <x:si>
    <x:t>26009353</x:t>
  </x:si>
  <x:si>
    <x:t>JUNTA DE GOBIERNO DEL AYUNTAMIENTO DE NAVALCARNERO (MADRID)</x:t>
  </x:si>
  <x:si>
    <x:t>Contrato del servicio de gestión y mantenimiento de los once mupis municipales del Ayuntamiento de Navalcarnero (Madrid)</x:t>
  </x:si>
  <x:si>
    <x:t>068SER25</x:t>
  </x:si>
  <x:si>
    <x:t>Madrid</x:t>
  </x:si>
  <x:si>
    <x:t>Ver detalle de la adjudicación</x:t>
  </x:si>
  <x:si>
    <x:t>IMPACT5, S.A</x:t>
  </x:si>
  <x:si>
    <x:t>26009491</x:t>
  </x:si>
  <x:si>
    <x:t>CONSEJO DE ADMINISTRACIÓN DE LA COMPAÑÍA PARA LA GESTIÓN DE RESIDUOS SÓLIDOS EN ASTURIAS S.A</x:t>
  </x:si>
  <x:si>
    <x:t>Servicio de compra de espacios en medios de comunicación y demás soportes publicitarios para la difusión de la recogida separada de biorresiduos, susceptible de ser financiado por la Unión Europea - Next Generation EU - En el Marco del Plan de Recuperación, Transformación y Resiliencia</x:t>
  </x:si>
  <x:si>
    <x:t>80/2025</x:t>
  </x:si>
  <x:si>
    <x:t>Asturias</x:t>
  </x:si>
  <x:si>
    <x:t>PROGOURMET SA</x:t>
  </x:si>
  <x:si>
    <x:t>26009529</x:t>
  </x:si>
  <x:si>
    <x:t>PRESIDENCIA DE LA DIPUTACIÓN PROVINCIAL DE GUADALAJARA</x:t>
  </x:si>
  <x:si>
    <x:t>Alquiler de espacio para montaje de stand en Salón Gourmet 2026</x:t>
  </x:si>
  <x:si>
    <x:t>CPR.2/26</x:t>
  </x:si>
  <x:si>
    <x:t>Guadalajara</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</x:si>
</x:sst>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HYPERLINK("https://www.infonalia.es/adjudicaciones0126/26008852.pdf","www.infonalia.es/adjudicaciones0126/26008852.pdf")</x:f>
        <x:v>www.infonalia.es/adjudicaciones0126/26008852.pdf</x:v>
      </x:c>
      <x:c r="E2" s="8" t="s">
        <x:v>14</x:v>
      </x:c>
      <x:c r="F2" s="6" t="s">
        <x:v>15</x:v>
      </x:c>
      <x:c r="G2" s="6" t="s">
        <x:v>16</x:v>
      </x:c>
      <x:c r="H2" s="6" t="s">
        <x:v>17</x:v>
      </x:c>
      <x:c r="I2" s="6" t="s">
        <x:v>18</x:v>
      </x:c>
      <x:c r="J2" s="9" t="n">
        <x:v>274713.82</x:v>
      </x:c>
      <x:c r="K2" s="9" t="n">
        <x:v>305237.58</x:v>
      </x:c>
    </x:row>
    <x:row r="3">
      <x:c r="A3" s="6" t="s">
        <x:v>11</x:v>
      </x:c>
      <x:c r="B3" s="6" t="s">
        <x:v>19</x:v>
      </x:c>
      <x:c r="C3" s="6" t="s">
        <x:v>13</x:v>
      </x:c>
      <x:c r="D3" s="7" t="str">
        <x:f xml:space="preserve">HYPERLINK("https://www.infonalia.es/adjudicaciones0126/26008853.pdf","www.infonalia.es/adjudicaciones0126/26008853.pdf")</x:f>
        <x:v>www.infonalia.es/adjudicaciones0126/26008853.pdf</x:v>
      </x:c>
      <x:c r="E3" s="8" t="s">
        <x:v>20</x:v>
      </x:c>
      <x:c r="F3" s="6" t="s">
        <x:v>21</x:v>
      </x:c>
      <x:c r="G3" s="6" t="s">
        <x:v>22</x:v>
      </x:c>
      <x:c r="H3" s="6" t="s">
        <x:v>23</x:v>
      </x:c>
      <x:c r="I3" s="6" t="s">
        <x:v>18</x:v>
      </x:c>
      <x:c r="J3" s="9" t="n">
        <x:v>16811.20</x:v>
      </x:c>
      <x:c r="K3" s="9" t="n">
        <x:v>182500.00</x:v>
      </x:c>
    </x:row>
    <x:row r="4">
      <x:c r="A4" s="6" t="s">
        <x:v>11</x:v>
      </x:c>
      <x:c r="B4" s="6" t="s">
        <x:v>24</x:v>
      </x:c>
      <x:c r="C4" s="6" t="s">
        <x:v>13</x:v>
      </x:c>
      <x:c r="D4" s="7" t="str">
        <x:f xml:space="preserve">HYPERLINK("https://www.infonalia.es/adjudicaciones0126/26008880.pdf","www.infonalia.es/adjudicaciones0126/26008880.pdf")</x:f>
        <x:v>www.infonalia.es/adjudicaciones0126/26008880.pdf</x:v>
      </x:c>
      <x:c r="E4" s="8" t="s">
        <x:v>25</x:v>
      </x:c>
      <x:c r="F4" s="6" t="s">
        <x:v>26</x:v>
      </x:c>
      <x:c r="G4" s="6" t="s">
        <x:v>27</x:v>
      </x:c>
      <x:c r="H4" s="6" t="s">
        <x:v>28</x:v>
      </x:c>
      <x:c r="I4" s="6" t="s">
        <x:v>18</x:v>
      </x:c>
      <x:c r="J4" s="9" t="n">
        <x:v>17900.00</x:v>
      </x:c>
      <x:c r="K4" s="9" t="n">
        <x:v>19750.00</x:v>
      </x:c>
    </x:row>
    <x:row r="5">
      <x:c r="A5" s="6" t="s">
        <x:v>11</x:v>
      </x:c>
      <x:c r="B5" s="6" t="s">
        <x:v>29</x:v>
      </x:c>
      <x:c r="C5" s="6" t="s">
        <x:v>13</x:v>
      </x:c>
      <x:c r="D5" s="7" t="str">
        <x:f xml:space="preserve">HYPERLINK("https://www.infonalia.es/adjudicaciones0126/26008894.pdf","www.infonalia.es/adjudicaciones0126/26008894.pdf")</x:f>
        <x:v>www.infonalia.es/adjudicaciones0126/26008894.pdf</x:v>
      </x:c>
      <x:c r="E5" s="8" t="s">
        <x:v>30</x:v>
      </x:c>
      <x:c r="F5" s="6" t="s">
        <x:v>31</x:v>
      </x:c>
      <x:c r="G5" s="6" t="s">
        <x:v>32</x:v>
      </x:c>
      <x:c r="H5" s="6" t="s">
        <x:v>33</x:v>
      </x:c>
      <x:c r="I5" s="6" t="s">
        <x:v>18</x:v>
      </x:c>
      <x:c r="J5" s="9" t="n">
        <x:v>95000.00</x:v>
      </x:c>
      <x:c r="K5" s="9" t="n">
        <x:v>95000.00</x:v>
      </x:c>
    </x:row>
    <x:row r="6">
      <x:c r="A6" s="6" t="s">
        <x:v>11</x:v>
      </x:c>
      <x:c r="B6" s="6" t="s">
        <x:v>34</x:v>
      </x:c>
      <x:c r="C6" s="6" t="s">
        <x:v>13</x:v>
      </x:c>
      <x:c r="D6" s="7" t="str">
        <x:f xml:space="preserve">HYPERLINK("https://www.infonalia.es/adjudicaciones0126/26009113.pdf","www.infonalia.es/adjudicaciones0126/26009113.pdf")</x:f>
        <x:v>www.infonalia.es/adjudicaciones0126/26009113.pdf</x:v>
      </x:c>
      <x:c r="E6" s="8" t="s">
        <x:v>35</x:v>
      </x:c>
      <x:c r="F6" s="6" t="s">
        <x:v>36</x:v>
      </x:c>
      <x:c r="G6" s="6" t="s">
        <x:v>37</x:v>
      </x:c>
      <x:c r="H6" s="6" t="s">
        <x:v>38</x:v>
      </x:c>
      <x:c r="I6" s="6" t="s">
        <x:v>18</x:v>
      </x:c>
      <x:c r="J6" s="9" t="n">
        <x:v>40020.32</x:v>
      </x:c>
      <x:c r="K6" s="9" t="n">
        <x:v>47237.76</x:v>
      </x:c>
    </x:row>
    <x:row r="7">
      <x:c r="A7" s="6" t="s">
        <x:v>11</x:v>
      </x:c>
      <x:c r="B7" s="6" t="s">
        <x:v>39</x:v>
      </x:c>
      <x:c r="C7" s="6" t="s">
        <x:v>13</x:v>
      </x:c>
      <x:c r="D7" s="7" t="str">
        <x:f xml:space="preserve">HYPERLINK("https://www.infonalia.es/adjudicaciones0126/26009218.pdf","www.infonalia.es/adjudicaciones0126/26009218.pdf")</x:f>
        <x:v>www.infonalia.es/adjudicaciones0126/26009218.pdf</x:v>
      </x:c>
      <x:c r="E7" s="8" t="s">
        <x:v>40</x:v>
      </x:c>
      <x:c r="F7" s="6" t="s">
        <x:v>41</x:v>
      </x:c>
      <x:c r="G7" s="6" t="s">
        <x:v>42</x:v>
      </x:c>
      <x:c r="H7" s="6" t="s">
        <x:v>43</x:v>
      </x:c>
      <x:c r="I7" s="6" t="s">
        <x:v>18</x:v>
      </x:c>
      <x:c r="J7" s="9" t="n">
        <x:v>165870.67</x:v>
      </x:c>
      <x:c r="K7" s="9" t="n">
        <x:v>170036.03</x:v>
      </x:c>
    </x:row>
    <x:row r="8">
      <x:c r="A8" s="6" t="s">
        <x:v>11</x:v>
      </x:c>
      <x:c r="B8" s="6" t="s">
        <x:v>44</x:v>
      </x:c>
      <x:c r="C8" s="6" t="s">
        <x:v>13</x:v>
      </x:c>
      <x:c r="D8" s="7" t="str">
        <x:f xml:space="preserve">HYPERLINK("https://www.infonalia.es/adjudicaciones0126/26009220.pdf","www.infonalia.es/adjudicaciones0126/26009220.pdf")</x:f>
        <x:v>www.infonalia.es/adjudicaciones0126/26009220.pdf</x:v>
      </x:c>
      <x:c r="E8" s="8" t="s">
        <x:v>45</x:v>
      </x:c>
      <x:c r="F8" s="6" t="s">
        <x:v>46</x:v>
      </x:c>
      <x:c r="G8" s="6" t="s">
        <x:v>47</x:v>
      </x:c>
      <x:c r="H8" s="6" t="s">
        <x:v>48</x:v>
      </x:c>
      <x:c r="I8" s="6" t="s">
        <x:v>49</x:v>
      </x:c>
      <x:c r="J8" s="9" t="n">
        <x:v>7400.00</x:v>
      </x:c>
      <x:c r="K8" s="9" t="n">
        <x:v>8600.00</x:v>
      </x:c>
    </x:row>
    <x:row r="9">
      <x:c r="A9" s="6" t="s">
        <x:v>50</x:v>
      </x:c>
      <x:c r="B9" s="6" t="s">
        <x:v>51</x:v>
      </x:c>
      <x:c r="C9" s="6" t="s">
        <x:v>13</x:v>
      </x:c>
      <x:c r="D9" s="7" t="str">
        <x:f xml:space="preserve">HYPERLINK("https://www.infonalia.es/adjudicaciones0126/26009353.pdf","www.infonalia.es/adjudicaciones0126/26009353.pdf")</x:f>
        <x:v>www.infonalia.es/adjudicaciones0126/26009353.pdf</x:v>
      </x:c>
      <x:c r="E9" s="8" t="s">
        <x:v>52</x:v>
      </x:c>
      <x:c r="F9" s="6" t="s">
        <x:v>53</x:v>
      </x:c>
      <x:c r="G9" s="6" t="s">
        <x:v>54</x:v>
      </x:c>
      <x:c r="H9" s="6" t="s">
        <x:v>55</x:v>
      </x:c>
      <x:c r="I9" s="6" t="s">
        <x:v>56</x:v>
      </x:c>
      <x:c r="J9" s="9" t="s">
        <x:v>57</x:v>
      </x:c>
      <x:c r="K9" s="9" t="n">
        <x:v>14450.00</x:v>
      </x:c>
    </x:row>
    <x:row r="10">
      <x:c r="A10" s="6" t="s">
        <x:v>11</x:v>
      </x:c>
      <x:c r="B10" s="6" t="s">
        <x:v>58</x:v>
      </x:c>
      <x:c r="C10" s="6" t="s">
        <x:v>13</x:v>
      </x:c>
      <x:c r="D10" s="7" t="str">
        <x:f xml:space="preserve">HYPERLINK("https://www.infonalia.es/adjudicaciones0126/26009491.pdf","www.infonalia.es/adjudicaciones0126/26009491.pdf")</x:f>
        <x:v>www.infonalia.es/adjudicaciones0126/26009491.pdf</x:v>
      </x:c>
      <x:c r="E10" s="8" t="s">
        <x:v>59</x:v>
      </x:c>
      <x:c r="F10" s="6" t="s">
        <x:v>60</x:v>
      </x:c>
      <x:c r="G10" s="6" t="s">
        <x:v>61</x:v>
      </x:c>
      <x:c r="H10" s="6" t="s">
        <x:v>62</x:v>
      </x:c>
      <x:c r="I10" s="6" t="s">
        <x:v>63</x:v>
      </x:c>
      <x:c r="J10" s="9" t="n">
        <x:v>150000.00</x:v>
      </x:c>
      <x:c r="K10" s="9" t="n">
        <x:v>150000.00</x:v>
      </x:c>
    </x:row>
    <x:row r="11">
      <x:c r="A11" s="6" t="s">
        <x:v>11</x:v>
      </x:c>
      <x:c r="B11" s="6" t="s">
        <x:v>64</x:v>
      </x:c>
      <x:c r="C11" s="6" t="s">
        <x:v>13</x:v>
      </x:c>
      <x:c r="D11" s="7" t="str">
        <x:f xml:space="preserve">HYPERLINK("https://www.infonalia.es/adjudicaciones0126/26009529.pdf","www.infonalia.es/adjudicaciones0126/26009529.pdf")</x:f>
        <x:v>www.infonalia.es/adjudicaciones0126/26009529.pdf</x:v>
      </x:c>
      <x:c r="E11" s="8" t="s">
        <x:v>65</x:v>
      </x:c>
      <x:c r="F11" s="6" t="s">
        <x:v>66</x:v>
      </x:c>
      <x:c r="G11" s="6" t="s">
        <x:v>67</x:v>
      </x:c>
      <x:c r="H11" s="6" t="s">
        <x:v>68</x:v>
      </x:c>
      <x:c r="I11" s="6" t="s">
        <x:v>69</x:v>
      </x:c>
      <x:c r="J11" s="9" t="n">
        <x:v>42942.00</x:v>
      </x:c>
      <x:c r="K11" s="9" t="n">
        <x:v>42942.00</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