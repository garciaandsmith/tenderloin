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<x:sst xmlns:x="http://schemas.openxmlformats.org/spreadsheetml/2006/main" count="17" uniqueCount="17">
  <x:si>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</x:si>
  <x:si>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</x:si>
  <x:si>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</x:si>
  <x:si>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</x:si>
  <x:si>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</x:si>
  <x:si>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</x:si>
  <x:si>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</x:si>
  <x:si>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</x:si>
  <x:si>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</x:si>
  <x:si>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</x:si>
  <x:si>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</x:si>
  <x:si>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</x:si>
  <x:si>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</x:si>
  <x:si>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</x:si>
  <x:si>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</x:si>
  <x:si>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</x:si>
  <x:si>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</x:si>
  <x:si>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</x:si>
  <x:si>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</x:si>
  <x:si>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19/11/2025</x:t>
  </x:si>
  <x:si>
    <x:t>2025156049</x:t>
  </x:si>
  <x:si>
    <x:t>05/11/2025</x:t>
  </x:si>
  <x:si>
    <x:t>TECNOLOGÍAS Y SERVICIOS AGRARIOS S.A.,S.M.E., M.P., (TRAGSATEC)</x:t>
  </x:si>
  <x:si>
    <x:t>Contratación del servicio de diseño gráfico y comunicación visual del proyecto LIFE IP RBMP DUERO.</x:t>
  </x:si>
  <x:si>
    <x:t>TEC0006856</x:t>
  </x:si>
  <x:si>
    <x:t>Importe sin impuestos</x:t>
  </x:si>
  <x:si>
    <x:t/>
  </x:si>
  <x:si>
    <x:t>-----</x:t>
  </x:si>
  <x:si>
    <x:t>04/11/2025</x:t>
  </x:si>
  <x:si>
    <x:t/>
  </x:si>
  <x:si>
    <x:t>Ver pliegos</x:t>
  </x:si>
  <x:si>
    <x:t>2025156054</x:t>
  </x:si>
  <x:si>
    <x:t>AYUNTAMIENTO DE BARCELONA</x:t>
  </x:si>
  <x:si>
    <x:t>Servicios para la producción de fotografías y materiales audiovisuales necesarios para el Departamento de Comunicación de Economía y Recursos del Ayuntamiento de Barcelona.</x:t>
  </x:si>
  <x:si>
    <x:t>001_25002221</x:t>
  </x:si>
  <x:si>
    <x:t/>
  </x:si>
  <x:si>
    <x:t>Barcelona</x:t>
  </x:si>
  <x:si>
    <x:t>2025156071</x:t>
  </x:si>
  <x:si>
    <x:t>XARXA AUDIOVISUAL LOCAL, SL</x:t>
  </x:si>
  <x:si>
    <x:t>Es objeto del presente pliego la de una empresa o profesional que lleve a cabo la labor comercial de la Red Audiovisual Local (XAL) en coordinación con las televisiones y radios adheridas en el ámbito de la publicidad de alcance nacional contratada por la XAL que ejecuten en los respectivos ámbitos locales.</x:t>
  </x:si>
  <x:si>
    <x:t>42/2025 XAL/2025/0040984</x:t>
  </x:si>
  <x:si>
    <x:t/>
  </x:si>
  <x:si>
    <x:t>2025156097</x:t>
  </x:si>
  <x:si>
    <x:t>FUNDACIÓN ESTATAL PARA LA FORMACIÓN EN EL EMPLEO, F.S.P</x:t>
  </x:si>
  <x:si>
    <x:t>Contratación de los servicios necesarios para la organización y celebración de 19 jornadas temáticas en distintos sectores de actividad.</x:t>
  </x:si>
  <x:si>
    <x:t>2025/3120014327/345</x:t>
  </x:si>
  <x:si>
    <x:t/>
  </x:si>
  <x:si>
    <x:t>Madrid</x:t>
  </x:si>
  <x:si>
    <x:t>18/11/2025</x:t>
  </x:si>
  <x:si>
    <x:t>2025156163</x:t>
  </x:si>
  <x:si>
    <x:t>CONSELL COMARCAL DEL PALLARS SOBIRÀ (LLEIDA)</x:t>
  </x:si>
  <x:si>
    <x:t>Contrato de diseño y desarrollo de una campaña de marketing de cicloturismo, dentro del Plan de Recuperación, Transformación y Resiliencia, financiado por los Fondos Next Generation EU.</x:t>
  </x:si>
  <x:si>
    <x:t>1035/2025</x:t>
  </x:si>
  <x:si>
    <x:t/>
  </x:si>
  <x:si>
    <x:t>Lleida</x:t>
  </x:si>
  <x:si>
    <x:t>2025156197</x:t>
  </x:si>
  <x:si>
    <x:t>AYUNTAMIENTO DE PALAU-SOLITÀ I PLEGAMANS (BARCELONA)</x:t>
  </x:si>
  <x:si>
    <x:t>Servicio de organización, coordinación, programación, gestión y realización del Mercado Medieval de Palau-solità y Plegamans que se celebra en el entorno del Castillo de Plegamans, del Parque de Can Linares y las calles adyacentes (Calle de Sant Lluís, Calle Camino de la Sierra y Calle Castell)</x:t>
  </x:si>
  <x:si>
    <x:t>2025/47-11930</x:t>
  </x:si>
  <x:si>
    <x:t/>
  </x:si>
  <x:si>
    <x:t>Catalunya - Plataforma de Contratación</x:t>
  </x:si>
  <x:si>
    <x:t>12/11/2025</x:t>
  </x:si>
  <x:si>
    <x:t>2025156562</x:t>
  </x:si>
  <x:si>
    <x:t>AYUNTAMIENTO DE CALAFELL (TARRAGONA)</x:t>
  </x:si>
  <x:si>
    <x:t>Suministro y servicio de colocación y retirada de distinto material publicitario de las campañas comerciales de promoción económica hasta final de año</x:t>
  </x:si>
  <x:si>
    <x:t>65_2025-CNT Menor</x:t>
  </x:si>
  <x:si>
    <x:t>IVA excluido</x:t>
  </x:si>
  <x:si>
    <x:t/>
  </x:si>
  <x:si>
    <x:t/>
  </x:si>
  <x:si>
    <x:t>Tarragona</x:t>
  </x:si>
  <x:si>
    <x:t>IFEMA - Institución Ferial de Madrid</x:t>
  </x:si>
  <x:si>
    <x:t>2025156589</x:t>
  </x:si>
  <x:si>
    <x:t>IFEMA - INSTITUCIÓN FERIAL DE MADRID</x:t>
  </x:si>
  <x:si>
    <x:t>Servicio de agencia creativa para el desarrollo del posicionamiento y la plataforma creativa que sitúe a Madrid como destino turístico de alto valor en mercados a largo radio.</x:t>
  </x:si>
  <x:si>
    <x:t>25/193</x:t>
  </x:si>
  <x:si>
    <x:t/>
  </x:si>
  <x:si>
    <x:t/>
  </x:si>
  <x:si>
    <x:t>07/11/2025</x:t>
  </x:si>
  <x:si>
    <x:t>2025156678</x:t>
  </x:si>
  <x:si>
    <x:t>JUNTA DE GOBIERNO DEL AYUNTAMIENTO DE ALCOBENDAS (MADRID)</x:t>
  </x:si>
  <x:si>
    <x:t>Servicio de cronometraje con chip desechable, gestión de inscripciones y transmisión de resultados en tiempo real durante la celebración del Cross Internacional de la Constitución – Alcobendas 2025</x:t>
  </x:si>
  <x:si>
    <x:t>CM/2025/4110/0685</x:t>
  </x:si>
  <x:si>
    <x:t/>
  </x:si>
  <x:si>
    <x:t>06/11/2025</x:t>
  </x:si>
  <x:si>
    <x:t>2025156712</x:t>
  </x:si>
  <x:si>
    <x:t>JUNTA DE GOBIERNO DEL AYUNTAMIENTO DE FUENGIROLA (MÁLAGA)</x:t>
  </x:si>
  <x:si>
    <x:t>Contrato de promoción de Fuengirola como destino turístico con publicidad exterior en pantallas y mupis en Finlandia.</x:t>
  </x:si>
  <x:si>
    <x:t>MEN-2025000277</x:t>
  </x:si>
  <x:si>
    <x:t/>
  </x:si>
  <x:si>
    <x:t>Finlandia</x:t>
  </x:si>
  <x:si>
    <x:t>24/11/2025</x:t>
  </x:si>
  <x:si>
    <x:t>2025156858</x:t>
  </x:si>
  <x:si>
    <x:t>COMITÉ CENTRAL DE COMPRAS DE NAVANTIA S.A., S.M.E.</x:t>
  </x:si>
  <x:si>
    <x:t>Gestión Redes Sociales Navantia Seanergies</x:t>
  </x:si>
  <x:si>
    <x:t>2025-10-30 Gestión RRSS Seanergies</x:t>
  </x:si>
  <x:si>
    <x:t/>
  </x:si>
  <x:si>
    <x:t>DOUE - Diario Oficial de la Unión Europea (S)</x:t>
  </x:si>
  <x:si>
    <x:t>12/01/2026</x:t>
  </x:si>
  <x:si>
    <x:t>2025156954</x:t>
  </x:si>
  <x:si>
    <x:t>THE EUROPEAN JOINT UNDERTAKING FOR ITER AND THE DEVELOPMENT OF FUSION ENERGY ('FUSION FOR ENERGY')</x:t>
  </x:si>
  <x:si>
    <x:t>Servicios de Monitoreo y Análisis de Medios
. Servicios de apoyo especializados en el campo del monitoreo y análisis de medios 
proporcionando a F4E artículos relevantes en los medios y menciones recopiladas, tanto cuantitativa como 
cualitativamente analizadas.</x:t>
  </x:si>
  <x:si>
    <x:t>F4E-AFC-1849</x:t>
  </x:si>
  <x:si>
    <x:t>IVA Excluido.</x:t>
  </x:si>
  <x:si>
    <x:t/>
  </x:si>
  <x:si>
    <x:t>212</x:t>
  </x:si>
  <x:si>
    <x:t/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</x:si>
</x:sst>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60220.00</x:v>
      </x:c>
      <x:c r="J2" s="11" t="s">
        <x:v>25</x:v>
      </x:c>
      <x:c r="K2" s="11" t="s">
        <x:v>26</x:v>
      </x:c>
      <x:c r="L2" s="12" t="str">
        <x:f xml:space="preserve">HYPERLINK("https://contrataciondelestado.es/wps/poc?uri=deeplink:detalle_licitacion&amp;idEvl=V05kdWkUf%2FtrhBlEHQFSKA%3D%3D","contrataciondelestado.es/wps/poc?uri=deeplink:detalle_licitacion&amp;idEvl=V05kdWkUf%2FtrhBlEHQFSKA%3D%3D")</x:f>
        <x:v>contrataciondelestado.es/wps/poc?uri=deeplink:detalle_licitacion&amp;idEvl=V05kdWkUf%2FtrhBlEHQFSKA%3D%3D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HYPERLINK("https://www.infonalia.es/licitaciones1125/2025156049.pdf","www.infonalia.es/licitaciones1125/2025156049.pdf")</x:f>
        <x:v>www.infonalia.es/licitaciones1125/2025156049.pdf</x:v>
      </x:c>
    </x:row>
    <x:row r="3">
      <x:c r="A3" s="6" t="s">
        <x:v>17</x:v>
      </x:c>
      <x:c r="B3" s="6" t="s">
        <x:v>18</x:v>
      </x:c>
      <x:c r="C3" s="7" t="s">
        <x:v>19</x:v>
      </x:c>
      <x:c r="D3" s="8" t="s">
        <x:v>31</x:v>
      </x:c>
      <x:c r="E3" s="9" t="s">
        <x:v>21</x:v>
      </x:c>
      <x:c r="F3" s="6" t="s">
        <x:v>32</x:v>
      </x:c>
      <x:c r="G3" s="6" t="s">
        <x:v>33</x:v>
      </x:c>
      <x:c r="H3" s="6" t="s">
        <x:v>34</x:v>
      </x:c>
      <x:c r="I3" s="10" t="n">
        <x:v>96000.00</x:v>
      </x:c>
      <x:c r="J3" s="11" t="s">
        <x:v>25</x:v>
      </x:c>
      <x:c r="K3" s="11" t="s">
        <x:v>26</x:v>
      </x:c>
      <x:c r="L3" s="12" t="str">
        <x:f xml:space="preserve">HYPERLINK("https://contractaciopublica.cat/ca/detall-publicacio/915b5da8-978c-4f03-b6a8-ed2ec8e35c05/300607952","contractaciopublica.cat/ca/detall-publicacio/915b5da8-978c-4f03-b6a8-ed2ec8e35c05/300607952")</x:f>
        <x:v>contractaciopublica.cat/ca/detall-publicacio/915b5da8-978c-4f03-b6a8-ed2ec8e35c05/300607952</x:v>
      </x:c>
      <x:c r="M3" s="11" t="s">
        <x:v>27</x:v>
      </x:c>
      <x:c r="N3" s="13" t="s">
        <x:v>28</x:v>
      </x:c>
      <x:c r="O3" s="11" t="s">
        <x:v>35</x:v>
      </x:c>
      <x:c r="P3" s="11" t="s">
        <x:v>36</x:v>
      </x:c>
      <x:c r="Q3" s="14" t="str">
        <x:f xml:space="preserve">HYPERLINK("https://www.infonalia.es/licitaciones1125/2025156054.pdf","www.infonalia.es/licitaciones1125/2025156054.pdf")</x:f>
        <x:v>www.infonalia.es/licitaciones1125/2025156054.pdf</x:v>
      </x:c>
    </x:row>
    <x:row r="4">
      <x:c r="A4" s="6" t="s">
        <x:v>17</x:v>
      </x:c>
      <x:c r="B4" s="6" t="s">
        <x:v>18</x:v>
      </x:c>
      <x:c r="C4" s="7" t="s">
        <x:v>19</x:v>
      </x:c>
      <x:c r="D4" s="8" t="s">
        <x:v>37</x:v>
      </x:c>
      <x:c r="E4" s="9" t="s">
        <x:v>21</x:v>
      </x:c>
      <x:c r="F4" s="6" t="s">
        <x:v>38</x:v>
      </x:c>
      <x:c r="G4" s="6" t="s">
        <x:v>39</x:v>
      </x:c>
      <x:c r="H4" s="6" t="s">
        <x:v>40</x:v>
      </x:c>
      <x:c r="I4" s="10" t="n">
        <x:v>108400.00</x:v>
      </x:c>
      <x:c r="J4" s="11" t="s">
        <x:v>25</x:v>
      </x:c>
      <x:c r="K4" s="11" t="s">
        <x:v>26</x:v>
      </x:c>
      <x:c r="L4" s="12" t="str">
        <x:f xml:space="preserve">HYPERLINK("https://contractaciopublica.cat/ca/detall-publicacio/78ea343c-7f45-49dd-99be-e68336118f7f/300608091","contractaciopublica.cat/ca/detall-publicacio/78ea343c-7f45-49dd-99be-e68336118f7f/300608091")</x:f>
        <x:v>contractaciopublica.cat/ca/detall-publicacio/78ea343c-7f45-49dd-99be-e68336118f7f/300608091</x:v>
      </x:c>
      <x:c r="M4" s="11" t="s">
        <x:v>27</x:v>
      </x:c>
      <x:c r="N4" s="13" t="s">
        <x:v>28</x:v>
      </x:c>
      <x:c r="O4" s="11" t="s">
        <x:v>41</x:v>
      </x:c>
      <x:c r="P4" s="11" t="s">
        <x:v>36</x:v>
      </x:c>
      <x:c r="Q4" s="14" t="str">
        <x:f xml:space="preserve">HYPERLINK("https://www.infonalia.es/licitaciones1125/2025156071.pdf","www.infonalia.es/licitaciones1125/2025156071.pdf")</x:f>
        <x:v>www.infonalia.es/licitaciones1125/2025156071.pdf</x:v>
      </x:c>
    </x:row>
    <x:row r="5">
      <x:c r="A5" s="6" t="s">
        <x:v>17</x:v>
      </x:c>
      <x:c r="B5" s="6" t="s">
        <x:v>18</x:v>
      </x:c>
      <x:c r="C5" s="7" t="s">
        <x:v>19</x:v>
      </x:c>
      <x:c r="D5" s="8" t="s">
        <x:v>42</x:v>
      </x:c>
      <x:c r="E5" s="9" t="s">
        <x:v>21</x:v>
      </x:c>
      <x:c r="F5" s="6" t="s">
        <x:v>43</x:v>
      </x:c>
      <x:c r="G5" s="6" t="s">
        <x:v>44</x:v>
      </x:c>
      <x:c r="H5" s="6" t="s">
        <x:v>45</x:v>
      </x:c>
      <x:c r="I5" s="10" t="n">
        <x:v>150000.00</x:v>
      </x:c>
      <x:c r="J5" s="11" t="s">
        <x:v>25</x:v>
      </x:c>
      <x:c r="K5" s="11" t="s">
        <x:v>26</x:v>
      </x:c>
      <x:c r="L5" s="12" t="str">
        <x:f xml:space="preserve">HYPERLINK("https://contrataciondelestado.es/wps/poc?uri=deeplink:detalle_licitacion&amp;idEvl=f0xeYL1swMWKeVWTb9Scog%3D%3D","contrataciondelestado.es/wps/poc?uri=deeplink:detalle_licitacion&amp;idEvl=f0xeYL1swMWKeVWTb9Scog%3D%3D")</x:f>
        <x:v>contrataciondelestado.es/wps/poc?uri=deeplink:detalle_licitacion&amp;idEvl=f0xeYL1swMWKeVWTb9Scog%3D%3D</x:v>
      </x:c>
      <x:c r="M5" s="11" t="s">
        <x:v>27</x:v>
      </x:c>
      <x:c r="N5" s="13" t="s">
        <x:v>28</x:v>
      </x:c>
      <x:c r="O5" s="11" t="s">
        <x:v>46</x:v>
      </x:c>
      <x:c r="P5" s="11" t="s">
        <x:v>47</x:v>
      </x:c>
      <x:c r="Q5" s="14" t="str">
        <x:f xml:space="preserve">HYPERLINK("https://www.infonalia.es/licitaciones1125/2025156097.pdf","www.infonalia.es/licitaciones1125/2025156097.pdf")</x:f>
        <x:v>www.infonalia.es/licitaciones1125/2025156097.pdf</x:v>
      </x:c>
    </x:row>
    <x:row r="6">
      <x:c r="A6" s="6" t="s">
        <x:v>17</x:v>
      </x:c>
      <x:c r="B6" s="6" t="s">
        <x:v>18</x:v>
      </x:c>
      <x:c r="C6" s="7" t="s">
        <x:v>48</x:v>
      </x:c>
      <x:c r="D6" s="8" t="s">
        <x:v>49</x:v>
      </x:c>
      <x:c r="E6" s="9" t="s">
        <x:v>21</x:v>
      </x:c>
      <x:c r="F6" s="6" t="s">
        <x:v>50</x:v>
      </x:c>
      <x:c r="G6" s="6" t="s">
        <x:v>51</x:v>
      </x:c>
      <x:c r="H6" s="6" t="s">
        <x:v>52</x:v>
      </x:c>
      <x:c r="I6" s="10" t="n">
        <x:v>28087.19</x:v>
      </x:c>
      <x:c r="J6" s="11" t="s">
        <x:v>25</x:v>
      </x:c>
      <x:c r="K6" s="11" t="s">
        <x:v>26</x:v>
      </x:c>
      <x:c r="L6" s="12" t="str">
        <x:f xml:space="preserve">HYPERLINK("https://contractaciopublica.cat/ca/detall-publicacio/26f707ad-d07d-48de-a3bd-8df14bbd7a4f/300607687","contractaciopublica.cat/ca/detall-publicacio/26f707ad-d07d-48de-a3bd-8df14bbd7a4f/300607687")</x:f>
        <x:v>contractaciopublica.cat/ca/detall-publicacio/26f707ad-d07d-48de-a3bd-8df14bbd7a4f/300607687</x:v>
      </x:c>
      <x:c r="M6" s="11" t="s">
        <x:v>27</x:v>
      </x:c>
      <x:c r="N6" s="13" t="s">
        <x:v>28</x:v>
      </x:c>
      <x:c r="O6" s="11" t="s">
        <x:v>53</x:v>
      </x:c>
      <x:c r="P6" s="11" t="s">
        <x:v>54</x:v>
      </x:c>
      <x:c r="Q6" s="14" t="str">
        <x:f xml:space="preserve">HYPERLINK("https://www.infonalia.es/licitaciones1125/2025156163.pdf","www.infonalia.es/licitaciones1125/2025156163.pdf")</x:f>
        <x:v>www.infonalia.es/licitaciones1125/2025156163.pdf</x:v>
      </x:c>
    </x:row>
    <x:row r="7">
      <x:c r="A7" s="6" t="s">
        <x:v>17</x:v>
      </x:c>
      <x:c r="B7" s="6" t="s">
        <x:v>18</x:v>
      </x:c>
      <x:c r="C7" s="7" t="s">
        <x:v>19</x:v>
      </x:c>
      <x:c r="D7" s="8" t="s">
        <x:v>55</x:v>
      </x:c>
      <x:c r="E7" s="9" t="s">
        <x:v>21</x:v>
      </x:c>
      <x:c r="F7" s="6" t="s">
        <x:v>56</x:v>
      </x:c>
      <x:c r="G7" s="6" t="s">
        <x:v>57</x:v>
      </x:c>
      <x:c r="H7" s="6" t="s">
        <x:v>58</x:v>
      </x:c>
      <x:c r="I7" s="10" t="n">
        <x:v>14644.00</x:v>
      </x:c>
      <x:c r="J7" s="11" t="s">
        <x:v>25</x:v>
      </x:c>
      <x:c r="K7" s="11" t="s">
        <x:v>26</x:v>
      </x:c>
      <x:c r="L7" s="12" t="str">
        <x:f xml:space="preserve">HYPERLINK("https://contractaciopublica.cat/ca/detall-publicacio/b824ab44-39df-4073-940c-4f83c546858f/300603741","contractaciopublica.cat/ca/detall-publicacio/b824ab44-39df-4073-940c-4f83c546858f/300603741")</x:f>
        <x:v>contractaciopublica.cat/ca/detall-publicacio/b824ab44-39df-4073-940c-4f83c546858f/300603741</x:v>
      </x:c>
      <x:c r="M7" s="11" t="s">
        <x:v>27</x:v>
      </x:c>
      <x:c r="N7" s="13" t="s">
        <x:v>28</x:v>
      </x:c>
      <x:c r="O7" s="11" t="s">
        <x:v>59</x:v>
      </x:c>
      <x:c r="P7" s="11" t="s">
        <x:v>36</x:v>
      </x:c>
      <x:c r="Q7" s="14" t="str">
        <x:f xml:space="preserve">HYPERLINK("https://www.infonalia.es/licitaciones1125/2025156197.pdf","www.infonalia.es/licitaciones1125/2025156197.pdf")</x:f>
        <x:v>www.infonalia.es/licitaciones1125/2025156197.pdf</x:v>
      </x:c>
    </x:row>
    <x:row r="8">
      <x:c r="A8" s="6" t="s">
        <x:v>17</x:v>
      </x:c>
      <x:c r="B8" s="6" t="s">
        <x:v>60</x:v>
      </x:c>
      <x:c r="C8" s="7" t="s">
        <x:v>61</x:v>
      </x:c>
      <x:c r="D8" s="8" t="s">
        <x:v>62</x:v>
      </x:c>
      <x:c r="E8" s="9" t="s">
        <x:v>21</x:v>
      </x:c>
      <x:c r="F8" s="6" t="s">
        <x:v>63</x:v>
      </x:c>
      <x:c r="G8" s="6" t="s">
        <x:v>64</x:v>
      </x:c>
      <x:c r="H8" s="6" t="s">
        <x:v>65</x:v>
      </x:c>
      <x:c r="I8" s="10" t="n">
        <x:v>10500.00</x:v>
      </x:c>
      <x:c r="J8" s="11" t="s">
        <x:v>66</x:v>
      </x:c>
      <x:c r="K8" s="11" t="s">
        <x:v>67</x:v>
      </x:c>
      <x:c r="L8" s="12" t="str">
        <x:f xml:space="preserve">HYPERLINK("https://contractaciopublica.cat/es/detall-publicacio/300607635","contractaciopublica.cat/es/detall-publicacio/300607635")</x:f>
        <x:v>contractaciopublica.cat/es/detall-publicacio/300607635</x:v>
      </x:c>
      <x:c r="M8" s="11" t="s">
        <x:v>27</x:v>
      </x:c>
      <x:c r="N8" s="13" t="s">
        <x:v>21</x:v>
      </x:c>
      <x:c r="O8" s="11" t="s">
        <x:v>68</x:v>
      </x:c>
      <x:c r="P8" s="11" t="s">
        <x:v>69</x:v>
      </x:c>
      <x:c r="Q8" s="14" t="str">
        <x:f xml:space="preserve">HYPERLINK("https://www.infonalia.es/licitaciones1125/2025156562.pdf","www.infonalia.es/licitaciones1125/2025156562.pdf")</x:f>
        <x:v>www.infonalia.es/licitaciones1125/2025156562.pdf</x:v>
      </x:c>
    </x:row>
    <x:row r="9">
      <x:c r="A9" s="6" t="s">
        <x:v>17</x:v>
      </x:c>
      <x:c r="B9" s="6" t="s">
        <x:v>70</x:v>
      </x:c>
      <x:c r="C9" s="7" t="s">
        <x:v>19</x:v>
      </x:c>
      <x:c r="D9" s="8" t="s">
        <x:v>71</x:v>
      </x:c>
      <x:c r="E9" s="9" t="s">
        <x:v>21</x:v>
      </x:c>
      <x:c r="F9" s="6" t="s">
        <x:v>72</x:v>
      </x:c>
      <x:c r="G9" s="6" t="s">
        <x:v>73</x:v>
      </x:c>
      <x:c r="H9" s="6" t="s">
        <x:v>74</x:v>
      </x:c>
      <x:c r="I9" s="10" t="n">
        <x:v>3482602.53</x:v>
      </x:c>
      <x:c r="J9" s="11" t="s">
        <x:v>25</x:v>
      </x:c>
      <x:c r="K9" s="11" t="s">
        <x:v>75</x:v>
      </x:c>
      <x:c r="L9" s="12" t="str">
        <x:f xml:space="preserve">HYPERLINK("https://licitaciones2.ifema.es/licitacion/licitaciones/detalle?id=3009715","licitaciones2.ifema.es/licitacion/licitaciones/detalle?id=3009715")</x:f>
        <x:v>licitaciones2.ifema.es/licitacion/licitaciones/detalle?id=3009715</x:v>
      </x:c>
      <x:c r="M9" s="11" t="s">
        <x:v>27</x:v>
      </x:c>
      <x:c r="N9" s="13" t="s">
        <x:v>28</x:v>
      </x:c>
      <x:c r="O9" s="11" t="s">
        <x:v>76</x:v>
      </x:c>
      <x:c r="P9" s="11" t="s">
        <x:v>47</x:v>
      </x:c>
      <x:c r="Q9" s="14" t="str">
        <x:f xml:space="preserve">HYPERLINK("https://www.infonalia.es/licitaciones1125/2025156589.pdf","www.infonalia.es/licitaciones1125/2025156589.pdf")</x:f>
        <x:v>www.infonalia.es/licitaciones1125/2025156589.pdf</x:v>
      </x:c>
    </x:row>
    <x:row r="10">
      <x:c r="A10" s="6" t="s">
        <x:v>17</x:v>
      </x:c>
      <x:c r="B10" s="6" t="s">
        <x:v>18</x:v>
      </x:c>
      <x:c r="C10" s="7" t="s">
        <x:v>77</x:v>
      </x:c>
      <x:c r="D10" s="8" t="s">
        <x:v>78</x:v>
      </x:c>
      <x:c r="E10" s="9" t="s">
        <x:v>21</x:v>
      </x:c>
      <x:c r="F10" s="6" t="s">
        <x:v>79</x:v>
      </x:c>
      <x:c r="G10" s="6" t="s">
        <x:v>80</x:v>
      </x:c>
      <x:c r="H10" s="6" t="s">
        <x:v>81</x:v>
      </x:c>
      <x:c r="I10" s="10" t="n">
        <x:v>1900.00</x:v>
      </x:c>
      <x:c r="J10" s="11" t="s">
        <x:v>25</x:v>
      </x:c>
      <x:c r="K10" s="11" t="s">
        <x:v>26</x:v>
      </x:c>
      <x:c r="L10" s="12" t="str">
        <x:f xml:space="preserve">HYPERLINK("https://contrataciondelestado.es/wps/poc?uri=deeplink:detalle_licitacion&amp;idEvl=Lf%2BHFIHQJyPVGIpKDxgsAQ%3D%3D","contrataciondelestado.es/wps/poc?uri=deeplink:detalle_licitacion&amp;idEvl=Lf%2BHFIHQJyPVGIpKDxgsAQ%3D%3D")</x:f>
        <x:v>contrataciondelestado.es/wps/poc?uri=deeplink:detalle_licitacion&amp;idEvl=Lf%2BHFIHQJyPVGIpKDxgsAQ%3D%3D</x:v>
      </x:c>
      <x:c r="M10" s="11" t="s">
        <x:v>27</x:v>
      </x:c>
      <x:c r="N10" s="13" t="s">
        <x:v>28</x:v>
      </x:c>
      <x:c r="O10" s="11" t="s">
        <x:v>82</x:v>
      </x:c>
      <x:c r="P10" s="11" t="s">
        <x:v>47</x:v>
      </x:c>
      <x:c r="Q10" s="14" t="str">
        <x:f xml:space="preserve">HYPERLINK("https://www.infonalia.es/licitaciones1125/2025156678.pdf","www.infonalia.es/licitaciones1125/2025156678.pdf")</x:f>
        <x:v>www.infonalia.es/licitaciones1125/2025156678.pdf</x:v>
      </x:c>
    </x:row>
    <x:row r="11">
      <x:c r="A11" s="6" t="s">
        <x:v>17</x:v>
      </x:c>
      <x:c r="B11" s="6" t="s">
        <x:v>18</x:v>
      </x:c>
      <x:c r="C11" s="7" t="s">
        <x:v>83</x:v>
      </x:c>
      <x:c r="D11" s="8" t="s">
        <x:v>84</x:v>
      </x:c>
      <x:c r="E11" s="9" t="s">
        <x:v>21</x:v>
      </x:c>
      <x:c r="F11" s="6" t="s">
        <x:v>85</x:v>
      </x:c>
      <x:c r="G11" s="6" t="s">
        <x:v>86</x:v>
      </x:c>
      <x:c r="H11" s="6" t="s">
        <x:v>87</x:v>
      </x:c>
      <x:c r="I11" s="10" t="n">
        <x:v>14900.00</x:v>
      </x:c>
      <x:c r="J11" s="11" t="s">
        <x:v>25</x:v>
      </x:c>
      <x:c r="K11" s="11" t="s">
        <x:v>26</x:v>
      </x:c>
      <x:c r="L11" s="12" t="str">
        <x:f xml:space="preserve">HYPERLINK("https://contrataciondelestado.es/wps/poc?uri=deeplink:detalle_licitacion&amp;idEvl=XT4jCid2c9tSYrkJkLlFdw%3D%3D","contrataciondelestado.es/wps/poc?uri=deeplink:detalle_licitacion&amp;idEvl=XT4jCid2c9tSYrkJkLlFdw%3D%3D")</x:f>
        <x:v>contrataciondelestado.es/wps/poc?uri=deeplink:detalle_licitacion&amp;idEvl=XT4jCid2c9tSYrkJkLlFdw%3D%3D</x:v>
      </x:c>
      <x:c r="M11" s="11" t="s">
        <x:v>27</x:v>
      </x:c>
      <x:c r="N11" s="13" t="s">
        <x:v>28</x:v>
      </x:c>
      <x:c r="O11" s="11" t="s">
        <x:v>88</x:v>
      </x:c>
      <x:c r="P11" s="11" t="s">
        <x:v>89</x:v>
      </x:c>
      <x:c r="Q11" s="14" t="str">
        <x:f xml:space="preserve">HYPERLINK("https://www.infonalia.es/licitaciones1125/2025156712.pdf","www.infonalia.es/licitaciones1125/2025156712.pdf")</x:f>
        <x:v>www.infonalia.es/licitaciones1125/2025156712.pdf</x:v>
      </x:c>
    </x:row>
    <x:row r="12">
      <x:c r="A12" s="6" t="s">
        <x:v>17</x:v>
      </x:c>
      <x:c r="B12" s="6" t="s">
        <x:v>18</x:v>
      </x:c>
      <x:c r="C12" s="7" t="s">
        <x:v>90</x:v>
      </x:c>
      <x:c r="D12" s="8" t="s">
        <x:v>91</x:v>
      </x:c>
      <x:c r="E12" s="9" t="s">
        <x:v>21</x:v>
      </x:c>
      <x:c r="F12" s="6" t="s">
        <x:v>92</x:v>
      </x:c>
      <x:c r="G12" s="6" t="s">
        <x:v>93</x:v>
      </x:c>
      <x:c r="H12" s="6" t="s">
        <x:v>94</x:v>
      </x:c>
      <x:c r="I12" s="10" t="n">
        <x:v>35000.00</x:v>
      </x:c>
      <x:c r="J12" s="11" t="s">
        <x:v>25</x:v>
      </x:c>
      <x:c r="K12" s="11" t="s">
        <x:v>26</x:v>
      </x:c>
      <x:c r="L12" s="12" t="str">
        <x:f xml:space="preserve">HYPERLINK("https://contrataciondelestado.es/wps/poc?uri=deeplink:detalle_licitacion&amp;idEvl=3V6x4O%2B2zn%2BKeVWTb9Scog%3D%3D","contrataciondelestado.es/wps/poc?uri=deeplink:detalle_licitacion&amp;idEvl=3V6x4O%2B2zn%2BKeVWTb9Scog%3D%3D")</x:f>
        <x:v>contrataciondelestado.es/wps/poc?uri=deeplink:detalle_licitacion&amp;idEvl=3V6x4O%2B2zn%2BKeVWTb9Scog%3D%3D</x:v>
      </x:c>
      <x:c r="M12" s="11" t="s">
        <x:v>27</x:v>
      </x:c>
      <x:c r="N12" s="13" t="s">
        <x:v>21</x:v>
      </x:c>
      <x:c r="O12" s="11" t="s">
        <x:v>95</x:v>
      </x:c>
      <x:c r="P12" s="11" t="s">
        <x:v>47</x:v>
      </x:c>
      <x:c r="Q12" s="14" t="str">
        <x:f xml:space="preserve">HYPERLINK("https://www.infonalia.es/licitaciones1125/2025156858.pdf","www.infonalia.es/licitaciones1125/2025156858.pdf")</x:f>
        <x:v>www.infonalia.es/licitaciones1125/2025156858.pdf</x:v>
      </x:c>
    </x:row>
    <x:row r="13">
      <x:c r="A13" s="6" t="s">
        <x:v>17</x:v>
      </x:c>
      <x:c r="B13" s="6" t="s">
        <x:v>96</x:v>
      </x:c>
      <x:c r="C13" s="7" t="s">
        <x:v>97</x:v>
      </x:c>
      <x:c r="D13" s="8" t="s">
        <x:v>98</x:v>
      </x:c>
      <x:c r="E13" s="9" t="s">
        <x:v>21</x:v>
      </x:c>
      <x:c r="F13" s="6" t="s">
        <x:v>99</x:v>
      </x:c>
      <x:c r="G13" s="6" t="s">
        <x:v>100</x:v>
      </x:c>
      <x:c r="H13" s="6" t="s">
        <x:v>101</x:v>
      </x:c>
      <x:c r="I13" s="10" t="n">
        <x:v>400000.00</x:v>
      </x:c>
      <x:c r="J13" s="11" t="s">
        <x:v>102</x:v>
      </x:c>
      <x:c r="K13" s="11" t="s">
        <x:v>103</x:v>
      </x:c>
      <x:c r="L13" s="12" t="str">
        <x:f xml:space="preserve">HYPERLINK("https://industryportal.f4e.europa.eu/f4ecalls","industryportal.f4e.europa.eu/f4ecalls")</x:f>
        <x:v>industryportal.f4e.europa.eu/f4ecalls</x:v>
      </x:c>
      <x:c r="M13" s="11" t="s">
        <x:v>104</x:v>
      </x:c>
      <x:c r="N13" s="13" t="s">
        <x:v>28</x:v>
      </x:c>
      <x:c r="O13" s="11" t="s">
        <x:v>105</x:v>
      </x:c>
      <x:c r="P13" s="11" t="s">
        <x:v>30</x:v>
      </x:c>
      <x:c r="Q13" s="14" t="str">
        <x:f xml:space="preserve">HYPERLINK("https://www.infonalia.es/licitaciones1125/2025156954.pdf","www.infonalia.es/licitaciones1125/2025156954.pdf")</x:f>
        <x:v>www.infonalia.es/licitaciones1125/2025156954.pdf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