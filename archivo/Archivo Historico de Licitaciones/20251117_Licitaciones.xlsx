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<x:sst xmlns:x="http://schemas.openxmlformats.org/spreadsheetml/2006/main" count="17" uniqueCount="17">
  <x:si>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</x:si>
  <x:si>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</x:si>
  <x:si>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</x:si>
  <x:si>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</x:si>
  <x:si>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</x:si>
  <x:si>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</x:si>
  <x:si>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</x:si>
  <x:si>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</x:si>
  <x:si>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</x:si>
  <x:si>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</x:si>
  <x:si>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</x:si>
  <x:si>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</x:si>
  <x:si>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</x:si>
  <x:si>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</x:si>
  <x:si>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</x:si>
  <x:si>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</x:si>
  <x:si>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</x:si>
  <x:si>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</x:si>
  <x:si>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</x:si>
  <x:si>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17/12/2025</x:t>
  </x:si>
  <x:si>
    <x:t>2025162884</x:t>
  </x:si>
  <x:si>
    <x:t>17/11/2025</x:t>
  </x:si>
  <x:si>
    <x:t>CONSEJERO DELEGADO DE INGENIERÍA DE SISTEMAS PARA LA DEFENSA DE ESPAÑA S.A., S.M.E. Y M.P</x:t>
  </x:si>
  <x:si>
    <x:t>Contratación de apoyo a la seguridad operacional y aseguramiento del software de los sistemas de comunicaciones para la navegación aérea.</x:t>
  </x:si>
  <x:si>
    <x:t>2025-01744</x:t>
  </x:si>
  <x:si>
    <x:t>Importe sin impuestos</x:t>
  </x:si>
  <x:si>
    <x:t/>
  </x:si>
  <x:si>
    <x:t>-----</x:t>
  </x:si>
  <x:si>
    <x:t>16/11/2025</x:t>
  </x:si>
  <x:si>
    <x:t/>
  </x:si>
  <x:si>
    <x:t>Madrid</x:t>
  </x:si>
  <x:si>
    <x:t>31/12/2026</x:t>
  </x:si>
  <x:si>
    <x:t>2025162940</x:t>
  </x:si>
  <x:si>
    <x:t>PRESIDENCIA DEL CONSEJO DE ADMINISTRACIÓN DEL HIPÓDROMO DE LA ZARZUELA, S.A., S.M.E</x:t>
  </x:si>
  <x:si>
    <x:t>Homologación de Comerciales externos para Hipódromo de la Zarzuela, S.A., S.M.E</x:t>
  </x:si>
  <x:si>
    <x:t>2025/HOMOLOGACIÓN COMERCIALES</x:t>
  </x:si>
  <x:si>
    <x:t>Ver pliegos</x:t>
  </x:si>
  <x:si>
    <x:t>14/11/2025</x:t>
  </x:si>
  <x:si>
    <x:t/>
  </x:si>
  <x:si>
    <x:t>15/12/2025</x:t>
  </x:si>
  <x:si>
    <x:t>2025162949</x:t>
  </x:si>
  <x:si>
    <x:t>PROMOTORA D'EXPORTACIONS CATALANES, SA (PRODECA)</x:t>
  </x:si>
  <x:si>
    <x:t>Servicio de diseño, montaje, desmontaje, mantenimiento y supervisión de los stands que conforman los pabellones de Cataluña en la Feria Alimentaria 2026, y del servicio de concejalía, producción y programación de cocina en directo del espacio Catalonia HUB e Intercarn. Lote 1 Stands Alimentaria 2026. Lote 2 Cocina en directo Alimentaria 2026.</x:t>
  </x:si>
  <x:si>
    <x:t>PRODECA-2026-3</x:t>
  </x:si>
  <x:si>
    <x:t/>
  </x:si>
  <x:si>
    <x:t>Barcelona</x:t>
  </x:si>
  <x:si>
    <x:t>01/12/2025</x:t>
  </x:si>
  <x:si>
    <x:t>2025162959</x:t>
  </x:si>
  <x:si>
    <x:t>CONSEJO DE ADMINISTRACIÓN DE ICEX ESPAÑA EXPORTACIÓN E INVERSIONES, E.P.E</x:t>
  </x:si>
  <x:si>
    <x:t>Servicios para la realización y producción de tres fashion films (dividido en 3 lotes). Lote 1: Producción del fashion film 2: audiovisual y moda. Lote 2: Producción del fashion film 2: audiovisual y música. Lote 3: Producción del fashion film 3: audiovisual y hábitat.</x:t>
  </x:si>
  <x:si>
    <x:t>197/2025</x:t>
  </x:si>
  <x:si>
    <x:t/>
  </x:si>
  <x:si>
    <x:t>28/11/2025</x:t>
  </x:si>
  <x:si>
    <x:t>2025162966</x:t>
  </x:si>
  <x:si>
    <x:t>ALCALDÍA DEL AYUNTAMIENTO DE HUMANES DE MADRID (MADRID)</x:t>
  </x:si>
  <x:si>
    <x:t>Servicio de distribución de publicaciones y campañas informativas del Ayuntamiento de Humanes de Madrid</x:t>
  </x:si>
  <x:si>
    <x:t>3314/2025</x:t>
  </x:si>
  <x:si>
    <x:t/>
  </x:si>
  <x:si>
    <x:t>2025162980</x:t>
  </x:si>
  <x:si>
    <x:t>AYUNTAMIENTO DE GAVÀ (BARCELONA)</x:t>
  </x:si>
  <x:si>
    <x:t>Contratación del servicio de diseño, gestión y producción del evento de la Noche de la Pagesia</x:t>
  </x:si>
  <x:si>
    <x:t>DC SERV 58_25</x:t>
  </x:si>
  <x:si>
    <x:t/>
  </x:si>
  <x:si>
    <x:t>2025163052</x:t>
  </x:si>
  <x:si>
    <x:t>Contratación de servicios de comunicación y relaciones públicas para la realización de una campaña de branded content.</x:t>
  </x:si>
  <x:si>
    <x:t>195/2025</x:t>
  </x:si>
  <x:si>
    <x:t/>
  </x:si>
  <x:si>
    <x:t>2025163110</x:t>
  </x:si>
  <x:si>
    <x:t>CONSORCIO PARA LA FORMACIÓN CONTINUA DE CATALUNYA</x:t>
  </x:si>
  <x:si>
    <x:t>Servicio de producción de vídeos promocionales del Consorcio para la Formación Continua</x:t>
  </x:si>
  <x:si>
    <x:t>004/26</x:t>
  </x:si>
  <x:si>
    <x:t/>
  </x:si>
  <x:si>
    <x:t>Catalunya</x:t>
  </x:si>
  <x:si>
    <x:t>2025163126</x:t>
  </x:si>
  <x:si>
    <x:t>RECTORADO DE LA UNIVERSIDAD AUTÓNOMA DE MADRID</x:t>
  </x:si>
  <x:si>
    <x:t>Servicio para la producción de contenido multimedia de calidad (vídeo/fotografía) para la Universidad Autónoma de Madrid (UAM) por precios unitarios</x:t>
  </x:si>
  <x:si>
    <x:t>A-11/26</x:t>
  </x:si>
  <x:si>
    <x:t/>
  </x:si>
  <x:si>
    <x:t>2025163148</x:t>
  </x:si>
  <x:si>
    <x:t>JUNTA DE GOBIERNO DEL AYUNTAMIENTO DE TORREVIEJA (ALICANTE)</x:t>
  </x:si>
  <x:si>
    <x:t>Contratación de la organización de desfile de comparsas del Carnaval de Torrevieja en Madrid, mediante tramitación anticipada de gasto, por urgencia.</x:t>
  </x:si>
  <x:si>
    <x:t>93165/2025</x:t>
  </x:si>
  <x:si>
    <x:t/>
  </x:si>
  <x:si>
    <x:t>2025163200</x:t>
  </x:si>
  <x:si>
    <x:t>JUNTA DE GOBIERNO DEL AYUNTAMIENTO DE MÓSTOLES (MADRID)</x:t>
  </x:si>
  <x:si>
    <x:t>Servicios de apoyo fotográfico al departamento de comunicación del Ayuntamiento de Móstoles.</x:t>
  </x:si>
  <x:si>
    <x:t>C048/CON/2025-118</x:t>
  </x:si>
  <x:si>
    <x:t/>
  </x:si>
  <x:si>
    <x:t>2025163271</x:t>
  </x:si>
  <x:si>
    <x:t>AYUNTAMIENTO DE BARBERÀ DEL VALLÈS (BARCELONA)</x:t>
  </x:si>
  <x:si>
    <x:t>Contratación de los servicios para la elaboración y ejecución de la campaña de acciones por el lanzamiento de la marca de ciudad del municipio de Barberà del Vallès que figura en el cuadro de características anexo (Anexo 1). En la licitación y ejecución del contrato regirán, además de la normativa legal aplicable, el Pliego de cláusulas administrativas particulares y el Pliego de prescripciones técnicas (PPT) (Anexo 2)</x:t>
  </x:si>
  <x:si>
    <x:t>N774250028</x:t>
  </x:si>
  <x:si>
    <x:t/>
  </x:si>
  <x:si>
    <x:t>Asturias - Plataforma de Contratación</x:t>
  </x:si>
  <x:si>
    <x:t>18/11/2025</x:t>
  </x:si>
  <x:si>
    <x:t>2025163390</x:t>
  </x:si>
  <x:si>
    <x:t>PRINCIPADO DE ASTURIAS. CONSEJERÍA DE PRESIDENCIA, RETO DEMOGRÁFICO, IGUALDAD Y TURISMO</x:t>
  </x:si>
  <x:si>
    <x:t>El servicio de planificación, compra y gestión de medios para la difusión de un vídeo que, con motivo
del segundo aniversario del hito, pone de manifiesto la importancia de la llegada de la alta velocidad
a Asturias. El servicio incluirá la elaboración de la planificación de medios, la compra de espacios, la
gestión técnica de las inserciones y la entrega de los comprobantes de emisión orrespondientes.</x:t>
  </x:si>
  <x:si>
    <x:t>CONP/2025/11268</x:t>
  </x:si>
  <x:si>
    <x:t>IVA excluido</x:t>
  </x:si>
  <x:si>
    <x:t/>
  </x:si>
  <x:si>
    <x:t>13/11/2025</x:t>
  </x:si>
  <x:si>
    <x:t/>
  </x:si>
  <x:si>
    <x:t>Asturias</x:t>
  </x:si>
  <x:si>
    <x:t>Catalunya - Plataforma de Contratación</x:t>
  </x:si>
  <x:si>
    <x:t>2025163393</x:t>
  </x:si>
  <x:si>
    <x:t>AGENCIA CATALANA DE TURISMO</x:t>
  </x:si>
  <x:si>
    <x:t>Servicio de promoción del enoturismo a través de las Rutas del Vino de Catalunya, en el marco del Plan de Recuperación, Transformación y Resiliencia, financiado por la Unión Europea con los fondos Next Generation EU</x:t>
  </x:si>
  <x:si>
    <x:t>ACT-2026-8</x:t>
  </x:si>
  <x:si>
    <x:t/>
  </x:si>
  <x:si>
    <x:t/>
  </x:si>
  <x:si>
    <x:t>Catalunya </x:t>
  </x:si>
  <x:si>
    <x:t>2025163426</x:t>
  </x:si>
  <x:si>
    <x:t>Servicio de promoción del enoturismo a través de las Rutas del Vino de Cataluña, en el marco del Plan de Recuperación, Transformación y Resiliencia, financiado por la Unión Europea con los fondos Next Generation EU. El objeto del contrato deriva del proyecto estatal Plan Territorial de Sostenibilidad Turística y, en concreto, de la Actuación de Cohesión entre Destinos (ACD) “Cataluña, Tierra de sabores”, aprobado dentro del Plan de Recuperación, Transformación y Resiliencia, financiado por la Unión Europea en el marco de los fondos Next Generation EU, para la consecución digitalización del tejido industrial y de la pyme, recuperación del turismo e impulso en una España nación emprendedora" y, concretamente en el Componente 14 "Plan de modernización y competitividad del sector turístico", Inversión 1 "Transformación del modelo hacia la sostenibilidad". Se enmarca en el Plan Nacional de Turismo Enogastronómico y pretende definir un modelo de turismo enogastronómico regenerativo, slow e innovador, que permita promover Cataluña como destino turístico con identidad estructurando una oferta de valor que sea atractiva, competitiva y se base en el modelo 4D (desestacionalización, diversificación, descongestión y gasto) y. La actuación de la ACD Terra de Sabors que enmarca el objeto del contrato es la actuación 24 del Eje 4. COMPETITIVIDAD, que está relacionada con la Mejora de la competitividad de la oferta actual de las rutas del vino de Cataluña. Esta licitación se divide en los siguientes lotes: - Lote 1: Estructuración de producto Rutas del Vino a nivel de Cataluña. - Lote 2: Elaboración de contenidos sobre las Rutas del Vino de Cataluña para poder promocionarlos. - Lote 3: Puesta en valor de las Rutas del Vino de Cataluña para sensibilizar a residentes y turistas</x:t>
  </x:si>
  <x:si>
    <x:t>ACT-2026-8 ANUNCIO PREVIO</x:t>
  </x:si>
  <x:si>
    <x:t>No consta</x:t>
  </x:si>
  <x:si>
    <x:t/>
  </x:si>
  <x:si>
    <x:t>20/11/2025</x:t>
  </x:si>
  <x:si>
    <x:t>2025163469</x:t>
  </x:si>
  <x:si>
    <x:t>CONCEJAL DE CONTRATACIÓN DEL AYUNTAMIENTO DE PINTO (MADRID)</x:t>
  </x:si>
  <x:si>
    <x:t>Servicios de asistencia técnica para la conmemoración de la Día Internacional del Voluntariado 2025.</x:t>
  </x:si>
  <x:si>
    <x:t>2025/20418</x:t>
  </x:si>
  <x:si>
    <x:t/>
  </x:si>
  <x:si>
    <x:t>21/11/2025</x:t>
  </x:si>
  <x:si>
    <x:t>2025163499</x:t>
  </x:si>
  <x:si>
    <x:t>ALCALDÍA DEL AYUNTAMIENTO DE LANGREO (ASTURIAS)</x:t>
  </x:si>
  <x:si>
    <x:t>Servicio de consultoría y asistencia técnica para la elaboración del Plan Estratégico de Turismo Langreo 2030.</x:t>
  </x:si>
  <x:si>
    <x:t>CTu/CME/084/2025</x:t>
  </x:si>
  <x:si>
    <x:t/>
  </x:si>
  <x:si>
    <x:t>2025163551</x:t>
  </x:si>
  <x:si>
    <x:t>CONSEJO RECTOR DEL INSTITUTO MUNICIPAL DE TURISMO DE CÓRDOBA (IMTUR)</x:t>
  </x:si>
  <x:si>
    <x:t>Servicio de secretaria Técnica para la organización de contactos profesionales en FITUR 2026</x:t>
  </x:si>
  <x:si>
    <x:t>022/2025</x:t>
  </x:si>
  <x:si>
    <x:t/>
  </x:si>
  <x:si>
    <x:t>02/12/2025</x:t>
  </x:si>
  <x:si>
    <x:t>2025163586</x:t>
  </x:si>
  <x:si>
    <x:t>JUNTA DE GOBIERNO DEL AYUNTAMIENTO DE MIERES (ASTURIAS)</x:t>
  </x:si>
  <x:si>
    <x:t>Servicio de Eventos Ganaderos 2026. Lote 1: Concurso anual de ganado. Lote 2: Certamen del caballo de silla "Montaña Central"</x:t>
  </x:si>
  <x:si>
    <x:t>2025/13722</x:t>
  </x:si>
  <x:si>
    <x:t/>
  </x:si>
  <x:si>
    <x:t>2025163610</x:t>
  </x:si>
  <x:si>
    <x:t>93162/2025</x:t>
  </x:si>
  <x:si>
    <x:t/>
  </x:si>
  <x:si>
    <x:t>DOUE - Diario Oficial de la Unión Europea (S)</x:t>
  </x:si>
  <x:si>
    <x:t>2025163676</x:t>
  </x:si>
  <x:si>
    <x:t>Campaña de publicidad sobre las deducciones fiscales autonómicas a las que se pueden acoger los ciudadanos de la comunidad autónoma durante las campañas de la renta 2025 y 2026. Lote 1 Diseño de la creatividad, producción y planificación de la estrategia de comunicación. Lote 2 Plan de medios de la campaña de publicidad institucional</x:t>
  </x:si>
  <x:si>
    <x:t>Anuncio previo</x:t>
  </x:si>
  <x:si>
    <x:t>220</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</x:si>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</x:sst>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70000.00</x:v>
      </x:c>
      <x:c r="J2" s="11" t="s">
        <x:v>25</x:v>
      </x:c>
      <x:c r="K2" s="11" t="s">
        <x:v>26</x:v>
      </x:c>
      <x:c r="L2" s="12" t="str">
        <x:f xml:space="preserve">HYPERLINK("https://contrataciondelestado.es/wps/poc?uri=deeplink:detalle_licitacion&amp;idEvl=Y26qfHDrFCrpxJFXpLZ%2B2A%3D%3D","contrataciondelestado.es/wps/poc?uri=deeplink:detalle_licitacion&amp;idEvl=Y26qfHDrFCrpxJFXpLZ%2B2A%3D%3D")</x:f>
        <x:v>contrataciondelestado.es/wps/poc?uri=deeplink:detalle_licitacion&amp;idEvl=Y26qfHDrFCrpxJFXpLZ%2B2A%3D%3D</x:v>
      </x:c>
      <x:c r="M2" s="11" t="s">
        <x:v>27</x:v>
      </x:c>
      <x:c r="N2" s="13" t="s">
        <x:v>28</x:v>
      </x:c>
      <x:c r="O2" s="11" t="s">
        <x:v>29</x:v>
      </x:c>
      <x:c r="P2" s="11" t="s">
        <x:v>30</x:v>
      </x:c>
      <x:c r="Q2" s="14" t="str">
        <x:f xml:space="preserve">HYPERLINK("https://www.infonalia.es/licitaciones1125/2025162884.pdf","www.infonalia.es/licitaciones1125/2025162884.pdf")</x:f>
        <x:v>www.infonalia.es/licitaciones1125/2025162884.pdf</x:v>
      </x:c>
    </x:row>
    <x:row r="3">
      <x:c r="A3" s="6" t="s">
        <x:v>17</x:v>
      </x:c>
      <x:c r="B3" s="6" t="s">
        <x:v>18</x:v>
      </x:c>
      <x:c r="C3" s="7" t="s">
        <x:v>31</x:v>
      </x:c>
      <x:c r="D3" s="8" t="s">
        <x:v>32</x:v>
      </x:c>
      <x:c r="E3" s="9" t="s">
        <x:v>21</x:v>
      </x:c>
      <x:c r="F3" s="6" t="s">
        <x:v>33</x:v>
      </x:c>
      <x:c r="G3" s="6" t="s">
        <x:v>34</x:v>
      </x:c>
      <x:c r="H3" s="6" t="s">
        <x:v>35</x:v>
      </x:c>
      <x:c r="I3" s="10"/>
      <x:c r="J3" s="11" t="s">
        <x:v>36</x:v>
      </x:c>
      <x:c r="K3" s="11" t="s">
        <x:v>26</x:v>
      </x:c>
      <x:c r="L3" s="12" t="str">
        <x:f xml:space="preserve">HYPERLINK("https://contrataciondelestado.es/wps/poc?uri=deeplink:detalle_licitacion&amp;idEvl=xoXhR0nr%2F2y2gkLQ8TeYKA%3D%3D","contrataciondelestado.es/wps/poc?uri=deeplink:detalle_licitacion&amp;idEvl=xoXhR0nr%2F2y2gkLQ8TeYKA%3D%3D")</x:f>
        <x:v>contrataciondelestado.es/wps/poc?uri=deeplink:detalle_licitacion&amp;idEvl=xoXhR0nr%2F2y2gkLQ8TeYKA%3D%3D</x:v>
      </x:c>
      <x:c r="M3" s="11" t="s">
        <x:v>27</x:v>
      </x:c>
      <x:c r="N3" s="13" t="s">
        <x:v>37</x:v>
      </x:c>
      <x:c r="O3" s="11" t="s">
        <x:v>38</x:v>
      </x:c>
      <x:c r="P3" s="11" t="s">
        <x:v>30</x:v>
      </x:c>
      <x:c r="Q3" s="14" t="str">
        <x:f xml:space="preserve">HYPERLINK("https://www.infonalia.es/licitaciones1125/2025162940.pdf","www.infonalia.es/licitaciones1125/2025162940.pdf")</x:f>
        <x:v>www.infonalia.es/licitaciones1125/2025162940.pdf</x:v>
      </x:c>
    </x:row>
    <x:row r="4">
      <x:c r="A4" s="6" t="s">
        <x:v>17</x:v>
      </x:c>
      <x:c r="B4" s="6" t="s">
        <x:v>18</x:v>
      </x:c>
      <x:c r="C4" s="7" t="s">
        <x:v>39</x:v>
      </x:c>
      <x:c r="D4" s="8" t="s">
        <x:v>40</x:v>
      </x:c>
      <x:c r="E4" s="9" t="s">
        <x:v>21</x:v>
      </x:c>
      <x:c r="F4" s="6" t="s">
        <x:v>41</x:v>
      </x:c>
      <x:c r="G4" s="6" t="s">
        <x:v>42</x:v>
      </x:c>
      <x:c r="H4" s="6" t="s">
        <x:v>43</x:v>
      </x:c>
      <x:c r="I4" s="10" t="n">
        <x:v>747955.21</x:v>
      </x:c>
      <x:c r="J4" s="11" t="s">
        <x:v>25</x:v>
      </x:c>
      <x:c r="K4" s="11" t="s">
        <x:v>26</x:v>
      </x:c>
      <x:c r="L4" s="12" t="str">
        <x:f xml:space="preserve">HYPERLINK("https://contractaciopublica.cat/ca/detall-publicacio/cffed693-3a43-4b84-acf4-bbe6317674a4/300619314","contractaciopublica.cat/ca/detall-publicacio/cffed693-3a43-4b84-acf4-bbe6317674a4/300619314")</x:f>
        <x:v>contractaciopublica.cat/ca/detall-publicacio/cffed693-3a43-4b84-acf4-bbe6317674a4/300619314</x:v>
      </x:c>
      <x:c r="M4" s="11" t="s">
        <x:v>27</x:v>
      </x:c>
      <x:c r="N4" s="13" t="s">
        <x:v>37</x:v>
      </x:c>
      <x:c r="O4" s="11" t="s">
        <x:v>44</x:v>
      </x:c>
      <x:c r="P4" s="11" t="s">
        <x:v>45</x:v>
      </x:c>
      <x:c r="Q4" s="14" t="str">
        <x:f xml:space="preserve">HYPERLINK("https://www.infonalia.es/licitaciones1125/2025162949.pdf","www.infonalia.es/licitaciones1125/2025162949.pdf")</x:f>
        <x:v>www.infonalia.es/licitaciones1125/2025162949.pdf</x:v>
      </x:c>
    </x:row>
    <x:row r="5">
      <x:c r="A5" s="6" t="s">
        <x:v>17</x:v>
      </x:c>
      <x:c r="B5" s="6" t="s">
        <x:v>18</x:v>
      </x:c>
      <x:c r="C5" s="7" t="s">
        <x:v>46</x:v>
      </x:c>
      <x:c r="D5" s="8" t="s">
        <x:v>47</x:v>
      </x:c>
      <x:c r="E5" s="9" t="s">
        <x:v>21</x:v>
      </x:c>
      <x:c r="F5" s="6" t="s">
        <x:v>48</x:v>
      </x:c>
      <x:c r="G5" s="6" t="s">
        <x:v>49</x:v>
      </x:c>
      <x:c r="H5" s="6" t="s">
        <x:v>50</x:v>
      </x:c>
      <x:c r="I5" s="10" t="n">
        <x:v>3000000.00</x:v>
      </x:c>
      <x:c r="J5" s="11" t="s">
        <x:v>25</x:v>
      </x:c>
      <x:c r="K5" s="11" t="s">
        <x:v>26</x:v>
      </x:c>
      <x:c r="L5" s="12" t="str">
        <x:f xml:space="preserve">HYPERLINK("https://contrataciondelestado.es/wps/poc?uri=deeplink:detalle_licitacion&amp;idEvl=2yvzGXsLE8mLAncw3qdZkA%3D%3D","contrataciondelestado.es/wps/poc?uri=deeplink:detalle_licitacion&amp;idEvl=2yvzGXsLE8mLAncw3qdZkA%3D%3D")</x:f>
        <x:v>contrataciondelestado.es/wps/poc?uri=deeplink:detalle_licitacion&amp;idEvl=2yvzGXsLE8mLAncw3qdZkA%3D%3D</x:v>
      </x:c>
      <x:c r="M5" s="11" t="s">
        <x:v>27</x:v>
      </x:c>
      <x:c r="N5" s="13" t="s">
        <x:v>37</x:v>
      </x:c>
      <x:c r="O5" s="11" t="s">
        <x:v>51</x:v>
      </x:c>
      <x:c r="P5" s="11" t="s">
        <x:v>30</x:v>
      </x:c>
      <x:c r="Q5" s="14" t="str">
        <x:f xml:space="preserve">HYPERLINK("https://www.infonalia.es/licitaciones1125/2025162959.pdf","www.infonalia.es/licitaciones1125/2025162959.pdf")</x:f>
        <x:v>www.infonalia.es/licitaciones1125/2025162959.pdf</x:v>
      </x:c>
    </x:row>
    <x:row r="6">
      <x:c r="A6" s="6" t="s">
        <x:v>17</x:v>
      </x:c>
      <x:c r="B6" s="6" t="s">
        <x:v>18</x:v>
      </x:c>
      <x:c r="C6" s="7" t="s">
        <x:v>52</x:v>
      </x:c>
      <x:c r="D6" s="8" t="s">
        <x:v>53</x:v>
      </x:c>
      <x:c r="E6" s="9" t="s">
        <x:v>21</x:v>
      </x:c>
      <x:c r="F6" s="6" t="s">
        <x:v>54</x:v>
      </x:c>
      <x:c r="G6" s="6" t="s">
        <x:v>55</x:v>
      </x:c>
      <x:c r="H6" s="6" t="s">
        <x:v>56</x:v>
      </x:c>
      <x:c r="I6" s="10" t="n">
        <x:v>2400.00</x:v>
      </x:c>
      <x:c r="J6" s="11" t="s">
        <x:v>25</x:v>
      </x:c>
      <x:c r="K6" s="11" t="s">
        <x:v>26</x:v>
      </x:c>
      <x:c r="L6" s="12" t="str">
        <x:f xml:space="preserve">HYPERLINK("https://contrataciondelestado.es/wps/poc?uri=deeplink:detalle_licitacion&amp;idEvl=V%2Fu2htINhmbVGIpKDxgsAQ%3D%3D","contrataciondelestado.es/wps/poc?uri=deeplink:detalle_licitacion&amp;idEvl=V%2Fu2htINhmbVGIpKDxgsAQ%3D%3D")</x:f>
        <x:v>contrataciondelestado.es/wps/poc?uri=deeplink:detalle_licitacion&amp;idEvl=V%2Fu2htINhmbVGIpKDxgsAQ%3D%3D</x:v>
      </x:c>
      <x:c r="M6" s="11" t="s">
        <x:v>27</x:v>
      </x:c>
      <x:c r="N6" s="13" t="s">
        <x:v>37</x:v>
      </x:c>
      <x:c r="O6" s="11" t="s">
        <x:v>57</x:v>
      </x:c>
      <x:c r="P6" s="11" t="s">
        <x:v>30</x:v>
      </x:c>
      <x:c r="Q6" s="14" t="str">
        <x:f xml:space="preserve">HYPERLINK("https://www.infonalia.es/licitaciones1125/2025162966.pdf","www.infonalia.es/licitaciones1125/2025162966.pdf")</x:f>
        <x:v>www.infonalia.es/licitaciones1125/2025162966.pdf</x:v>
      </x:c>
    </x:row>
    <x:row r="7">
      <x:c r="A7" s="6" t="s">
        <x:v>17</x:v>
      </x:c>
      <x:c r="B7" s="6" t="s">
        <x:v>18</x:v>
      </x:c>
      <x:c r="C7" s="7" t="s">
        <x:v>52</x:v>
      </x:c>
      <x:c r="D7" s="8" t="s">
        <x:v>58</x:v>
      </x:c>
      <x:c r="E7" s="9" t="s">
        <x:v>21</x:v>
      </x:c>
      <x:c r="F7" s="6" t="s">
        <x:v>59</x:v>
      </x:c>
      <x:c r="G7" s="6" t="s">
        <x:v>60</x:v>
      </x:c>
      <x:c r="H7" s="6" t="s">
        <x:v>61</x:v>
      </x:c>
      <x:c r="I7" s="10" t="n">
        <x:v>8016.53</x:v>
      </x:c>
      <x:c r="J7" s="11" t="s">
        <x:v>25</x:v>
      </x:c>
      <x:c r="K7" s="11" t="s">
        <x:v>26</x:v>
      </x:c>
      <x:c r="L7" s="12" t="str">
        <x:f xml:space="preserve">HYPERLINK("https://contractaciopublica.cat/ca/detall-publicacio/6fedaa8e-eb14-4775-9bc0-99062cf5662a/300619047","contractaciopublica.cat/ca/detall-publicacio/6fedaa8e-eb14-4775-9bc0-99062cf5662a/300619047")</x:f>
        <x:v>contractaciopublica.cat/ca/detall-publicacio/6fedaa8e-eb14-4775-9bc0-99062cf5662a/300619047</x:v>
      </x:c>
      <x:c r="M7" s="11" t="s">
        <x:v>27</x:v>
      </x:c>
      <x:c r="N7" s="13" t="s">
        <x:v>37</x:v>
      </x:c>
      <x:c r="O7" s="11" t="s">
        <x:v>62</x:v>
      </x:c>
      <x:c r="P7" s="11" t="s">
        <x:v>45</x:v>
      </x:c>
      <x:c r="Q7" s="14" t="str">
        <x:f xml:space="preserve">HYPERLINK("https://www.infonalia.es/licitaciones1125/2025162980.pdf","www.infonalia.es/licitaciones1125/2025162980.pdf")</x:f>
        <x:v>www.infonalia.es/licitaciones1125/2025162980.pdf</x:v>
      </x:c>
    </x:row>
    <x:row r="8">
      <x:c r="A8" s="6" t="s">
        <x:v>17</x:v>
      </x:c>
      <x:c r="B8" s="6" t="s">
        <x:v>18</x:v>
      </x:c>
      <x:c r="C8" s="7" t="s">
        <x:v>52</x:v>
      </x:c>
      <x:c r="D8" s="8" t="s">
        <x:v>63</x:v>
      </x:c>
      <x:c r="E8" s="9" t="s">
        <x:v>21</x:v>
      </x:c>
      <x:c r="F8" s="6" t="s">
        <x:v>48</x:v>
      </x:c>
      <x:c r="G8" s="6" t="s">
        <x:v>64</x:v>
      </x:c>
      <x:c r="H8" s="6" t="s">
        <x:v>65</x:v>
      </x:c>
      <x:c r="I8" s="10" t="n">
        <x:v>2000000.00</x:v>
      </x:c>
      <x:c r="J8" s="11" t="s">
        <x:v>25</x:v>
      </x:c>
      <x:c r="K8" s="11" t="s">
        <x:v>26</x:v>
      </x:c>
      <x:c r="L8" s="12" t="str">
        <x:f xml:space="preserve">HYPERLINK("https://contrataciondelestado.es/wps/poc?uri=deeplink:detalle_licitacion&amp;idEvl=hp7jf2JAOiE7%2B9FIQYNjeQ%3D%3D","contrataciondelestado.es/wps/poc?uri=deeplink:detalle_licitacion&amp;idEvl=hp7jf2JAOiE7%2B9FIQYNjeQ%3D%3D")</x:f>
        <x:v>contrataciondelestado.es/wps/poc?uri=deeplink:detalle_licitacion&amp;idEvl=hp7jf2JAOiE7%2B9FIQYNjeQ%3D%3D</x:v>
      </x:c>
      <x:c r="M8" s="11" t="s">
        <x:v>27</x:v>
      </x:c>
      <x:c r="N8" s="13" t="s">
        <x:v>37</x:v>
      </x:c>
      <x:c r="O8" s="11" t="s">
        <x:v>66</x:v>
      </x:c>
      <x:c r="P8" s="11" t="s">
        <x:v>30</x:v>
      </x:c>
      <x:c r="Q8" s="14" t="str">
        <x:f xml:space="preserve">HYPERLINK("https://www.infonalia.es/licitaciones1125/2025163052.pdf","www.infonalia.es/licitaciones1125/2025163052.pdf")</x:f>
        <x:v>www.infonalia.es/licitaciones1125/2025163052.pdf</x:v>
      </x:c>
    </x:row>
    <x:row r="9">
      <x:c r="A9" s="6" t="s">
        <x:v>17</x:v>
      </x:c>
      <x:c r="B9" s="6" t="s">
        <x:v>18</x:v>
      </x:c>
      <x:c r="C9" s="7" t="s">
        <x:v>46</x:v>
      </x:c>
      <x:c r="D9" s="8" t="s">
        <x:v>67</x:v>
      </x:c>
      <x:c r="E9" s="9" t="s">
        <x:v>21</x:v>
      </x:c>
      <x:c r="F9" s="6" t="s">
        <x:v>68</x:v>
      </x:c>
      <x:c r="G9" s="6" t="s">
        <x:v>69</x:v>
      </x:c>
      <x:c r="H9" s="6" t="s">
        <x:v>70</x:v>
      </x:c>
      <x:c r="I9" s="10" t="n">
        <x:v>14400.00</x:v>
      </x:c>
      <x:c r="J9" s="11" t="s">
        <x:v>25</x:v>
      </x:c>
      <x:c r="K9" s="11" t="s">
        <x:v>26</x:v>
      </x:c>
      <x:c r="L9" s="12" t="str">
        <x:f xml:space="preserve">HYPERLINK("https://contractaciopublica.cat/ca/detall-publicacio/0acc1af8-ca6f-49ca-a8e6-c33b47fafcc5/300616472","contractaciopublica.cat/ca/detall-publicacio/0acc1af8-ca6f-49ca-a8e6-c33b47fafcc5/300616472")</x:f>
        <x:v>contractaciopublica.cat/ca/detall-publicacio/0acc1af8-ca6f-49ca-a8e6-c33b47fafcc5/300616472</x:v>
      </x:c>
      <x:c r="M9" s="11" t="s">
        <x:v>27</x:v>
      </x:c>
      <x:c r="N9" s="13" t="s">
        <x:v>37</x:v>
      </x:c>
      <x:c r="O9" s="11" t="s">
        <x:v>71</x:v>
      </x:c>
      <x:c r="P9" s="11" t="s">
        <x:v>72</x:v>
      </x:c>
      <x:c r="Q9" s="14" t="str">
        <x:f xml:space="preserve">HYPERLINK("https://www.infonalia.es/licitaciones1125/2025163110.pdf","www.infonalia.es/licitaciones1125/2025163110.pdf")</x:f>
        <x:v>www.infonalia.es/licitaciones1125/2025163110.pdf</x:v>
      </x:c>
    </x:row>
    <x:row r="10">
      <x:c r="A10" s="6" t="s">
        <x:v>17</x:v>
      </x:c>
      <x:c r="B10" s="6" t="s">
        <x:v>18</x:v>
      </x:c>
      <x:c r="C10" s="7" t="s">
        <x:v>46</x:v>
      </x:c>
      <x:c r="D10" s="8" t="s">
        <x:v>73</x:v>
      </x:c>
      <x:c r="E10" s="9" t="s">
        <x:v>21</x:v>
      </x:c>
      <x:c r="F10" s="6" t="s">
        <x:v>74</x:v>
      </x:c>
      <x:c r="G10" s="6" t="s">
        <x:v>75</x:v>
      </x:c>
      <x:c r="H10" s="6" t="s">
        <x:v>76</x:v>
      </x:c>
      <x:c r="I10" s="10" t="n">
        <x:v>15000.00</x:v>
      </x:c>
      <x:c r="J10" s="11" t="s">
        <x:v>25</x:v>
      </x:c>
      <x:c r="K10" s="11" t="s">
        <x:v>26</x:v>
      </x:c>
      <x:c r="L10" s="12" t="str">
        <x:f xml:space="preserve">HYPERLINK("https://contrataciondelestado.es/wps/poc?uri=deeplink:detalle_licitacion&amp;idEvl=%2BDLwD1M7wqn10HRJw8TEnQ%3D%3D","contrataciondelestado.es/wps/poc?uri=deeplink:detalle_licitacion&amp;idEvl=%2BDLwD1M7wqn10HRJw8TEnQ%3D%3D")</x:f>
        <x:v>contrataciondelestado.es/wps/poc?uri=deeplink:detalle_licitacion&amp;idEvl=%2BDLwD1M7wqn10HRJw8TEnQ%3D%3D</x:v>
      </x:c>
      <x:c r="M10" s="11" t="s">
        <x:v>27</x:v>
      </x:c>
      <x:c r="N10" s="13" t="s">
        <x:v>37</x:v>
      </x:c>
      <x:c r="O10" s="11" t="s">
        <x:v>77</x:v>
      </x:c>
      <x:c r="P10" s="11" t="s">
        <x:v>30</x:v>
      </x:c>
      <x:c r="Q10" s="14" t="str">
        <x:f xml:space="preserve">HYPERLINK("https://www.infonalia.es/licitaciones1125/2025163126.pdf","www.infonalia.es/licitaciones1125/2025163126.pdf")</x:f>
        <x:v>www.infonalia.es/licitaciones1125/2025163126.pdf</x:v>
      </x:c>
    </x:row>
    <x:row r="11">
      <x:c r="A11" s="6" t="s">
        <x:v>17</x:v>
      </x:c>
      <x:c r="B11" s="6" t="s">
        <x:v>18</x:v>
      </x:c>
      <x:c r="C11" s="7" t="s">
        <x:v>52</x:v>
      </x:c>
      <x:c r="D11" s="8" t="s">
        <x:v>78</x:v>
      </x:c>
      <x:c r="E11" s="9" t="s">
        <x:v>21</x:v>
      </x:c>
      <x:c r="F11" s="6" t="s">
        <x:v>79</x:v>
      </x:c>
      <x:c r="G11" s="6" t="s">
        <x:v>80</x:v>
      </x:c>
      <x:c r="H11" s="6" t="s">
        <x:v>81</x:v>
      </x:c>
      <x:c r="I11" s="10" t="n">
        <x:v>54402.43</x:v>
      </x:c>
      <x:c r="J11" s="11" t="s">
        <x:v>25</x:v>
      </x:c>
      <x:c r="K11" s="11" t="s">
        <x:v>26</x:v>
      </x:c>
      <x:c r="L11" s="12" t="str">
        <x:f xml:space="preserve">HYPERLINK("https://contrataciondelestado.es/wps/poc?uri=deeplink:detalle_licitacion&amp;idEvl=AiIG0Pp3hRFeKgd8LfVV9g%3D%3D","contrataciondelestado.es/wps/poc?uri=deeplink:detalle_licitacion&amp;idEvl=AiIG0Pp3hRFeKgd8LfVV9g%3D%3D")</x:f>
        <x:v>contrataciondelestado.es/wps/poc?uri=deeplink:detalle_licitacion&amp;idEvl=AiIG0Pp3hRFeKgd8LfVV9g%3D%3D</x:v>
      </x:c>
      <x:c r="M11" s="11" t="s">
        <x:v>27</x:v>
      </x:c>
      <x:c r="N11" s="13" t="s">
        <x:v>37</x:v>
      </x:c>
      <x:c r="O11" s="11" t="s">
        <x:v>82</x:v>
      </x:c>
      <x:c r="P11" s="11" t="s">
        <x:v>30</x:v>
      </x:c>
      <x:c r="Q11" s="14" t="str">
        <x:f xml:space="preserve">HYPERLINK("https://www.infonalia.es/licitaciones1125/2025163148.pdf","www.infonalia.es/licitaciones1125/2025163148.pdf")</x:f>
        <x:v>www.infonalia.es/licitaciones1125/2025163148.pdf</x:v>
      </x:c>
    </x:row>
    <x:row r="12">
      <x:c r="A12" s="6" t="s">
        <x:v>17</x:v>
      </x:c>
      <x:c r="B12" s="6" t="s">
        <x:v>18</x:v>
      </x:c>
      <x:c r="C12" s="7" t="s">
        <x:v>46</x:v>
      </x:c>
      <x:c r="D12" s="8" t="s">
        <x:v>83</x:v>
      </x:c>
      <x:c r="E12" s="9" t="s">
        <x:v>21</x:v>
      </x:c>
      <x:c r="F12" s="6" t="s">
        <x:v>84</x:v>
      </x:c>
      <x:c r="G12" s="6" t="s">
        <x:v>85</x:v>
      </x:c>
      <x:c r="H12" s="6" t="s">
        <x:v>86</x:v>
      </x:c>
      <x:c r="I12" s="10" t="n">
        <x:v>61800.00</x:v>
      </x:c>
      <x:c r="J12" s="11" t="s">
        <x:v>25</x:v>
      </x:c>
      <x:c r="K12" s="11" t="s">
        <x:v>26</x:v>
      </x:c>
      <x:c r="L12" s="12" t="str">
        <x:f xml:space="preserve">HYPERLINK("https://contrataciondelestado.es/wps/poc?uri=deeplink:detalle_licitacion&amp;idEvl=EuUNElKZmLwZDGvgaZEVxQ%3D%3D","contrataciondelestado.es/wps/poc?uri=deeplink:detalle_licitacion&amp;idEvl=EuUNElKZmLwZDGvgaZEVxQ%3D%3D")</x:f>
        <x:v>contrataciondelestado.es/wps/poc?uri=deeplink:detalle_licitacion&amp;idEvl=EuUNElKZmLwZDGvgaZEVxQ%3D%3D</x:v>
      </x:c>
      <x:c r="M12" s="11" t="s">
        <x:v>27</x:v>
      </x:c>
      <x:c r="N12" s="13" t="s">
        <x:v>37</x:v>
      </x:c>
      <x:c r="O12" s="11" t="s">
        <x:v>87</x:v>
      </x:c>
      <x:c r="P12" s="11" t="s">
        <x:v>30</x:v>
      </x:c>
      <x:c r="Q12" s="14" t="str">
        <x:f xml:space="preserve">HYPERLINK("https://www.infonalia.es/licitaciones1125/2025163200.pdf","www.infonalia.es/licitaciones1125/2025163200.pdf")</x:f>
        <x:v>www.infonalia.es/licitaciones1125/2025163200.pdf</x:v>
      </x:c>
    </x:row>
    <x:row r="13">
      <x:c r="A13" s="6" t="s">
        <x:v>17</x:v>
      </x:c>
      <x:c r="B13" s="6" t="s">
        <x:v>18</x:v>
      </x:c>
      <x:c r="C13" s="7" t="s">
        <x:v>52</x:v>
      </x:c>
      <x:c r="D13" s="8" t="s">
        <x:v>88</x:v>
      </x:c>
      <x:c r="E13" s="9" t="s">
        <x:v>21</x:v>
      </x:c>
      <x:c r="F13" s="6" t="s">
        <x:v>89</x:v>
      </x:c>
      <x:c r="G13" s="6" t="s">
        <x:v>90</x:v>
      </x:c>
      <x:c r="H13" s="6" t="s">
        <x:v>91</x:v>
      </x:c>
      <x:c r="I13" s="10" t="n">
        <x:v>47933.88</x:v>
      </x:c>
      <x:c r="J13" s="11" t="s">
        <x:v>25</x:v>
      </x:c>
      <x:c r="K13" s="11" t="s">
        <x:v>26</x:v>
      </x:c>
      <x:c r="L13" s="12" t="str">
        <x:f xml:space="preserve">HYPERLINK("https://contractaciopublica.cat/ca/detall-publicacio/b018c7dd-7d3e-47e7-a190-f3d2326c5e8e/300617061","contractaciopublica.cat/ca/detall-publicacio/b018c7dd-7d3e-47e7-a190-f3d2326c5e8e/300617061")</x:f>
        <x:v>contractaciopublica.cat/ca/detall-publicacio/b018c7dd-7d3e-47e7-a190-f3d2326c5e8e/300617061</x:v>
      </x:c>
      <x:c r="M13" s="11" t="s">
        <x:v>27</x:v>
      </x:c>
      <x:c r="N13" s="13" t="s">
        <x:v>37</x:v>
      </x:c>
      <x:c r="O13" s="11" t="s">
        <x:v>92</x:v>
      </x:c>
      <x:c r="P13" s="11" t="s">
        <x:v>45</x:v>
      </x:c>
      <x:c r="Q13" s="14" t="str">
        <x:f xml:space="preserve">HYPERLINK("https://www.infonalia.es/licitaciones1125/2025163271.pdf","www.infonalia.es/licitaciones1125/2025163271.pdf")</x:f>
        <x:v>www.infonalia.es/licitaciones1125/2025163271.pdf</x:v>
      </x:c>
    </x:row>
    <x:row r="14">
      <x:c r="A14" s="6" t="s">
        <x:v>17</x:v>
      </x:c>
      <x:c r="B14" s="6" t="s">
        <x:v>93</x:v>
      </x:c>
      <x:c r="C14" s="7" t="s">
        <x:v>94</x:v>
      </x:c>
      <x:c r="D14" s="8" t="s">
        <x:v>95</x:v>
      </x:c>
      <x:c r="E14" s="9" t="s">
        <x:v>21</x:v>
      </x:c>
      <x:c r="F14" s="6" t="s">
        <x:v>96</x:v>
      </x:c>
      <x:c r="G14" s="6" t="s">
        <x:v>97</x:v>
      </x:c>
      <x:c r="H14" s="6" t="s">
        <x:v>98</x:v>
      </x:c>
      <x:c r="I14" s="10" t="n">
        <x:v>14998.00</x:v>
      </x:c>
      <x:c r="J14" s="11" t="s">
        <x:v>99</x:v>
      </x:c>
      <x:c r="K14" s="11" t="s">
        <x:v>100</x:v>
      </x:c>
      <x:c r="L14" s="12" t="str">
        <x:f xml:space="preserve">HYPERLINK("https://miprincipado.asturias.es/perfil-contratante/ofertas-contratos-menores","miprincipado.asturias.es/perfil-contratante/ofertas-contratos-menores")</x:f>
        <x:v>miprincipado.asturias.es/perfil-contratante/ofertas-contratos-menores</x:v>
      </x:c>
      <x:c r="M14" s="11" t="s">
        <x:v>27</x:v>
      </x:c>
      <x:c r="N14" s="13" t="s">
        <x:v>101</x:v>
      </x:c>
      <x:c r="O14" s="11" t="s">
        <x:v>102</x:v>
      </x:c>
      <x:c r="P14" s="11" t="s">
        <x:v>103</x:v>
      </x:c>
      <x:c r="Q14" s="14" t="str">
        <x:f xml:space="preserve">HYPERLINK("https://www.infonalia.es/licitaciones1125/2025163390.pdf","www.infonalia.es/licitaciones1125/2025163390.pdf")</x:f>
        <x:v>www.infonalia.es/licitaciones1125/2025163390.pdf</x:v>
      </x:c>
    </x:row>
    <x:row r="15">
      <x:c r="A15" s="6" t="s">
        <x:v>17</x:v>
      </x:c>
      <x:c r="B15" s="6" t="s">
        <x:v>104</x:v>
      </x:c>
      <x:c r="C15" s="7" t="s">
        <x:v>26</x:v>
      </x:c>
      <x:c r="D15" s="8" t="s">
        <x:v>105</x:v>
      </x:c>
      <x:c r="E15" s="9" t="s">
        <x:v>21</x:v>
      </x:c>
      <x:c r="F15" s="6" t="s">
        <x:v>106</x:v>
      </x:c>
      <x:c r="G15" s="6" t="s">
        <x:v>107</x:v>
      </x:c>
      <x:c r="H15" s="6" t="s">
        <x:v>108</x:v>
      </x:c>
      <x:c r="I15" s="10" t="n">
        <x:v>135126.07</x:v>
      </x:c>
      <x:c r="J15" s="11" t="s">
        <x:v>99</x:v>
      </x:c>
      <x:c r="K15" s="11" t="s">
        <x:v>109</x:v>
      </x:c>
      <x:c r="L15" s="12" t="str">
        <x:f xml:space="preserve">HYPERLINK("https://contractaciopublica.cat/es/detall-publicacio/300618147","contractaciopublica.cat/es/detall-publicacio/300618147")</x:f>
        <x:v>contractaciopublica.cat/es/detall-publicacio/300618147</x:v>
      </x:c>
      <x:c r="M15" s="11" t="s">
        <x:v>27</x:v>
      </x:c>
      <x:c r="N15" s="13" t="s">
        <x:v>37</x:v>
      </x:c>
      <x:c r="O15" s="11" t="s">
        <x:v>110</x:v>
      </x:c>
      <x:c r="P15" s="11" t="s">
        <x:v>111</x:v>
      </x:c>
      <x:c r="Q15" s="14" t="str">
        <x:f xml:space="preserve">HYPERLINK("https://www.infonalia.es/licitaciones1125/2025163393.pdf","www.infonalia.es/licitaciones1125/2025163393.pdf")</x:f>
        <x:v>www.infonalia.es/licitaciones1125/2025163393.pdf</x:v>
      </x:c>
    </x:row>
    <x:row r="16">
      <x:c r="A16" s="6" t="s">
        <x:v>17</x:v>
      </x:c>
      <x:c r="B16" s="6" t="s">
        <x:v>18</x:v>
      </x:c>
      <x:c r="C16" s="7" t="s">
        <x:v>26</x:v>
      </x:c>
      <x:c r="D16" s="8" t="s">
        <x:v>112</x:v>
      </x:c>
      <x:c r="E16" s="9" t="s">
        <x:v>21</x:v>
      </x:c>
      <x:c r="F16" s="6" t="s">
        <x:v>106</x:v>
      </x:c>
      <x:c r="G16" s="6" t="s">
        <x:v>113</x:v>
      </x:c>
      <x:c r="H16" s="6" t="s">
        <x:v>114</x:v>
      </x:c>
      <x:c r="I16" s="10" t="n">
        <x:v>111674.44</x:v>
      </x:c>
      <x:c r="J16" s="11" t="s">
        <x:v>25</x:v>
      </x:c>
      <x:c r="K16" s="11" t="s">
        <x:v>115</x:v>
      </x:c>
      <x:c r="L16" s="12" t="str">
        <x:f xml:space="preserve">HYPERLINK("https://contractaciopublica.cat/ca/detall-publicacio/9f82e9e0-3d68-496f-82d4-65be4da2d14a/300618147","contractaciopublica.cat/ca/detall-publicacio/9f82e9e0-3d68-496f-82d4-65be4da2d14a/300618147")</x:f>
        <x:v>contractaciopublica.cat/ca/detall-publicacio/9f82e9e0-3d68-496f-82d4-65be4da2d14a/300618147</x:v>
      </x:c>
      <x:c r="M16" s="11" t="s">
        <x:v>27</x:v>
      </x:c>
      <x:c r="N16" s="13" t="s">
        <x:v>37</x:v>
      </x:c>
      <x:c r="O16" s="11" t="s">
        <x:v>116</x:v>
      </x:c>
      <x:c r="P16" s="11" t="s">
        <x:v>72</x:v>
      </x:c>
      <x:c r="Q16" s="14" t="str">
        <x:f xml:space="preserve">HYPERLINK("https://www.infonalia.es/licitaciones1125/2025163426.pdf","www.infonalia.es/licitaciones1125/2025163426.pdf")</x:f>
        <x:v>www.infonalia.es/licitaciones1125/2025163426.pdf</x:v>
      </x:c>
    </x:row>
    <x:row r="17">
      <x:c r="A17" s="6" t="s">
        <x:v>17</x:v>
      </x:c>
      <x:c r="B17" s="6" t="s">
        <x:v>18</x:v>
      </x:c>
      <x:c r="C17" s="7" t="s">
        <x:v>117</x:v>
      </x:c>
      <x:c r="D17" s="8" t="s">
        <x:v>118</x:v>
      </x:c>
      <x:c r="E17" s="9" t="s">
        <x:v>21</x:v>
      </x:c>
      <x:c r="F17" s="6" t="s">
        <x:v>119</x:v>
      </x:c>
      <x:c r="G17" s="6" t="s">
        <x:v>120</x:v>
      </x:c>
      <x:c r="H17" s="6" t="s">
        <x:v>121</x:v>
      </x:c>
      <x:c r="I17" s="10" t="n">
        <x:v>2149.00</x:v>
      </x:c>
      <x:c r="J17" s="11" t="s">
        <x:v>25</x:v>
      </x:c>
      <x:c r="K17" s="11" t="s">
        <x:v>26</x:v>
      </x:c>
      <x:c r="L17" s="12" t="str">
        <x:f xml:space="preserve">HYPERLINK("https://contrataciondelestado.es/wps/poc?uri=deeplink:detalle_licitacion&amp;idEvl=i%2FrQ4OQJMJN6nTs9LZ9RhQ%3D%3D","contrataciondelestado.es/wps/poc?uri=deeplink:detalle_licitacion&amp;idEvl=i%2FrQ4OQJMJN6nTs9LZ9RhQ%3D%3D")</x:f>
        <x:v>contrataciondelestado.es/wps/poc?uri=deeplink:detalle_licitacion&amp;idEvl=i%2FrQ4OQJMJN6nTs9LZ9RhQ%3D%3D</x:v>
      </x:c>
      <x:c r="M17" s="11" t="s">
        <x:v>27</x:v>
      </x:c>
      <x:c r="N17" s="13" t="s">
        <x:v>37</x:v>
      </x:c>
      <x:c r="O17" s="11" t="s">
        <x:v>122</x:v>
      </x:c>
      <x:c r="P17" s="11" t="s">
        <x:v>30</x:v>
      </x:c>
      <x:c r="Q17" s="14" t="str">
        <x:f xml:space="preserve">HYPERLINK("https://www.infonalia.es/licitaciones1125/2025163469.pdf","www.infonalia.es/licitaciones1125/2025163469.pdf")</x:f>
        <x:v>www.infonalia.es/licitaciones1125/2025163469.pdf</x:v>
      </x:c>
    </x:row>
    <x:row r="18">
      <x:c r="A18" s="6" t="s">
        <x:v>17</x:v>
      </x:c>
      <x:c r="B18" s="6" t="s">
        <x:v>18</x:v>
      </x:c>
      <x:c r="C18" s="7" t="s">
        <x:v>123</x:v>
      </x:c>
      <x:c r="D18" s="8" t="s">
        <x:v>124</x:v>
      </x:c>
      <x:c r="E18" s="9" t="s">
        <x:v>21</x:v>
      </x:c>
      <x:c r="F18" s="6" t="s">
        <x:v>125</x:v>
      </x:c>
      <x:c r="G18" s="6" t="s">
        <x:v>126</x:v>
      </x:c>
      <x:c r="H18" s="6" t="s">
        <x:v>127</x:v>
      </x:c>
      <x:c r="I18" s="10" t="n">
        <x:v>4132.23</x:v>
      </x:c>
      <x:c r="J18" s="11" t="s">
        <x:v>25</x:v>
      </x:c>
      <x:c r="K18" s="11" t="s">
        <x:v>26</x:v>
      </x:c>
      <x:c r="L18" s="12" t="str">
        <x:f xml:space="preserve">HYPERLINK("https://contrataciondelestado.es/wps/poc?uri=deeplink:detalle_licitacion&amp;idEvl=XGqDrrbNUcvjHF5qKI4aaw%3D%3D","contrataciondelestado.es/wps/poc?uri=deeplink:detalle_licitacion&amp;idEvl=XGqDrrbNUcvjHF5qKI4aaw%3D%3D")</x:f>
        <x:v>contrataciondelestado.es/wps/poc?uri=deeplink:detalle_licitacion&amp;idEvl=XGqDrrbNUcvjHF5qKI4aaw%3D%3D</x:v>
      </x:c>
      <x:c r="M18" s="11" t="s">
        <x:v>27</x:v>
      </x:c>
      <x:c r="N18" s="13" t="s">
        <x:v>37</x:v>
      </x:c>
      <x:c r="O18" s="11" t="s">
        <x:v>128</x:v>
      </x:c>
      <x:c r="P18" s="11" t="s">
        <x:v>103</x:v>
      </x:c>
      <x:c r="Q18" s="14" t="str">
        <x:f xml:space="preserve">HYPERLINK("https://www.infonalia.es/licitaciones1125/2025163499.pdf","www.infonalia.es/licitaciones1125/2025163499.pdf")</x:f>
        <x:v>www.infonalia.es/licitaciones1125/2025163499.pdf</x:v>
      </x:c>
    </x:row>
    <x:row r="19">
      <x:c r="A19" s="6" t="s">
        <x:v>17</x:v>
      </x:c>
      <x:c r="B19" s="6" t="s">
        <x:v>18</x:v>
      </x:c>
      <x:c r="C19" s="7" t="s">
        <x:v>46</x:v>
      </x:c>
      <x:c r="D19" s="8" t="s">
        <x:v>129</x:v>
      </x:c>
      <x:c r="E19" s="9" t="s">
        <x:v>21</x:v>
      </x:c>
      <x:c r="F19" s="6" t="s">
        <x:v>130</x:v>
      </x:c>
      <x:c r="G19" s="6" t="s">
        <x:v>131</x:v>
      </x:c>
      <x:c r="H19" s="6" t="s">
        <x:v>132</x:v>
      </x:c>
      <x:c r="I19" s="10" t="n">
        <x:v>7438.02</x:v>
      </x:c>
      <x:c r="J19" s="11" t="s">
        <x:v>25</x:v>
      </x:c>
      <x:c r="K19" s="11" t="s">
        <x:v>26</x:v>
      </x:c>
      <x:c r="L19" s="12" t="str">
        <x:f xml:space="preserve">HYPERLINK("https://contrataciondelestado.es/wps/poc?uri=deeplink:detalle_licitacion&amp;idEvl=p6BELtiq7UU7%2B9FIQYNjeQ%3D%3D","contrataciondelestado.es/wps/poc?uri=deeplink:detalle_licitacion&amp;idEvl=p6BELtiq7UU7%2B9FIQYNjeQ%3D%3D")</x:f>
        <x:v>contrataciondelestado.es/wps/poc?uri=deeplink:detalle_licitacion&amp;idEvl=p6BELtiq7UU7%2B9FIQYNjeQ%3D%3D</x:v>
      </x:c>
      <x:c r="M19" s="11" t="s">
        <x:v>27</x:v>
      </x:c>
      <x:c r="N19" s="13" t="s">
        <x:v>21</x:v>
      </x:c>
      <x:c r="O19" s="11" t="s">
        <x:v>133</x:v>
      </x:c>
      <x:c r="P19" s="11" t="s">
        <x:v>30</x:v>
      </x:c>
      <x:c r="Q19" s="14" t="str">
        <x:f xml:space="preserve">HYPERLINK("https://www.infonalia.es/licitaciones1125/2025163551.pdf","www.infonalia.es/licitaciones1125/2025163551.pdf")</x:f>
        <x:v>www.infonalia.es/licitaciones1125/2025163551.pdf</x:v>
      </x:c>
    </x:row>
    <x:row r="20">
      <x:c r="A20" s="6" t="s">
        <x:v>17</x:v>
      </x:c>
      <x:c r="B20" s="6" t="s">
        <x:v>18</x:v>
      </x:c>
      <x:c r="C20" s="7" t="s">
        <x:v>134</x:v>
      </x:c>
      <x:c r="D20" s="8" t="s">
        <x:v>135</x:v>
      </x:c>
      <x:c r="E20" s="9" t="s">
        <x:v>21</x:v>
      </x:c>
      <x:c r="F20" s="6" t="s">
        <x:v>136</x:v>
      </x:c>
      <x:c r="G20" s="6" t="s">
        <x:v>137</x:v>
      </x:c>
      <x:c r="H20" s="6" t="s">
        <x:v>138</x:v>
      </x:c>
      <x:c r="I20" s="10" t="n">
        <x:v>39220.00</x:v>
      </x:c>
      <x:c r="J20" s="11" t="s">
        <x:v>25</x:v>
      </x:c>
      <x:c r="K20" s="11" t="s">
        <x:v>26</x:v>
      </x:c>
      <x:c r="L20" s="12" t="str">
        <x:f xml:space="preserve">HYPERLINK("https://contrataciondelestado.es/wps/poc?uri=deeplink:detalle_licitacion&amp;idEvl=DJ67AjWJTskl5NjlNci%2BtA%3D%3D","contrataciondelestado.es/wps/poc?uri=deeplink:detalle_licitacion&amp;idEvl=DJ67AjWJTskl5NjlNci%2BtA%3D%3D")</x:f>
        <x:v>contrataciondelestado.es/wps/poc?uri=deeplink:detalle_licitacion&amp;idEvl=DJ67AjWJTskl5NjlNci%2BtA%3D%3D</x:v>
      </x:c>
      <x:c r="M20" s="11" t="s">
        <x:v>27</x:v>
      </x:c>
      <x:c r="N20" s="13" t="s">
        <x:v>21</x:v>
      </x:c>
      <x:c r="O20" s="11" t="s">
        <x:v>139</x:v>
      </x:c>
      <x:c r="P20" s="11" t="s">
        <x:v>103</x:v>
      </x:c>
      <x:c r="Q20" s="14" t="str">
        <x:f xml:space="preserve">HYPERLINK("https://www.infonalia.es/licitaciones1125/2025163586.pdf","www.infonalia.es/licitaciones1125/2025163586.pdf")</x:f>
        <x:v>www.infonalia.es/licitaciones1125/2025163586.pdf</x:v>
      </x:c>
    </x:row>
    <x:row r="21">
      <x:c r="A21" s="6" t="s">
        <x:v>17</x:v>
      </x:c>
      <x:c r="B21" s="6" t="s">
        <x:v>18</x:v>
      </x:c>
      <x:c r="C21" s="7" t="s">
        <x:v>46</x:v>
      </x:c>
      <x:c r="D21" s="8" t="s">
        <x:v>140</x:v>
      </x:c>
      <x:c r="E21" s="9" t="s">
        <x:v>21</x:v>
      </x:c>
      <x:c r="F21" s="6" t="s">
        <x:v>79</x:v>
      </x:c>
      <x:c r="G21" s="6" t="s">
        <x:v>80</x:v>
      </x:c>
      <x:c r="H21" s="6" t="s">
        <x:v>141</x:v>
      </x:c>
      <x:c r="I21" s="10" t="n">
        <x:v>54402.43</x:v>
      </x:c>
      <x:c r="J21" s="11" t="s">
        <x:v>25</x:v>
      </x:c>
      <x:c r="K21" s="11" t="s">
        <x:v>26</x:v>
      </x:c>
      <x:c r="L21" s="12" t="str">
        <x:f xml:space="preserve">HYPERLINK("https://contrataciondelestado.es/wps/poc?uri=deeplink:detalle_licitacion&amp;idEvl=AiIG0Pp3hRFeKgd8LfVV9g%3D%3D","contrataciondelestado.es/wps/poc?uri=deeplink:detalle_licitacion&amp;idEvl=AiIG0Pp3hRFeKgd8LfVV9g%3D%3D")</x:f>
        <x:v>contrataciondelestado.es/wps/poc?uri=deeplink:detalle_licitacion&amp;idEvl=AiIG0Pp3hRFeKgd8LfVV9g%3D%3D</x:v>
      </x:c>
      <x:c r="M21" s="11" t="s">
        <x:v>27</x:v>
      </x:c>
      <x:c r="N21" s="13" t="s">
        <x:v>21</x:v>
      </x:c>
      <x:c r="O21" s="11" t="s">
        <x:v>142</x:v>
      </x:c>
      <x:c r="P21" s="11" t="s">
        <x:v>30</x:v>
      </x:c>
      <x:c r="Q21" s="14" t="str">
        <x:f xml:space="preserve">HYPERLINK("https://www.infonalia.es/licitaciones1125/2025163610.pdf","www.infonalia.es/licitaciones1125/2025163610.pdf")</x:f>
        <x:v>www.infonalia.es/licitaciones1125/2025163610.pdf</x:v>
      </x:c>
    </x:row>
    <x:row r="22">
      <x:c r="A22" s="6" t="s">
        <x:v>17</x:v>
      </x:c>
      <x:c r="B22" s="6" t="s">
        <x:v>143</x:v>
      </x:c>
      <x:c r="C22" s="7" t="s">
        <x:v>26</x:v>
      </x:c>
      <x:c r="D22" s="8" t="s">
        <x:v>144</x:v>
      </x:c>
      <x:c r="E22" s="9" t="s">
        <x:v>21</x:v>
      </x:c>
      <x:c r="F22" s="6" t="s">
        <x:v>96</x:v>
      </x:c>
      <x:c r="G22" s="6" t="s">
        <x:v>145</x:v>
      </x:c>
      <x:c r="H22" s="6" t="s">
        <x:v>146</x:v>
      </x:c>
      <x:c r="I22" s="10"/>
      <x:c r="J22" s="11" t="s">
        <x:v>115</x:v>
      </x:c>
      <x:c r="K22" s="11" t="s">
        <x:v>115</x:v>
      </x:c>
      <x:c r="L22" s="12" t="str">
        <x:f xml:space="preserve">HYPERLINK("https://perfil.asturias.es","perfil.asturias.es")</x:f>
        <x:v>perfil.asturias.es</x:v>
      </x:c>
      <x:c r="M22" s="11" t="s">
        <x:v>147</x:v>
      </x:c>
      <x:c r="N22" s="13" t="s">
        <x:v>37</x:v>
      </x:c>
      <x:c r="O22" s="11" t="s">
        <x:v>148</x:v>
      </x:c>
      <x:c r="P22" s="11" t="s">
        <x:v>103</x:v>
      </x:c>
      <x:c r="Q22" s="14" t="str">
        <x:f xml:space="preserve">HYPERLINK("https://www.infonalia.es/licitaciones1125/2025163676.pdf","www.infonalia.es/licitaciones1125/2025163676.pdf")</x:f>
        <x:v>www.infonalia.es/licitaciones1125/2025163676.pdf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