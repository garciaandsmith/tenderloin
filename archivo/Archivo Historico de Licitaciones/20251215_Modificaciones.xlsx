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Modificaciones" sheetId="1" r:id="rId1"/>
  </x:sheets>
  <x:definedNames>
    <x:definedName name="_xlnm._FilterDatabase" localSheetId="0" hidden="1">Modificaciones!$A$1:$F$1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<x:sst xmlns:x="http://schemas.openxmlformats.org/spreadsheetml/2006/main" count="6" uniqueCount="6">
  <x:si>
    <x:t>Referencia</x:t>
  </x:si>
  <x:si>
    <x:t>Tipo</x:t>
  </x:si>
  <x:si>
    <x:t>OrganismoConvocante</x:t>
  </x:si>
  <x:si>
    <x:t>Objeto</x:t>
  </x:si>
  <x:si>
    <x:t>Modificación</x:t>
  </x:si>
  <x:si>
    <x:t>Anuncio</x:t>
  </x:si>
  <x:si>
    <x:t>2025175565</x:t>
  </x:si>
  <x:si>
    <x:t>Aclaración / Ampliación de pliegos</x:t>
  </x:si>
  <x:si>
    <x:t>PROMOTORA D'EXPORTACIONS CATALANES, SA (PRODECA)</x:t>
  </x:si>
  <x:si>
    <x:t>Acuerdo Marco para homologar un conjunto de profesionales y/o empresas para prestar los servicios de marketing y promoción comercial internacional de Prodeca en los mercados de África en el norte del Sáhara (Lote 1), África en el Sur del Sáhara (Lote 2), América Latina (Lote 3), Asia Oriental (Lote 4), Estados Unidos y Canadá (Lote 5), Gran China (Lote 6), India y Pakistán (Lote 7), Mercados europeos (Lote 8), Oriente Medio (Lote 9) y sureste asiático (Lote 10).</x:t>
  </x:si>
  <x:si>
    <x:t>2025176178</x:t>
  </x:si>
  <x:si>
    <x:t>JUNTA DE ANDALUCÍA. AGENCIA EMPRESARIAL PARA LA TRANSFORMACIÓN Y EL DESARROLLO ECONÓMICO</x:t>
  </x:si>
  <x:si>
    <x:t>Contratación de servicios a demanda relacionados con la internacionalización de empresas andaluzas en China.</x:t>
  </x:si>
  <x:si>
    <x:t>2025176179</x:t>
  </x:si>
  <x:si>
    <x:t>Contratación de servicios a demanda relacionados con la internacionalización de empresas andaluzas en Japón.</x:t>
  </x:si>
  <x:si>
    <x:t>2025176385</x:t>
  </x:si>
  <x:si>
    <x:t>AYUNTAMIENTO DE GAVÀ (BARCELONA)</x:t>
  </x:si>
  <x:si>
    <x:t>Servicio de organización y gestión técnica de GastroGavà</x:t>
  </x:si>
  <x:si>
    <x:t>2025176944</x:t>
  </x:si>
  <x:si>
    <x:t>BARCELONA DE SERVEIS MUNICIPALS, S.A.</x:t>
  </x:si>
  <x:si>
    <x:t>Servicios delimitación de los eventos que se organizan en Barcelona como sede de la Gran Départ del Tour de France en su edición 2026</x:t>
  </x:si>
</x:sst>
</file>

<file path=xl/styles.xml><?xml version="1.0" encoding="utf-8"?>
<styleSheet xmlns="http://schemas.openxmlformats.org/spreadsheetml/2006/main">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6">
    <xf numFmtId="0" fontId="0" fillId="0" borderId="0" xfId="0"/>
    <xf numFmtId="0" fontId="1" fillId="0" borderId="0" xfId="0" applyFont="1" applyAlignment="1">
      <alignment vertical="center" wrapText="1"/>
    </xf>
    <xf numFmtId="0" fontId="2" fillId="2" borderId="0" xfId="0" applyFont="1" applyFill="1" applyAlignment="1">
      <alignment vertical="center" wrapText="1"/>
    </xf>
    <xf numFmtId="0" fontId="1" fillId="0" borderId="1" xfId="0" applyFont="1" applyBorder="1" applyAlignment="1">
      <alignment vertical="center" wrapText="1"/>
    </xf>
    <xf numFmtId="0" fontId="1" fillId="0" borderId="1" xfId="0" applyFont="1" applyBorder="1" applyAlignment="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F2"/>
  <x:sheetViews>
    <x:sheetView showGridLines="0" tabSelected="1" zoomScaleNormal="100" workbookViewId="0">
      <x:selection sqref="A1:XFD1"/>
    </x:sheetView>
  </x:sheetViews>
  <x:sheetFormatPr baseColWidth="10" defaultColWidth="11.5703125" defaultRowHeight="12.75"/>
  <x:cols>
    <x:col min="1" max="1" width="11" style="1" customWidth="1"/>
    <x:col min="2" max="2" width="26.140625" style="1" customWidth="1"/>
    <x:col min="3" max="3" width="25" style="1" customWidth="1"/>
    <x:col min="4" max="4" width="48.85546875" style="1" customWidth="1"/>
    <x:col min="5" max="5" width="41.42578125" style="1" customWidth="1"/>
    <x:col min="6" max="6" width="38.7109375" style="1" customWidth="1"/>
    <x:col min="7" max="16384" width="11.5703125" style="1"/>
  </x:cols>
  <x:sheetData>
    <x:row r="1" spans="1:6">
      <x:c r="A1" s="2" t="s">
        <x:v>0</x:v>
      </x:c>
      <x:c r="B1" s="2" t="s">
        <x:v>1</x:v>
      </x:c>
      <x:c r="C1" s="2" t="s">
        <x:v>2</x:v>
      </x:c>
      <x:c r="D1" s="2" t="s">
        <x:v>3</x:v>
      </x:c>
      <x:c r="E1" s="2" t="s">
        <x:v>4</x:v>
      </x:c>
      <x:c r="F1" s="2" t="s">
        <x:v>5</x:v>
      </x:c>
    </x:row>
    <x:row r="2" spans="1:6">
      <x:c r="A2" s="3" t="s">
        <x:v>6</x:v>
      </x:c>
      <x:c r="B2" s="4" t="s">
        <x:v>7</x:v>
      </x:c>
      <x:c r="C2" s="4" t="s">
        <x:v>8</x:v>
      </x:c>
      <x:c r="D2" s="4" t="s">
        <x:v>9</x:v>
      </x:c>
      <x:c r="E2" s="5" t="str">
        <x:f xml:space="preserve">HYPERLINK("https://www.infonalia.es/modificaciones1225/2025175565.pdf","www.infonalia.es/modificaciones1225/2025175565.pdf")</x:f>
        <x:v>www.infonalia.es/modificaciones1225/2025175565.pdf</x:v>
      </x:c>
      <x:c r="F2" s="5" t="str">
        <x:f xml:space="preserve">HYPERLINK("https://www.infonalia.es/licitaciones1225/2025175565.pdf","www.infonalia.es/licitaciones1225/2025175565.pdf")</x:f>
        <x:v>www.infonalia.es/licitaciones1225/2025175565.pdf</x:v>
      </x:c>
    </x:row>
    <x:row r="3">
      <x:c r="A3" s="3" t="s">
        <x:v>10</x:v>
      </x:c>
      <x:c r="B3" s="4" t="s">
        <x:v>7</x:v>
      </x:c>
      <x:c r="C3" s="4" t="s">
        <x:v>11</x:v>
      </x:c>
      <x:c r="D3" s="4" t="s">
        <x:v>12</x:v>
      </x:c>
      <x:c r="E3" s="5" t="str">
        <x:f xml:space="preserve">HYPERLINK("https://www.infonalia.es/modificaciones1225/2025176178.pdf","www.infonalia.es/modificaciones1225/2025176178.pdf")</x:f>
        <x:v>www.infonalia.es/modificaciones1225/2025176178.pdf</x:v>
      </x:c>
      <x:c r="F3" s="5" t="str">
        <x:f xml:space="preserve">HYPERLINK("https://www.infonalia.es/licitaciones1225/2025176178.pdf","www.infonalia.es/licitaciones1225/2025176178.pdf")</x:f>
        <x:v>www.infonalia.es/licitaciones1225/2025176178.pdf</x:v>
      </x:c>
    </x:row>
    <x:row r="4">
      <x:c r="A4" s="3" t="s">
        <x:v>13</x:v>
      </x:c>
      <x:c r="B4" s="4" t="s">
        <x:v>7</x:v>
      </x:c>
      <x:c r="C4" s="4" t="s">
        <x:v>11</x:v>
      </x:c>
      <x:c r="D4" s="4" t="s">
        <x:v>14</x:v>
      </x:c>
      <x:c r="E4" s="5" t="str">
        <x:f xml:space="preserve">HYPERLINK("https://www.infonalia.es/modificaciones1225/2025176179.pdf","www.infonalia.es/modificaciones1225/2025176179.pdf")</x:f>
        <x:v>www.infonalia.es/modificaciones1225/2025176179.pdf</x:v>
      </x:c>
      <x:c r="F4" s="5" t="str">
        <x:f xml:space="preserve">HYPERLINK("https://www.infonalia.es/licitaciones1225/2025176179.pdf","www.infonalia.es/licitaciones1225/2025176179.pdf")</x:f>
        <x:v>www.infonalia.es/licitaciones1225/2025176179.pdf</x:v>
      </x:c>
    </x:row>
    <x:row r="5">
      <x:c r="A5" s="3" t="s">
        <x:v>15</x:v>
      </x:c>
      <x:c r="B5" s="4" t="s">
        <x:v>7</x:v>
      </x:c>
      <x:c r="C5" s="4" t="s">
        <x:v>16</x:v>
      </x:c>
      <x:c r="D5" s="4" t="s">
        <x:v>17</x:v>
      </x:c>
      <x:c r="E5" s="5" t="str">
        <x:f xml:space="preserve">HYPERLINK("https://www.infonalia.es/modificaciones1225/2025176385.pdf","www.infonalia.es/modificaciones1225/2025176385.pdf")</x:f>
        <x:v>www.infonalia.es/modificaciones1225/2025176385.pdf</x:v>
      </x:c>
      <x:c r="F5" s="5" t="str">
        <x:f xml:space="preserve">HYPERLINK("https://www.infonalia.es/licitaciones1225/2025176385.pdf","www.infonalia.es/licitaciones1225/2025176385.pdf")</x:f>
        <x:v>www.infonalia.es/licitaciones1225/2025176385.pdf</x:v>
      </x:c>
    </x:row>
    <x:row r="6">
      <x:c r="A6" s="3" t="s">
        <x:v>18</x:v>
      </x:c>
      <x:c r="B6" s="4" t="s">
        <x:v>7</x:v>
      </x:c>
      <x:c r="C6" s="4" t="s">
        <x:v>19</x:v>
      </x:c>
      <x:c r="D6" s="4" t="s">
        <x:v>20</x:v>
      </x:c>
      <x:c r="E6" s="5" t="str">
        <x:f xml:space="preserve">HYPERLINK("https://www.infonalia.es/modificaciones1225/2025176944.pdf","www.infonalia.es/modificaciones1225/2025176944.pdf")</x:f>
        <x:v>www.infonalia.es/modificaciones1225/2025176944.pdf</x:v>
      </x:c>
      <x:c r="F6" s="5" t="str">
        <x:f xml:space="preserve">HYPERLINK("https://www.infonalia.es/licitaciones1225/2025176944.pdf","www.infonalia.es/licitaciones1225/2025176944.pdf")</x:f>
        <x:v>www.infonalia.es/licitaciones1225/2025176944.pdf</x:v>
      </x:c>
    </x:row>
  </x:sheetData>
  <x:autoFilter ref="A1:F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Modificaciones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2024-12-04T08:51:00Z</dcterms:created>
  <dcterms:modified xsi:type="dcterms:W3CDTF">2025-01-20T07:55:35Z</dcterms:modified>
  <dc:language>es-ES</dc:language>
</cp:coreProperties>
</file>