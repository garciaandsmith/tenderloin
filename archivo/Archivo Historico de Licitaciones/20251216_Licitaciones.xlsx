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loext="http://schemas.libreoffice.org/" xmlns:r="http://schemas.openxmlformats.org/officeDocument/2006/relationships" xmlns:x="http://schemas.openxmlformats.org/spreadsheetml/2006/main">
  <x:fileVersion appName="xl" lastEdited="4" lowestEdited="4" rupBuild="4506"/>
  <x:workbookPr/>
  <x:bookViews>
    <x:workbookView xWindow="0" yWindow="0" windowWidth="16380" windowHeight="8190" tabRatio="500"/>
  </x:bookViews>
  <x:sheets>
    <x:sheet name="Licitaciones" sheetId="1" r:id="rId1"/>
  </x:sheets>
  <x:definedNames>
    <x:definedName name="_xlnm._FilterDatabase" localSheetId="0" hidden="1">Licitaciones!$A$1:$Q$1</x:definedName>
  </x:definedNames>
  <x:calcPr calcId="125725" iterateDelta="1E-4"/>
  <x:extLst>
    <x:ext xmlns:loext="http://schemas.libreoffice.org/" uri="{7626C862-2A13-11E5-B345-FEFF819CDC9F}">
      <loext:extCalcPr stringRefSyntax="CalcA1ExcelA1"/>
    </x:ext>
  </x:extLst>
</x:workbook>
</file>

<file path=xl/sharedStrings.xml><?xml version="1.0" encoding="utf-8"?>
<x:sst xmlns:x="http://schemas.openxmlformats.org/spreadsheetml/2006/main" count="17" uniqueCount="17">
  <x:si>
    <x:t>TipoDato</x:t>
  </x:si>
  <x:si>
    <x:t>CodigoBoletin</x:t>
  </x:si>
  <x:si>
    <x:t>PlazoPresentacionFecha</x:t>
  </x:si>
  <x:si>
    <x:t>Referencia</x:t>
  </x:si>
  <x:si>
    <x:t>FechaIntroduccion</x:t>
  </x:si>
  <x:si>
    <x:t>OrganismoConvocante</x:t>
  </x:si>
  <x:si>
    <x:t>Objeto</x:t>
  </x:si>
  <x:si>
    <x:t>Nº Expediente</x:t>
  </x:si>
  <x:si>
    <x:t>Presupuesto</x:t>
  </x:si>
  <x:si>
    <x:t>PresupuestoVarios</x:t>
  </x:si>
  <x:si>
    <x:t>PlazoPresentacionVarios</x:t>
  </x:si>
  <x:si>
    <x:t>InformacionWeb</x:t>
  </x:si>
  <x:si>
    <x:t>PublicacionNumero</x:t>
  </x:si>
  <x:si>
    <x:t>PublicacionFecha</x:t>
  </x:si>
  <x:si>
    <x:t>Observaciones</x:t>
  </x:si>
  <x:si>
    <x:t>LugarEjecucion</x:t>
  </x:si>
  <x:si>
    <x:t>Anuncio</x:t>
  </x:si>
  <x:si>
    <x:t>Concurso</x:t>
  </x:si>
  <x:si>
    <x:t>Plataforma de Contratación del Estado</x:t>
  </x:si>
  <x:si>
    <x:t>07/01/2026</x:t>
  </x:si>
  <x:si>
    <x:t>2025177693</x:t>
  </x:si>
  <x:si>
    <x:t>16/12/2025</x:t>
  </x:si>
  <x:si>
    <x:t>RECTORADO DE LA UNIVERSIDAD NACIONAL DE EDUCACIÓN A DISTANCIA</x:t>
  </x:si>
  <x:si>
    <x:t>Servicio de maquetación y edición de la revista de la Facultad de Geografía e Historia: Espacio, Tiempo y Forma (series 1 a 7)</x:t>
  </x:si>
  <x:si>
    <x:t>AP 45/2025</x:t>
  </x:si>
  <x:si>
    <x:t>Importe sin impuestos</x:t>
  </x:si>
  <x:si>
    <x:t/>
  </x:si>
  <x:si>
    <x:t>-----</x:t>
  </x:si>
  <x:si>
    <x:t>15/12/2025</x:t>
  </x:si>
  <x:si>
    <x:t/>
  </x:si>
  <x:si>
    <x:t>Ver pliegos</x:t>
  </x:si>
  <x:si>
    <x:t>30/12/2025</x:t>
  </x:si>
  <x:si>
    <x:t>2025177774</x:t>
  </x:si>
  <x:si>
    <x:t>AYUNTAMIENTO DE BARBERÀ DEL VALLÈS (BARCELONA)</x:t>
  </x:si>
  <x:si>
    <x:t>Contratación mixta del servicio de gestión integral, incluidos los suministros necesarios, para la organización de diversos eventos deportivos del municipio de Barberà del Vallès que, junto a su codificación, figura en los apartados A) y C) del cuadro de características anexo (Anexo 1). En la licitación y ejecución del contrato regirán, además de la normativa legal aplicable, el Pliego de cláusulas administrativas particulares y el Pliego de prescripciones técnicas (PPT) (Anexo 2)</x:t>
  </x:si>
  <x:si>
    <x:t>N774250077</x:t>
  </x:si>
  <x:si>
    <x:t/>
  </x:si>
  <x:si>
    <x:t>Barcelona</x:t>
  </x:si>
  <x:si>
    <x:t>23/01/2026</x:t>
  </x:si>
  <x:si>
    <x:t>2025177790</x:t>
  </x:si>
  <x:si>
    <x:t>LOTERIES DE CATALUNYA, SAU</x:t>
  </x:si>
  <x:si>
    <x:t>Servicios integrales de publicidad (estrategia, creatividad, producción, acciones especiales de publicidad, comunicación y asesoramiento permanente) del portafolio de productos de Loterías de Cataluña así como para cualquier nuevo producto que se pueda incorporar y por las acciones relacionadas con juego responsable y destino de beneficios para el año 2026, organizados y gestionados por Loterías de Cataluña SAU</x:t>
  </x:si>
  <x:si>
    <x:t>0951-MKJ-26-0001</x:t>
  </x:si>
  <x:si>
    <x:t/>
  </x:si>
  <x:si>
    <x:t>Catalunya</x:t>
  </x:si>
  <x:si>
    <x:t>19/01/2026</x:t>
  </x:si>
  <x:si>
    <x:t>2025177870</x:t>
  </x:si>
  <x:si>
    <x:t>JUNTA DE CONTRATACIÓN DEL MINISTERIO DE CULTURA Y DEPORTE</x:t>
  </x:si>
  <x:si>
    <x:t>Servicios auxiliares para los procesos de selección de personal funcionario adscritos al Ministerio de Cultura y su personal laboral acogido al IV Convenio Único de la AGE</x:t>
  </x:si>
  <x:si>
    <x:t>JS250080</x:t>
  </x:si>
  <x:si>
    <x:t/>
  </x:si>
  <x:si>
    <x:t>Madrid</x:t>
  </x:si>
  <x:si>
    <x:t>08/01/2026</x:t>
  </x:si>
  <x:si>
    <x:t>2025177911</x:t>
  </x:si>
  <x:si>
    <x:t>RADIO TELEVISIÓN MADRID, S.A</x:t>
  </x:si>
  <x:si>
    <x:t>La presente licitación tiene por objeto el servicio de fotografía de los diferentes eventos relacionados con la actividad de RTVM, lo que incluye, entre otras, las sesiones fotográficas de los presentadores, los reportajes fotográficos en ruedas de prensa y grabaciones de programas y los eventos de cualquier orden propios de la actividad señalada</x:t>
  </x:si>
  <x:si>
    <x:t>2024-0139-COM</x:t>
  </x:si>
  <x:si>
    <x:t/>
  </x:si>
  <x:si>
    <x:t>05/01/2026</x:t>
  </x:si>
  <x:si>
    <x:t>2025177999</x:t>
  </x:si>
  <x:si>
    <x:t>PRESIDENCIA DE LA FUNDACIÓN FELIPE II</x:t>
  </x:si>
  <x:si>
    <x:t>Contratación de la prestación de servicios de gestión de redes sociales y Community Manager de la Fundación Felipe II</x:t>
  </x:si>
  <x:si>
    <x:t>03/2025</x:t>
  </x:si>
  <x:si>
    <x:t/>
  </x:si>
  <x:si>
    <x:t>Catalunya - Plataforma de Contratación</x:t>
  </x:si>
  <x:si>
    <x:t>2025178046</x:t>
  </x:si>
  <x:si>
    <x:t>DIPUTACIÓN DE GIRONA</x:t>
  </x:si>
  <x:si>
    <x:t>2025/10513 Servicio de producción audiovisual para el sello de calidad agroalimentaria Girona Excelente de la Diputación de Girona</x:t>
  </x:si>
  <x:si>
    <x:t>Alerta futura</x:t>
  </x:si>
  <x:si>
    <x:t>----------</x:t>
  </x:si>
  <x:si>
    <x:t/>
  </x:si>
  <x:si>
    <x:t/>
  </x:si>
  <x:si>
    <x:t>Girona</x:t>
  </x:si>
  <x:si>
    <x:t>19/12/2025</x:t>
  </x:si>
  <x:si>
    <x:t>2025178093</x:t>
  </x:si>
  <x:si>
    <x:t>ALCALDÍA DEL AYUNTAMIENTO DE LANGREO (ASTURIAS)</x:t>
  </x:si>
  <x:si>
    <x:t>Servicio elaboración de un video y doce spots para la promoción del concejo de Langreo en las redes sociales</x:t>
  </x:si>
  <x:si>
    <x:t>CTu/CA/107/2025</x:t>
  </x:si>
  <x:si>
    <x:t/>
  </x:si>
  <x:si>
    <x:t>Asturias</x:t>
  </x:si>
  <x:si>
    <x:t>22/12/2025</x:t>
  </x:si>
  <x:si>
    <x:t>2025178104</x:t>
  </x:si>
  <x:si>
    <x:t>CONCEJAL DE CONTRATACIÓN DEL AYUNTAMIENTO DE TORREJÓN DE ARDOZ (MADRID)</x:t>
  </x:si>
  <x:si>
    <x:t>Servicio de fotomatón y recordatorio fotográfico para participantes en el Acto de San Valentín de Oro 2026</x:t>
  </x:si>
  <x:si>
    <x:t>730/2025</x:t>
  </x:si>
  <x:si>
    <x:t>Nota: Pliego erróneo</x:t>
  </x:si>
  <x:si>
    <x:t>21/01/2026</x:t>
  </x:si>
  <x:si>
    <x:t>2025178139</x:t>
  </x:si>
  <x:si>
    <x:t>GENERALITAT DE CATALUNYA. DEPARTAMENTO DE POLÍTICA LINGÜÍSTICA</x:t>
  </x:si>
  <x:si>
    <x:t>Gestión de redes sociales. Servicio de especialización en gestión, dinamización y creación de contenidos para redes sociales institucionales del Departamento de Política Lingüística para el año 2026</x:t>
  </x:si>
  <x:si>
    <x:t>LI-2026-7</x:t>
  </x:si>
  <x:si>
    <x:t/>
  </x:si>
  <x:si>
    <x:t>16/01/2026</x:t>
  </x:si>
  <x:si>
    <x:t>2025178144</x:t>
  </x:si>
  <x:si>
    <x:t>AMB INFORMACIÓ I SERVEIS, SA</x:t>
  </x:si>
  <x:si>
    <x:t>El presente contrato tiene por objeto la contratación de un servicio externo integral de gestión de los sistemas y soporte TI a los usuarios de AMB Información y Servicios, S.A. (en adelante CON Información). Con este servicio se tendrá que dar cobertura tanto a la Dirección Técnica de la entidad en la organización, supervisión y mejora de los sistemas informáticos, seguridad IT y redes de comunicaciones, como en el departamento informático de la misma en tareas de atención y resolución de incidencias a nivel de usuarios (HELP DESK), gestión de usuarios y permisos, maquetación de máquinas y configuración de redes</x:t>
  </x:si>
  <x:si>
    <x:t>CPS 18/2025</x:t>
  </x:si>
  <x:si>
    <x:t/>
  </x:si>
  <x:si>
    <x:t>14/01/2026</x:t>
  </x:si>
  <x:si>
    <x:t>2025178171</x:t>
  </x:si>
  <x:si>
    <x:t>DIRECCIÓN DEL MUSEO NACIONAL CENTRO DE ARTE REINA SOFÍA</x:t>
  </x:si>
  <x:si>
    <x:t>Servicio de montaje, mantenimiento y desmontaje museográfico de la exposición temporal "Félix González Torres" mediante procedimiento abierto y tramitación anticipada</x:t>
  </x:si>
  <x:si>
    <x:t>202500000402</x:t>
  </x:si>
  <x:si>
    <x:t/>
  </x:si>
  <x:si>
    <x:t>DOUE - Diario Oficial de la Unión Europea (S)</x:t>
  </x:si>
  <x:si>
    <x:t>2025178271</x:t>
  </x:si>
  <x:si>
    <x:t>DIRECCIÓN GENERAL DE RENFE VIAJEROS SOCIEDAD MERCANTIL ESTATAL, S.A</x:t>
  </x:si>
  <x:si>
    <x:t>Plan de contratación 2026</x:t>
  </x:si>
  <x:si>
    <x:t>Anuncio de información previa</x:t>
  </x:si>
  <x:si>
    <x:t>No consta</x:t>
  </x:si>
  <x:si>
    <x:t>241</x:t>
  </x:si>
  <x:si>
    <x:t/>
  </x:si>
</x:sst>
</file>

<file path=xl/styles.xml><?xml version="1.0" encoding="utf-8"?>
<styleSheet xmlns="http://schemas.openxmlformats.org/spreadsheetml/2006/main">
  <numFmts count="1">
    <numFmt numFmtId="164" formatCode="#,##0.00&quot; €&quot;;[Red]\-#,##0.00&quot; €&quot;"/>
  </numFmts>
  <fonts count="5">
    <font>
      <sz val="11"/>
      <name val="Calibri"/>
      <charset val="1"/>
    </font>
    <font>
      <sz val="10"/>
      <name val="Calibri"/>
      <family val="2"/>
      <charset val="1"/>
    </font>
    <font>
      <b/>
      <sz val="10"/>
      <color theme="0"/>
      <name val="Calibri"/>
      <family val="2"/>
      <charset val="1"/>
    </font>
    <font>
      <u/>
      <sz val="11"/>
      <color theme="10"/>
      <name val="Calibri"/>
      <charset val="1"/>
    </font>
    <font>
      <u/>
      <sz val="10"/>
      <color theme="10"/>
      <name val="Calibri"/>
      <family val="2"/>
      <charset val="1"/>
    </font>
  </fonts>
  <fills count="3">
    <fill>
      <patternFill patternType="none"/>
    </fill>
    <fill>
      <patternFill patternType="gray125"/>
    </fill>
    <fill>
      <patternFill patternType="solid">
        <fgColor theme="3"/>
        <bgColor rgb="FF003366"/>
      </patternFill>
    </fill>
  </fills>
  <borders count="3">
    <border>
      <left/>
      <right/>
      <top/>
      <bottom/>
      <diagonal/>
    </border>
    <border>
      <left/>
      <right/>
      <top/>
      <bottom style="thin">
        <color auto="1"/>
      </bottom>
      <diagonal/>
    </border>
    <border>
      <left/>
      <right/>
      <top style="thin">
        <color auto="1"/>
      </top>
      <bottom style="thin">
        <color auto="1"/>
      </bottom>
      <diagonal/>
    </border>
  </borders>
  <cellStyleXfs count="2">
    <xf numFmtId="0" fontId="0" fillId="0" borderId="0"/>
    <xf numFmtId="0" fontId="3" fillId="0" borderId="0" applyBorder="0" applyProtection="0"/>
  </cellStyleXfs>
  <cellXfs count="15">
    <xf numFmtId="0" fontId="0" fillId="0" borderId="0" xfId="0"/>
    <xf numFmtId="0" fontId="1" fillId="0" borderId="0" xfId="0" applyFont="1" applyAlignment="1" applyProtection="1">
      <alignment vertical="center" wrapText="1"/>
    </xf>
    <xf numFmtId="0" fontId="1" fillId="0" borderId="0" xfId="0" applyFont="1" applyAlignment="1" applyProtection="1">
      <alignment horizontal="center" vertical="center" wrapText="1"/>
    </xf>
    <xf numFmtId="0" fontId="1" fillId="0" borderId="0" xfId="0" applyFont="1" applyAlignment="1" applyProtection="1">
      <alignment vertical="center"/>
    </xf>
    <xf numFmtId="0" fontId="2" fillId="2" borderId="1" xfId="0" applyFont="1" applyFill="1" applyBorder="1" applyAlignment="1" applyProtection="1">
      <alignment horizontal="center" vertical="center" wrapText="1"/>
    </xf>
    <xf numFmtId="0" fontId="1" fillId="0" borderId="0" xfId="0" applyFont="1" applyAlignment="1" applyProtection="1">
      <alignment horizontal="center" vertical="center"/>
    </xf>
    <xf numFmtId="0" fontId="1" fillId="0" borderId="1" xfId="0" applyFont="1" applyBorder="1" applyAlignment="1" applyProtection="1">
      <alignment vertical="center" wrapText="1"/>
    </xf>
    <xf numFmtId="14" fontId="1" fillId="0" borderId="1" xfId="0" applyNumberFormat="1" applyFont="1" applyBorder="1" applyAlignment="1" applyProtection="1">
      <alignment horizontal="center" vertical="center" wrapText="1"/>
    </xf>
    <xf numFmtId="0" fontId="1" fillId="0" borderId="1" xfId="0" applyFont="1" applyBorder="1" applyAlignment="1" applyProtection="1">
      <alignment horizontal="center" vertical="center" wrapText="1"/>
    </xf>
    <xf numFmtId="14" fontId="1" fillId="0" borderId="1" xfId="0" applyNumberFormat="1" applyFont="1" applyBorder="1" applyAlignment="1" applyProtection="1">
      <alignment vertical="center" wrapText="1"/>
    </xf>
    <xf numFmtId="164" fontId="1" fillId="0" borderId="2" xfId="0" applyNumberFormat="1" applyFont="1" applyBorder="1" applyAlignment="1" applyProtection="1">
      <alignment vertical="center" wrapText="1"/>
    </xf>
    <xf numFmtId="0" fontId="1" fillId="0" borderId="2" xfId="0" applyFont="1" applyBorder="1" applyAlignment="1" applyProtection="1">
      <alignment vertical="center" wrapText="1"/>
    </xf>
    <xf numFmtId="0" fontId="4" fillId="0" borderId="2" xfId="1" applyFont="1" applyBorder="1" applyAlignment="1" applyProtection="1">
      <alignment vertical="center" wrapText="1"/>
    </xf>
    <xf numFmtId="14" fontId="1" fillId="0" borderId="2" xfId="0" applyNumberFormat="1" applyFont="1" applyBorder="1" applyAlignment="1" applyProtection="1">
      <alignment vertical="center" wrapText="1"/>
    </xf>
    <xf numFmtId="0" fontId="4" fillId="0" borderId="1" xfId="1" applyFont="1" applyBorder="1" applyAlignment="1" applyProtection="1">
      <alignment vertical="center" wrapText="1"/>
    </xf>
  </cellXfs>
  <cellStyles count="2">
    <cellStyle name="Hipervínculo" xfId="1" builtinId="8"/>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Q2"/>
  <x:sheetViews>
    <x:sheetView showGridLines="0" tabSelected="1" zoomScaleNormal="100" workbookViewId="0">
      <x:selection sqref="A1:XFD1"/>
    </x:sheetView>
  </x:sheetViews>
  <x:sheetFormatPr baseColWidth="10" defaultColWidth="11.5703125" defaultRowHeight="12.75"/>
  <x:cols>
    <x:col min="1" max="1" width="8.5703125" style="1" customWidth="1"/>
    <x:col min="2" max="2" width="18.85546875" style="1" customWidth="1"/>
    <x:col min="3" max="3" width="19.140625" style="2" customWidth="1"/>
    <x:col min="4" max="4" width="11.140625" style="2" customWidth="1"/>
    <x:col min="5" max="5" width="14.85546875" style="1" hidden="1" customWidth="1"/>
    <x:col min="6" max="6" width="24.7109375" style="1" customWidth="1"/>
    <x:col min="7" max="7" width="57.42578125" style="1" customWidth="1"/>
    <x:col min="8" max="8" width="17.140625" style="1" customWidth="1"/>
    <x:col min="9" max="9" width="14.28515625" style="1" customWidth="1"/>
    <x:col min="10" max="10" width="16.85546875" style="1" hidden="1" customWidth="1"/>
    <x:col min="11" max="11" width="19.42578125" style="1" hidden="1" customWidth="1"/>
    <x:col min="12" max="12" width="33.85546875" style="1" customWidth="1"/>
    <x:col min="13" max="13" width="15.85546875" style="1" hidden="1" customWidth="1"/>
    <x:col min="14" max="14" width="13.85546875" style="1" hidden="1" customWidth="1"/>
    <x:col min="15" max="15" width="11.7109375" style="1" hidden="1" customWidth="1"/>
    <x:col min="16" max="16" width="17.140625" style="1" customWidth="1"/>
    <x:col min="17" max="17" width="29.7109375" style="1" customWidth="1"/>
    <x:col min="18" max="16384" width="11.5703125" style="3"/>
  </x:cols>
  <x:sheetData>
    <x:row r="1" spans="1:17" s="5" customFormat="1" ht="25.5">
      <x:c r="A1" s="4" t="s">
        <x:v>0</x:v>
      </x:c>
      <x:c r="B1" s="4" t="s">
        <x:v>1</x:v>
      </x:c>
      <x:c r="C1" s="4" t="s">
        <x:v>2</x:v>
      </x:c>
      <x:c r="D1" s="4" t="s">
        <x:v>3</x:v>
      </x:c>
      <x:c r="E1" s="4" t="s">
        <x:v>4</x:v>
      </x:c>
      <x:c r="F1" s="4" t="s">
        <x:v>5</x:v>
      </x:c>
      <x:c r="G1" s="4" t="s">
        <x:v>6</x:v>
      </x:c>
      <x:c r="H1" s="4" t="s">
        <x:v>7</x:v>
      </x:c>
      <x:c r="I1" s="4" t="s">
        <x:v>8</x:v>
      </x:c>
      <x:c r="J1" s="4" t="s">
        <x:v>9</x:v>
      </x:c>
      <x:c r="K1" s="4" t="s">
        <x:v>10</x:v>
      </x:c>
      <x:c r="L1" s="4" t="s">
        <x:v>11</x:v>
      </x:c>
      <x:c r="M1" s="4" t="s">
        <x:v>12</x:v>
      </x:c>
      <x:c r="N1" s="4" t="s">
        <x:v>13</x:v>
      </x:c>
      <x:c r="O1" s="4" t="s">
        <x:v>14</x:v>
      </x:c>
      <x:c r="P1" s="4" t="s">
        <x:v>15</x:v>
      </x:c>
      <x:c r="Q1" s="4" t="s">
        <x:v>16</x:v>
      </x:c>
    </x:row>
    <x:row r="2" spans="1:17">
      <x:c r="A2" s="6" t="s">
        <x:v>17</x:v>
      </x:c>
      <x:c r="B2" s="6" t="s">
        <x:v>18</x:v>
      </x:c>
      <x:c r="C2" s="7" t="s">
        <x:v>19</x:v>
      </x:c>
      <x:c r="D2" s="8" t="s">
        <x:v>20</x:v>
      </x:c>
      <x:c r="E2" s="9" t="s">
        <x:v>21</x:v>
      </x:c>
      <x:c r="F2" s="6" t="s">
        <x:v>22</x:v>
      </x:c>
      <x:c r="G2" s="6" t="s">
        <x:v>23</x:v>
      </x:c>
      <x:c r="H2" s="6" t="s">
        <x:v>24</x:v>
      </x:c>
      <x:c r="I2" s="10" t="n">
        <x:v>12803.00</x:v>
      </x:c>
      <x:c r="J2" s="11" t="s">
        <x:v>25</x:v>
      </x:c>
      <x:c r="K2" s="11" t="s">
        <x:v>26</x:v>
      </x:c>
      <x:c r="L2" s="12" t="str">
        <x:f xml:space="preserve">HYPERLINK("https://contrataciondelestado.es/wps/poc?uri=deeplink:detalle_licitacion&amp;idEvl=MB87wDgzS3oQyBAnWzHfCg%3D%3D","contrataciondelestado.es/wps/poc?uri=deeplink:detalle_licitacion&amp;idEvl=MB87wDgzS3oQyBAnWzHfCg%3D%3D")</x:f>
        <x:v>contrataciondelestado.es/wps/poc?uri=deeplink:detalle_licitacion&amp;idEvl=MB87wDgzS3oQyBAnWzHfCg%3D%3D</x:v>
      </x:c>
      <x:c r="M2" s="11" t="s">
        <x:v>27</x:v>
      </x:c>
      <x:c r="N2" s="13" t="s">
        <x:v>28</x:v>
      </x:c>
      <x:c r="O2" s="11" t="s">
        <x:v>29</x:v>
      </x:c>
      <x:c r="P2" s="11" t="s">
        <x:v>30</x:v>
      </x:c>
      <x:c r="Q2" s="14" t="str">
        <x:f xml:space="preserve">HYPERLINK("https://www.infonalia.es/licitaciones1225/2025177693.pdf","www.infonalia.es/licitaciones1225/2025177693.pdf")</x:f>
        <x:v>www.infonalia.es/licitaciones1225/2025177693.pdf</x:v>
      </x:c>
    </x:row>
    <x:row r="3">
      <x:c r="A3" s="6" t="s">
        <x:v>17</x:v>
      </x:c>
      <x:c r="B3" s="6" t="s">
        <x:v>18</x:v>
      </x:c>
      <x:c r="C3" s="7" t="s">
        <x:v>31</x:v>
      </x:c>
      <x:c r="D3" s="8" t="s">
        <x:v>32</x:v>
      </x:c>
      <x:c r="E3" s="9" t="s">
        <x:v>21</x:v>
      </x:c>
      <x:c r="F3" s="6" t="s">
        <x:v>33</x:v>
      </x:c>
      <x:c r="G3" s="6" t="s">
        <x:v>34</x:v>
      </x:c>
      <x:c r="H3" s="6" t="s">
        <x:v>35</x:v>
      </x:c>
      <x:c r="I3" s="10" t="n">
        <x:v>54870.05</x:v>
      </x:c>
      <x:c r="J3" s="11" t="s">
        <x:v>25</x:v>
      </x:c>
      <x:c r="K3" s="11" t="s">
        <x:v>26</x:v>
      </x:c>
      <x:c r="L3" s="12" t="str">
        <x:f xml:space="preserve">HYPERLINK("https://contractaciopublica.cat/ca/detall-publicacio/f47d834f-0c82-4fad-a433-7e4208f45bb5/300645446","contractaciopublica.cat/ca/detall-publicacio/f47d834f-0c82-4fad-a433-7e4208f45bb5/300645446")</x:f>
        <x:v>contractaciopublica.cat/ca/detall-publicacio/f47d834f-0c82-4fad-a433-7e4208f45bb5/300645446</x:v>
      </x:c>
      <x:c r="M3" s="11" t="s">
        <x:v>27</x:v>
      </x:c>
      <x:c r="N3" s="13" t="s">
        <x:v>28</x:v>
      </x:c>
      <x:c r="O3" s="11" t="s">
        <x:v>36</x:v>
      </x:c>
      <x:c r="P3" s="11" t="s">
        <x:v>37</x:v>
      </x:c>
      <x:c r="Q3" s="14" t="str">
        <x:f xml:space="preserve">HYPERLINK("https://www.infonalia.es/licitaciones1225/2025177774.pdf","www.infonalia.es/licitaciones1225/2025177774.pdf")</x:f>
        <x:v>www.infonalia.es/licitaciones1225/2025177774.pdf</x:v>
      </x:c>
    </x:row>
    <x:row r="4">
      <x:c r="A4" s="6" t="s">
        <x:v>17</x:v>
      </x:c>
      <x:c r="B4" s="6" t="s">
        <x:v>18</x:v>
      </x:c>
      <x:c r="C4" s="7" t="s">
        <x:v>38</x:v>
      </x:c>
      <x:c r="D4" s="8" t="s">
        <x:v>39</x:v>
      </x:c>
      <x:c r="E4" s="9" t="s">
        <x:v>21</x:v>
      </x:c>
      <x:c r="F4" s="6" t="s">
        <x:v>40</x:v>
      </x:c>
      <x:c r="G4" s="6" t="s">
        <x:v>41</x:v>
      </x:c>
      <x:c r="H4" s="6" t="s">
        <x:v>42</x:v>
      </x:c>
      <x:c r="I4" s="10" t="n">
        <x:v>500698.50</x:v>
      </x:c>
      <x:c r="J4" s="11" t="s">
        <x:v>25</x:v>
      </x:c>
      <x:c r="K4" s="11" t="s">
        <x:v>26</x:v>
      </x:c>
      <x:c r="L4" s="12" t="str">
        <x:f xml:space="preserve">HYPERLINK("https://contractaciopublica.cat/ca/detall-publicacio/4dfa9e19-9599-4b0d-84d6-ce7838693f11/300640086","contractaciopublica.cat/ca/detall-publicacio/4dfa9e19-9599-4b0d-84d6-ce7838693f11/300640086")</x:f>
        <x:v>contractaciopublica.cat/ca/detall-publicacio/4dfa9e19-9599-4b0d-84d6-ce7838693f11/300640086</x:v>
      </x:c>
      <x:c r="M4" s="11" t="s">
        <x:v>27</x:v>
      </x:c>
      <x:c r="N4" s="13" t="s">
        <x:v>28</x:v>
      </x:c>
      <x:c r="O4" s="11" t="s">
        <x:v>43</x:v>
      </x:c>
      <x:c r="P4" s="11" t="s">
        <x:v>44</x:v>
      </x:c>
      <x:c r="Q4" s="14" t="str">
        <x:f xml:space="preserve">HYPERLINK("https://www.infonalia.es/licitaciones1225/2025177790.pdf","www.infonalia.es/licitaciones1225/2025177790.pdf")</x:f>
        <x:v>www.infonalia.es/licitaciones1225/2025177790.pdf</x:v>
      </x:c>
    </x:row>
    <x:row r="5">
      <x:c r="A5" s="6" t="s">
        <x:v>17</x:v>
      </x:c>
      <x:c r="B5" s="6" t="s">
        <x:v>18</x:v>
      </x:c>
      <x:c r="C5" s="7" t="s">
        <x:v>45</x:v>
      </x:c>
      <x:c r="D5" s="8" t="s">
        <x:v>46</x:v>
      </x:c>
      <x:c r="E5" s="9" t="s">
        <x:v>21</x:v>
      </x:c>
      <x:c r="F5" s="6" t="s">
        <x:v>47</x:v>
      </x:c>
      <x:c r="G5" s="6" t="s">
        <x:v>48</x:v>
      </x:c>
      <x:c r="H5" s="6" t="s">
        <x:v>49</x:v>
      </x:c>
      <x:c r="I5" s="10" t="n">
        <x:v>47594.05</x:v>
      </x:c>
      <x:c r="J5" s="11" t="s">
        <x:v>25</x:v>
      </x:c>
      <x:c r="K5" s="11" t="s">
        <x:v>26</x:v>
      </x:c>
      <x:c r="L5" s="12" t="str">
        <x:f xml:space="preserve">HYPERLINK("https://contrataciondelestado.es/wps/poc?uri=deeplink:detalle_licitacion&amp;idEvl=qHII6DNnyYXVGIpKDxgsAQ%3D%3D","contrataciondelestado.es/wps/poc?uri=deeplink:detalle_licitacion&amp;idEvl=qHII6DNnyYXVGIpKDxgsAQ%3D%3D")</x:f>
        <x:v>contrataciondelestado.es/wps/poc?uri=deeplink:detalle_licitacion&amp;idEvl=qHII6DNnyYXVGIpKDxgsAQ%3D%3D</x:v>
      </x:c>
      <x:c r="M5" s="11" t="s">
        <x:v>27</x:v>
      </x:c>
      <x:c r="N5" s="13" t="s">
        <x:v>28</x:v>
      </x:c>
      <x:c r="O5" s="11" t="s">
        <x:v>50</x:v>
      </x:c>
      <x:c r="P5" s="11" t="s">
        <x:v>51</x:v>
      </x:c>
      <x:c r="Q5" s="14" t="str">
        <x:f xml:space="preserve">HYPERLINK("https://www.infonalia.es/licitaciones1225/2025177870.pdf","www.infonalia.es/licitaciones1225/2025177870.pdf")</x:f>
        <x:v>www.infonalia.es/licitaciones1225/2025177870.pdf</x:v>
      </x:c>
    </x:row>
    <x:row r="6">
      <x:c r="A6" s="6" t="s">
        <x:v>17</x:v>
      </x:c>
      <x:c r="B6" s="6" t="s">
        <x:v>18</x:v>
      </x:c>
      <x:c r="C6" s="7" t="s">
        <x:v>52</x:v>
      </x:c>
      <x:c r="D6" s="8" t="s">
        <x:v>53</x:v>
      </x:c>
      <x:c r="E6" s="9" t="s">
        <x:v>21</x:v>
      </x:c>
      <x:c r="F6" s="6" t="s">
        <x:v>54</x:v>
      </x:c>
      <x:c r="G6" s="6" t="s">
        <x:v>55</x:v>
      </x:c>
      <x:c r="H6" s="6" t="s">
        <x:v>56</x:v>
      </x:c>
      <x:c r="I6" s="10" t="n">
        <x:v>38606.40</x:v>
      </x:c>
      <x:c r="J6" s="11" t="s">
        <x:v>25</x:v>
      </x:c>
      <x:c r="K6" s="11" t="s">
        <x:v>26</x:v>
      </x:c>
      <x:c r="L6" s="12" t="str">
        <x:f xml:space="preserve">HYPERLINK("https://contratos-publicos.comunidad.madrid/contrato-publico/contrato-servicios-fotografia-radio-television-madrid-sau","contratos-publicos.comunidad.madrid/contrato-publico/contrato-servicios-fotografia-radio-television-madrid-sau")</x:f>
        <x:v>contratos-publicos.comunidad.madrid/contrato-publico/contrato-servicios-fotografia-radio-television-madrid-sau</x:v>
      </x:c>
      <x:c r="M6" s="11" t="s">
        <x:v>27</x:v>
      </x:c>
      <x:c r="N6" s="13" t="s">
        <x:v>28</x:v>
      </x:c>
      <x:c r="O6" s="11" t="s">
        <x:v>57</x:v>
      </x:c>
      <x:c r="P6" s="11" t="s">
        <x:v>51</x:v>
      </x:c>
      <x:c r="Q6" s="14" t="str">
        <x:f xml:space="preserve">HYPERLINK("https://www.infonalia.es/licitaciones1225/2025177911.pdf","www.infonalia.es/licitaciones1225/2025177911.pdf")</x:f>
        <x:v>www.infonalia.es/licitaciones1225/2025177911.pdf</x:v>
      </x:c>
    </x:row>
    <x:row r="7">
      <x:c r="A7" s="6" t="s">
        <x:v>17</x:v>
      </x:c>
      <x:c r="B7" s="6" t="s">
        <x:v>18</x:v>
      </x:c>
      <x:c r="C7" s="7" t="s">
        <x:v>58</x:v>
      </x:c>
      <x:c r="D7" s="8" t="s">
        <x:v>59</x:v>
      </x:c>
      <x:c r="E7" s="9" t="s">
        <x:v>21</x:v>
      </x:c>
      <x:c r="F7" s="6" t="s">
        <x:v>60</x:v>
      </x:c>
      <x:c r="G7" s="6" t="s">
        <x:v>61</x:v>
      </x:c>
      <x:c r="H7" s="6" t="s">
        <x:v>62</x:v>
      </x:c>
      <x:c r="I7" s="10" t="n">
        <x:v>6726.38</x:v>
      </x:c>
      <x:c r="J7" s="11" t="s">
        <x:v>25</x:v>
      </x:c>
      <x:c r="K7" s="11" t="s">
        <x:v>26</x:v>
      </x:c>
      <x:c r="L7" s="12" t="str">
        <x:f xml:space="preserve">HYPERLINK("https://contrataciondelestado.es/wps/poc?uri=deeplink:detalle_licitacion&amp;idEvl=Q9p8PSykG%2F3zAq95uGTrDQ%3D%3D","contrataciondelestado.es/wps/poc?uri=deeplink:detalle_licitacion&amp;idEvl=Q9p8PSykG%2F3zAq95uGTrDQ%3D%3D")</x:f>
        <x:v>contrataciondelestado.es/wps/poc?uri=deeplink:detalle_licitacion&amp;idEvl=Q9p8PSykG%2F3zAq95uGTrDQ%3D%3D</x:v>
      </x:c>
      <x:c r="M7" s="11" t="s">
        <x:v>27</x:v>
      </x:c>
      <x:c r="N7" s="13" t="s">
        <x:v>28</x:v>
      </x:c>
      <x:c r="O7" s="11" t="s">
        <x:v>63</x:v>
      </x:c>
      <x:c r="P7" s="11" t="s">
        <x:v>51</x:v>
      </x:c>
      <x:c r="Q7" s="14" t="str">
        <x:f xml:space="preserve">HYPERLINK("https://www.infonalia.es/licitaciones1225/2025177999.pdf","www.infonalia.es/licitaciones1225/2025177999.pdf")</x:f>
        <x:v>www.infonalia.es/licitaciones1225/2025177999.pdf</x:v>
      </x:c>
    </x:row>
    <x:row r="8">
      <x:c r="A8" s="6" t="s">
        <x:v>17</x:v>
      </x:c>
      <x:c r="B8" s="6" t="s">
        <x:v>64</x:v>
      </x:c>
      <x:c r="C8" s="7" t="s">
        <x:v>26</x:v>
      </x:c>
      <x:c r="D8" s="8" t="s">
        <x:v>65</x:v>
      </x:c>
      <x:c r="E8" s="9" t="s">
        <x:v>21</x:v>
      </x:c>
      <x:c r="F8" s="6" t="s">
        <x:v>66</x:v>
      </x:c>
      <x:c r="G8" s="6" t="s">
        <x:v>67</x:v>
      </x:c>
      <x:c r="H8" s="6" t="s">
        <x:v>68</x:v>
      </x:c>
      <x:c r="I8" s="10"/>
      <x:c r="J8" s="11" t="s">
        <x:v>69</x:v>
      </x:c>
      <x:c r="K8" s="11" t="s">
        <x:v>70</x:v>
      </x:c>
      <x:c r="L8" s="12" t="str">
        <x:f xml:space="preserve">HYPERLINK("https://contractaciopublica.cat/es/detall-publicacio/300645207","contractaciopublica.cat/es/detall-publicacio/300645207")</x:f>
        <x:v>contractaciopublica.cat/es/detall-publicacio/300645207</x:v>
      </x:c>
      <x:c r="M8" s="11" t="s">
        <x:v>27</x:v>
      </x:c>
      <x:c r="N8" s="13" t="s">
        <x:v>28</x:v>
      </x:c>
      <x:c r="O8" s="11" t="s">
        <x:v>71</x:v>
      </x:c>
      <x:c r="P8" s="11" t="s">
        <x:v>72</x:v>
      </x:c>
      <x:c r="Q8" s="14" t="str">
        <x:f xml:space="preserve">HYPERLINK("https://www.infonalia.es/licitaciones1225/2025178046.pdf","www.infonalia.es/licitaciones1225/2025178046.pdf")</x:f>
        <x:v>www.infonalia.es/licitaciones1225/2025178046.pdf</x:v>
      </x:c>
    </x:row>
    <x:row r="9">
      <x:c r="A9" s="6" t="s">
        <x:v>17</x:v>
      </x:c>
      <x:c r="B9" s="6" t="s">
        <x:v>18</x:v>
      </x:c>
      <x:c r="C9" s="7" t="s">
        <x:v>73</x:v>
      </x:c>
      <x:c r="D9" s="8" t="s">
        <x:v>74</x:v>
      </x:c>
      <x:c r="E9" s="9" t="s">
        <x:v>21</x:v>
      </x:c>
      <x:c r="F9" s="6" t="s">
        <x:v>75</x:v>
      </x:c>
      <x:c r="G9" s="6" t="s">
        <x:v>76</x:v>
      </x:c>
      <x:c r="H9" s="6" t="s">
        <x:v>77</x:v>
      </x:c>
      <x:c r="I9" s="10" t="n">
        <x:v>12396.69</x:v>
      </x:c>
      <x:c r="J9" s="11" t="s">
        <x:v>25</x:v>
      </x:c>
      <x:c r="K9" s="11" t="s">
        <x:v>26</x:v>
      </x:c>
      <x:c r="L9" s="12" t="str">
        <x:f xml:space="preserve">HYPERLINK("https://contrataciondelestado.es/wps/poc?uri=deeplink:detalle_licitacion&amp;idEvl=XbhpXgR6m7OcTfjQf3USOg%3D%3D","contrataciondelestado.es/wps/poc?uri=deeplink:detalle_licitacion&amp;idEvl=XbhpXgR6m7OcTfjQf3USOg%3D%3D")</x:f>
        <x:v>contrataciondelestado.es/wps/poc?uri=deeplink:detalle_licitacion&amp;idEvl=XbhpXgR6m7OcTfjQf3USOg%3D%3D</x:v>
      </x:c>
      <x:c r="M9" s="11" t="s">
        <x:v>27</x:v>
      </x:c>
      <x:c r="N9" s="13" t="s">
        <x:v>28</x:v>
      </x:c>
      <x:c r="O9" s="11" t="s">
        <x:v>78</x:v>
      </x:c>
      <x:c r="P9" s="11" t="s">
        <x:v>79</x:v>
      </x:c>
      <x:c r="Q9" s="14" t="str">
        <x:f xml:space="preserve">HYPERLINK("https://www.infonalia.es/licitaciones1225/2025178093.pdf","www.infonalia.es/licitaciones1225/2025178093.pdf")</x:f>
        <x:v>www.infonalia.es/licitaciones1225/2025178093.pdf</x:v>
      </x:c>
    </x:row>
    <x:row r="10">
      <x:c r="A10" s="6" t="s">
        <x:v>17</x:v>
      </x:c>
      <x:c r="B10" s="6" t="s">
        <x:v>18</x:v>
      </x:c>
      <x:c r="C10" s="7" t="s">
        <x:v>80</x:v>
      </x:c>
      <x:c r="D10" s="8" t="s">
        <x:v>81</x:v>
      </x:c>
      <x:c r="E10" s="9" t="s">
        <x:v>21</x:v>
      </x:c>
      <x:c r="F10" s="6" t="s">
        <x:v>82</x:v>
      </x:c>
      <x:c r="G10" s="6" t="s">
        <x:v>83</x:v>
      </x:c>
      <x:c r="H10" s="6" t="s">
        <x:v>84</x:v>
      </x:c>
      <x:c r="I10" s="10" t="n">
        <x:v>600.00</x:v>
      </x:c>
      <x:c r="J10" s="11" t="s">
        <x:v>25</x:v>
      </x:c>
      <x:c r="K10" s="11" t="s">
        <x:v>26</x:v>
      </x:c>
      <x:c r="L10" s="12" t="str">
        <x:f xml:space="preserve">HYPERLINK("https://contrataciondelestado.es/wps/poc?uri=deeplink:detalle_licitacion&amp;idEvl=LklwzNtvBUrjHF5qKI4aaw%3D%3D","contrataciondelestado.es/wps/poc?uri=deeplink:detalle_licitacion&amp;idEvl=LklwzNtvBUrjHF5qKI4aaw%3D%3D")</x:f>
        <x:v>contrataciondelestado.es/wps/poc?uri=deeplink:detalle_licitacion&amp;idEvl=LklwzNtvBUrjHF5qKI4aaw%3D%3D</x:v>
      </x:c>
      <x:c r="M10" s="11" t="s">
        <x:v>27</x:v>
      </x:c>
      <x:c r="N10" s="13" t="s">
        <x:v>28</x:v>
      </x:c>
      <x:c r="O10" s="11" t="s">
        <x:v>85</x:v>
      </x:c>
      <x:c r="P10" s="11" t="s">
        <x:v>51</x:v>
      </x:c>
      <x:c r="Q10" s="14" t="str">
        <x:f xml:space="preserve">HYPERLINK("https://www.infonalia.es/licitaciones1225/2025178104.pdf","www.infonalia.es/licitaciones1225/2025178104.pdf")</x:f>
        <x:v>www.infonalia.es/licitaciones1225/2025178104.pdf</x:v>
      </x:c>
    </x:row>
    <x:row r="11">
      <x:c r="A11" s="6" t="s">
        <x:v>17</x:v>
      </x:c>
      <x:c r="B11" s="6" t="s">
        <x:v>18</x:v>
      </x:c>
      <x:c r="C11" s="7" t="s">
        <x:v>86</x:v>
      </x:c>
      <x:c r="D11" s="8" t="s">
        <x:v>87</x:v>
      </x:c>
      <x:c r="E11" s="9" t="s">
        <x:v>21</x:v>
      </x:c>
      <x:c r="F11" s="6" t="s">
        <x:v>88</x:v>
      </x:c>
      <x:c r="G11" s="6" t="s">
        <x:v>89</x:v>
      </x:c>
      <x:c r="H11" s="6" t="s">
        <x:v>90</x:v>
      </x:c>
      <x:c r="I11" s="10" t="n">
        <x:v>52628.53</x:v>
      </x:c>
      <x:c r="J11" s="11" t="s">
        <x:v>25</x:v>
      </x:c>
      <x:c r="K11" s="11" t="s">
        <x:v>26</x:v>
      </x:c>
      <x:c r="L11" s="12" t="str">
        <x:f xml:space="preserve">HYPERLINK("https://contractaciopublica.cat/ca/detall-publicacio/59cffb29-4493-4500-94d3-316e06e4e183/300646260","contractaciopublica.cat/ca/detall-publicacio/59cffb29-4493-4500-94d3-316e06e4e183/300646260")</x:f>
        <x:v>contractaciopublica.cat/ca/detall-publicacio/59cffb29-4493-4500-94d3-316e06e4e183/300646260</x:v>
      </x:c>
      <x:c r="M11" s="11" t="s">
        <x:v>27</x:v>
      </x:c>
      <x:c r="N11" s="13" t="s">
        <x:v>21</x:v>
      </x:c>
      <x:c r="O11" s="11" t="s">
        <x:v>91</x:v>
      </x:c>
      <x:c r="P11" s="11" t="s">
        <x:v>44</x:v>
      </x:c>
      <x:c r="Q11" s="14" t="str">
        <x:f xml:space="preserve">HYPERLINK("https://www.infonalia.es/licitaciones1225/2025178139.pdf","www.infonalia.es/licitaciones1225/2025178139.pdf")</x:f>
        <x:v>www.infonalia.es/licitaciones1225/2025178139.pdf</x:v>
      </x:c>
    </x:row>
    <x:row r="12">
      <x:c r="A12" s="6" t="s">
        <x:v>17</x:v>
      </x:c>
      <x:c r="B12" s="6" t="s">
        <x:v>18</x:v>
      </x:c>
      <x:c r="C12" s="7" t="s">
        <x:v>92</x:v>
      </x:c>
      <x:c r="D12" s="8" t="s">
        <x:v>93</x:v>
      </x:c>
      <x:c r="E12" s="9" t="s">
        <x:v>21</x:v>
      </x:c>
      <x:c r="F12" s="6" t="s">
        <x:v>94</x:v>
      </x:c>
      <x:c r="G12" s="6" t="s">
        <x:v>95</x:v>
      </x:c>
      <x:c r="H12" s="6" t="s">
        <x:v>96</x:v>
      </x:c>
      <x:c r="I12" s="10" t="n">
        <x:v>163675.00</x:v>
      </x:c>
      <x:c r="J12" s="11" t="s">
        <x:v>25</x:v>
      </x:c>
      <x:c r="K12" s="11" t="s">
        <x:v>26</x:v>
      </x:c>
      <x:c r="L12" s="12" t="str">
        <x:f xml:space="preserve">HYPERLINK("https://contractaciopublica.cat/ca/detall-publicacio/959cd299-5de7-4aa6-b963-793e3bcd015f/300645466","contractaciopublica.cat/ca/detall-publicacio/959cd299-5de7-4aa6-b963-793e3bcd015f/300645466")</x:f>
        <x:v>contractaciopublica.cat/ca/detall-publicacio/959cd299-5de7-4aa6-b963-793e3bcd015f/300645466</x:v>
      </x:c>
      <x:c r="M12" s="11" t="s">
        <x:v>27</x:v>
      </x:c>
      <x:c r="N12" s="13" t="s">
        <x:v>21</x:v>
      </x:c>
      <x:c r="O12" s="11" t="s">
        <x:v>97</x:v>
      </x:c>
      <x:c r="P12" s="11" t="s">
        <x:v>37</x:v>
      </x:c>
      <x:c r="Q12" s="14" t="str">
        <x:f xml:space="preserve">HYPERLINK("https://www.infonalia.es/licitaciones1225/2025178144.pdf","www.infonalia.es/licitaciones1225/2025178144.pdf")</x:f>
        <x:v>www.infonalia.es/licitaciones1225/2025178144.pdf</x:v>
      </x:c>
    </x:row>
    <x:row r="13">
      <x:c r="A13" s="6" t="s">
        <x:v>17</x:v>
      </x:c>
      <x:c r="B13" s="6" t="s">
        <x:v>18</x:v>
      </x:c>
      <x:c r="C13" s="7" t="s">
        <x:v>98</x:v>
      </x:c>
      <x:c r="D13" s="8" t="s">
        <x:v>99</x:v>
      </x:c>
      <x:c r="E13" s="9" t="s">
        <x:v>21</x:v>
      </x:c>
      <x:c r="F13" s="6" t="s">
        <x:v>100</x:v>
      </x:c>
      <x:c r="G13" s="6" t="s">
        <x:v>101</x:v>
      </x:c>
      <x:c r="H13" s="6" t="s">
        <x:v>102</x:v>
      </x:c>
      <x:c r="I13" s="10" t="n">
        <x:v>364800.00</x:v>
      </x:c>
      <x:c r="J13" s="11" t="s">
        <x:v>25</x:v>
      </x:c>
      <x:c r="K13" s="11" t="s">
        <x:v>26</x:v>
      </x:c>
      <x:c r="L13" s="12" t="str">
        <x:f xml:space="preserve">HYPERLINK("https://contrataciondelestado.es/wps/poc?uri=deeplink:detalle_licitacion&amp;idEvl=5rCwW5vruk79pbnDwlaUlg%3D%3D","contrataciondelestado.es/wps/poc?uri=deeplink:detalle_licitacion&amp;idEvl=5rCwW5vruk79pbnDwlaUlg%3D%3D")</x:f>
        <x:v>contrataciondelestado.es/wps/poc?uri=deeplink:detalle_licitacion&amp;idEvl=5rCwW5vruk79pbnDwlaUlg%3D%3D</x:v>
      </x:c>
      <x:c r="M13" s="11" t="s">
        <x:v>27</x:v>
      </x:c>
      <x:c r="N13" s="13" t="s">
        <x:v>21</x:v>
      </x:c>
      <x:c r="O13" s="11" t="s">
        <x:v>103</x:v>
      </x:c>
      <x:c r="P13" s="11" t="s">
        <x:v>51</x:v>
      </x:c>
      <x:c r="Q13" s="14" t="str">
        <x:f xml:space="preserve">HYPERLINK("https://www.infonalia.es/licitaciones1225/2025178171.pdf","www.infonalia.es/licitaciones1225/2025178171.pdf")</x:f>
        <x:v>www.infonalia.es/licitaciones1225/2025178171.pdf</x:v>
      </x:c>
    </x:row>
    <x:row r="14">
      <x:c r="A14" s="6" t="s">
        <x:v>17</x:v>
      </x:c>
      <x:c r="B14" s="6" t="s">
        <x:v>104</x:v>
      </x:c>
      <x:c r="C14" s="7" t="s">
        <x:v>26</x:v>
      </x:c>
      <x:c r="D14" s="8" t="s">
        <x:v>105</x:v>
      </x:c>
      <x:c r="E14" s="9" t="s">
        <x:v>21</x:v>
      </x:c>
      <x:c r="F14" s="6" t="s">
        <x:v>106</x:v>
      </x:c>
      <x:c r="G14" s="6" t="s">
        <x:v>107</x:v>
      </x:c>
      <x:c r="H14" s="6" t="s">
        <x:v>108</x:v>
      </x:c>
      <x:c r="I14" s="10"/>
      <x:c r="J14" s="11" t="s">
        <x:v>109</x:v>
      </x:c>
      <x:c r="K14" s="11" t="s">
        <x:v>109</x:v>
      </x:c>
      <x:c r="L14" s="12" t="str">
        <x:f xml:space="preserve">HYPERLINK("https://contrataciondelestado.es/wps/poc?uri=deeplink:perfilContratante&amp;idBp=MFQF8na9I%2BkQK2TEfXGy%2BA%3D%3D","contrataciondelestado.es/wps/poc?uri=deeplink:perfilContratante&amp;idBp=MFQF8na9I%2BkQK2TEfXGy%2BA%3D%3D")</x:f>
        <x:v>contrataciondelestado.es/wps/poc?uri=deeplink:perfilContratante&amp;idBp=MFQF8na9I%2BkQK2TEfXGy%2BA%3D%3D</x:v>
      </x:c>
      <x:c r="M14" s="11" t="s">
        <x:v>110</x:v>
      </x:c>
      <x:c r="N14" s="13" t="s">
        <x:v>28</x:v>
      </x:c>
      <x:c r="O14" s="11" t="s">
        <x:v>111</x:v>
      </x:c>
      <x:c r="P14" s="11" t="s">
        <x:v>51</x:v>
      </x:c>
      <x:c r="Q14" s="14" t="str">
        <x:f xml:space="preserve">HYPERLINK("https://www.infonalia.es/licitaciones1225/2025178271.pdf","www.infonalia.es/licitaciones1225/2025178271.pdf")</x:f>
        <x:v>www.infonalia.es/licitaciones1225/2025178271.pdf</x:v>
      </x:c>
    </x:row>
  </x:sheetData>
  <x:autoFilter ref="A1:Q1"/>
  <x:pageMargins left="0.7" right="0.7" top="0.75" bottom="0.75" header="0.511811023622047" footer="0.511811023622047"/>
  <x:pageSetup paperSize="9" orientation="portrait" horizontalDpi="300" verticalDpi="300"/>
</x: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Licitaciones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dc:creator>
  <dc:description/>
  <cp:lastModifiedBy>.</cp:lastModifiedBy>
  <cp:revision>2</cp:revision>
  <dcterms:created xsi:type="dcterms:W3CDTF">2024-12-04T08:39:24Z</dcterms:created>
  <dcterms:modified xsi:type="dcterms:W3CDTF">2025-01-20T07:55:14Z</dcterms:modified>
  <dc:language>es-ES</dc:language>
</cp:coreProperties>
</file>