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<x:sst xmlns:x="http://schemas.openxmlformats.org/spreadsheetml/2006/main" count="6" uniqueCount="6">
  <x:si>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</x:si>
  <x:si>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</x:si>
  <x:si>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</x:si>
  <x:si>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</x:si>
  <x:si>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</x:si>
  <x:si>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</x:si>
  <x:si>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2025167121</x:t>
  </x:si>
  <x:si>
    <x:t>Corrección de errores</x:t>
  </x:si>
  <x:si>
    <x:t>MINISTERIO DEL INTERIOR. JEFATURA DE ASUNTOS ECONÓMICOS DE LA GUARDIA CIVIL</x:t>
  </x:si>
  <x:si>
    <x:t>El suministro de un mínimo de 80.000 cuadernos divulgativos sobre competencias digitales para la seguridad de la información aportando una copia electrónica del contenido de los mismos</x:t>
  </x:si>
  <x:si>
    <x:t>2025172837</x:t>
  </x:si>
  <x:si>
    <x:t>Aclaración / Ampliación de pliegos</x:t>
  </x:si>
  <x:si>
    <x:t>HAZI DESARROLLO RURAL LITORAL Y ALIMENTARIO-DIRECTOR/A </x:t>
  </x:si>
  <x:si>
    <x:t>Prestación de los servicios para la ejecución de una campaña de promoción y sensibilización de productos europeos con denominación de origen en los mercados de Japón y Corea del Sur durante 3 años, en el marco del programa CAPRICE II</x:t>
  </x:si>
  <x:si>
    <x:t>2025175649</x:t>
  </x:si>
  <x:si>
    <x:t>JUNTA DE GOBIERNO DEL AYUNTAMIENTO DE BOADILLA DEL MONTE (MADRID)</x:t>
  </x:si>
  <x:si>
    <x:t>Servicios de corresponsales juveniles, espacios infantil y juvenil, actividades y redes sociales de la Casa de Juventud e Infancia. Lote 1: Servicio de corresponsales juveniles en los Centros Educativos, la Casa de la Juventud y los lugares habituales de ocio. Lote 2: Servicio de dinamización del Espacio Infantil. Lote 3: Servicio de dinamización del Espacio Juvenil. Lote 4: Servicio de programación, gestión, dinamización y desarrollo de actividades de formación, ocio y tiempo libre y su difusión.</x:t>
  </x:si>
  <x:si>
    <x:t>2025176388</x:t>
  </x:si>
  <x:si>
    <x:t>CONSELL COMARCAL DEL BAIX EMPORDÀ (GIRONA)</x:t>
  </x:si>
  <x:si>
    <x:t>Servicio de soporte técnico de tratamiento y catalogación de documentos fotográficos y otros no textuales del Archivo Comarcal de El Baix Empordà (ACBE),</x:t>
  </x:si>
  <x:si>
    <x:t>2025178440</x:t>
  </x:si>
  <x:si>
    <x:t>INSTITUTO DE TURISMO DE ESPAÑA (TURESPAÑA)</x:t>
  </x:si>
  <x:si>
    <x:t>Concesión de obra, para la redacción del proyecto y dirección facultativa, construcción y explotación del Palacio de Congresos y Exposiciones de Madrid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</x:si>
</x:sst>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HYPERLINK("https://www.infonalia.es/modificaciones1225/2025167121.pdf","www.infonalia.es/modificaciones1225/2025167121.pdf")</x:f>
        <x:v>www.infonalia.es/modificaciones1225/2025167121.pdf</x:v>
      </x:c>
      <x:c r="F2" s="5" t="str">
        <x:f xml:space="preserve">HYPERLINK("https://www.infonalia.es/licitaciones1125/2025167121.pdf","www.infonalia.es/licitaciones1125/2025167121.pdf")</x:f>
        <x:v>www.infonalia.es/licitaciones1125/2025167121.pdf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HYPERLINK("https://www.infonalia.es/modificaciones1225/2025172837.pdf","www.infonalia.es/modificaciones1225/2025172837.pdf")</x:f>
        <x:v>www.infonalia.es/modificaciones1225/2025172837.pdf</x:v>
      </x:c>
      <x:c r="F3" s="5" t="str">
        <x:f xml:space="preserve">HYPERLINK("https://www.infonalia.es/licitaciones1225/2025172837.pdf","www.infonalia.es/licitaciones1225/2025172837.pdf")</x:f>
        <x:v>www.infonalia.es/licitaciones1225/2025172837.pdf</x:v>
      </x:c>
    </x:row>
    <x:row r="4">
      <x:c r="A4" s="3" t="s">
        <x:v>14</x:v>
      </x:c>
      <x:c r="B4" s="4" t="s">
        <x:v>7</x:v>
      </x:c>
      <x:c r="C4" s="4" t="s">
        <x:v>15</x:v>
      </x:c>
      <x:c r="D4" s="4" t="s">
        <x:v>16</x:v>
      </x:c>
      <x:c r="E4" s="5" t="str">
        <x:f xml:space="preserve">HYPERLINK("https://www.infonalia.es/modificaciones1225/2025175649.pdf","www.infonalia.es/modificaciones1225/2025175649.pdf")</x:f>
        <x:v>www.infonalia.es/modificaciones1225/2025175649.pdf</x:v>
      </x:c>
      <x:c r="F4" s="5" t="str">
        <x:f xml:space="preserve">HYPERLINK("https://www.infonalia.es/licitaciones1225/2025175649.pdf","www.infonalia.es/licitaciones1225/2025175649.pdf")</x:f>
        <x:v>www.infonalia.es/licitaciones1225/2025175649.pdf</x:v>
      </x:c>
    </x:row>
    <x:row r="5">
      <x:c r="A5" s="3" t="s">
        <x:v>17</x:v>
      </x:c>
      <x:c r="B5" s="4" t="s">
        <x:v>11</x:v>
      </x:c>
      <x:c r="C5" s="4" t="s">
        <x:v>18</x:v>
      </x:c>
      <x:c r="D5" s="4" t="s">
        <x:v>19</x:v>
      </x:c>
      <x:c r="E5" s="5" t="str">
        <x:f xml:space="preserve">HYPERLINK("https://www.infonalia.es/modificaciones1225/2025176388.pdf","www.infonalia.es/modificaciones1225/2025176388.pdf")</x:f>
        <x:v>www.infonalia.es/modificaciones1225/2025176388.pdf</x:v>
      </x:c>
      <x:c r="F5" s="5" t="str">
        <x:f xml:space="preserve">HYPERLINK("https://www.infonalia.es/licitaciones1225/2025176388.pdf","www.infonalia.es/licitaciones1225/2025176388.pdf")</x:f>
        <x:v>www.infonalia.es/licitaciones1225/2025176388.pdf</x:v>
      </x:c>
    </x:row>
    <x:row r="6">
      <x:c r="A6" s="3" t="s">
        <x:v>20</x:v>
      </x:c>
      <x:c r="B6" s="4" t="s">
        <x:v>7</x:v>
      </x:c>
      <x:c r="C6" s="4" t="s">
        <x:v>21</x:v>
      </x:c>
      <x:c r="D6" s="4" t="s">
        <x:v>22</x:v>
      </x:c>
      <x:c r="E6" s="5" t="str">
        <x:f xml:space="preserve">HYPERLINK("https://www.infonalia.es/modificaciones1225/2025178440.pdf","www.infonalia.es/modificaciones1225/2025178440.pdf")</x:f>
        <x:v>www.infonalia.es/modificaciones1225/2025178440.pdf</x:v>
      </x:c>
      <x:c r="F6" s="5" t="str">
        <x:f xml:space="preserve">HYPERLINK("https://www.infonalia.es/licitaciones1225/2025178440.pdf","www.infonalia.es/licitaciones1225/2025178440.pdf")</x:f>
        <x:v>www.infonalia.es/licitaciones1225/2025178440.pdf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