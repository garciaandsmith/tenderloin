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<x:sst xmlns:x="http://schemas.openxmlformats.org/spreadsheetml/2006/main" count="17" uniqueCount="17">
  <x:si>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</x:si>
  <x:si>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</x:si>
  <x:si>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</x:si>
  <x:si>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</x:si>
  <x:si>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</x:si>
  <x:si>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</x:si>
  <x:si>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</x:si>
  <x:si>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</x:si>
  <x:si>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</x:si>
  <x:si>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</x:si>
  <x:si>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</x:si>
  <x:si>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</x:si>
  <x:si>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</x:si>
  <x:si>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</x:si>
  <x:si>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</x:si>
  <x:si>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</x:si>
  <x:si>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</x:si>
  <x:si>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</x:si>
  <x:si>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</x:si>
  <x:si>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02/12/2025</x:t>
  </x:si>
  <x:si>
    <x:t>2025154533</x:t>
  </x:si>
  <x:si>
    <x:t>03/11/2025</x:t>
  </x:si>
  <x:si>
    <x:t>JUNTA DE CONTRATACIÓN DEL MINISTERIO DE ASUNTOS EXTERIORES, UNIÓN EUROPEA Y COOPERACIÓN</x:t>
  </x:si>
  <x:si>
    <x:t>Servicio de restauración, preparación, apoyo y atención para los eventos, actos y reuniones del Ministerio de Asuntos Exteriores, Unión Europea y Cooperación.</x:t>
  </x:si>
  <x:si>
    <x:t>202500000180</x:t>
  </x:si>
  <x:si>
    <x:t>Importe sin impuestos</x:t>
  </x:si>
  <x:si>
    <x:t/>
  </x:si>
  <x:si>
    <x:t>-----</x:t>
  </x:si>
  <x:si>
    <x:t>01/11/2025</x:t>
  </x:si>
  <x:si>
    <x:t/>
  </x:si>
  <x:si>
    <x:t>Madrid</x:t>
  </x:si>
  <x:si>
    <x:t>17/11/2025</x:t>
  </x:si>
  <x:si>
    <x:t>2025154575</x:t>
  </x:si>
  <x:si>
    <x:t>CONSORCI DE TURISME DEL BAIX LLOBREGAT</x:t>
  </x:si>
  <x:si>
    <x:t>Licitación del contrato de servicios de gestión, planificación y contratación de espacios publicitarios para la difusión de las campañas de promoción de otoño e invierno del Consorcio de Turismo del Baix Llobregat.</x:t>
  </x:si>
  <x:si>
    <x:t>2025_146</x:t>
  </x:si>
  <x:si>
    <x:t>31/10/2025</x:t>
  </x:si>
  <x:si>
    <x:t/>
  </x:si>
  <x:si>
    <x:t>Barcelona</x:t>
  </x:si>
  <x:si>
    <x:t>18/11/2025</x:t>
  </x:si>
  <x:si>
    <x:t>2025154592</x:t>
  </x:si>
  <x:si>
    <x:t>GENERALITAT DE CATALUNYA. CENTRO DE INICIATIVAS PARA LA REINSERCIÓN (CIRE)</x:t>
  </x:si>
  <x:si>
    <x:t>Prestación de diferentes servicios de trabajos de artes gráficas y el suministro de los materiales necesarios con destino a los talleres productivos de impresión de los centros penitenciarios de Catalunya. Lote 1 Servicio en acabados imprenta e impresiones digitales. Lote 2 Servicio de recogida de residuos talleres imprenta. Lote 3 Servicio afilamiento cuchillas imprenta. Lote 4 Servicio y suministro de mat. publicidad.</x:t>
  </x:si>
  <x:si>
    <x:t>0033/2026</x:t>
  </x:si>
  <x:si>
    <x:t/>
  </x:si>
  <x:si>
    <x:t>Catalunya</x:t>
  </x:si>
  <x:si>
    <x:t>2025154602</x:t>
  </x:si>
  <x:si>
    <x:t>JUNTA DE GOBIERNO DEL AYUNTAMIENTO DE OVIEDO (ASTURIAS)</x:t>
  </x:si>
  <x:si>
    <x:t>Servicios de Mejora de web, creación de Chatbot, Observatorio de datos turísticos, Gemelo Digital de la Catedral de Oviedo y contenidos de Realidad Aumentada, y creación de Banco de imágenes y Videos promocionales (4 lotes), cofinanciado por la Unión Europea - NextGeneration EU - dentro del Plan de Transformación, Recuperación y Resiliencia del UE. LOTE Nº1 - Mejora y renovación de la web municipal de turismo y diseño e implementación de chatbot de información turística. LOTE Nº2 - Diseño e implementación de observatorio de datos turísticos. LOTE Nº3 - Digitalización mediante gemelo virtual de la Catedral de Oviedo y creación de contenidos turísticos mediante tecnología de realidad aumentada (AR). LOTE Nº4 - Creación de banco de imágenes y videos de promoción turística</x:t>
  </x:si>
  <x:si>
    <x:t>CC2025/257</x:t>
  </x:si>
  <x:si>
    <x:t/>
  </x:si>
  <x:si>
    <x:t>Asturias</x:t>
  </x:si>
  <x:si>
    <x:t>10/11/2025</x:t>
  </x:si>
  <x:si>
    <x:t>2025154714</x:t>
  </x:si>
  <x:si>
    <x:t>EMPRESA MUNICIPAL DE DESENVOLUPAMENT ECONÒMIC DE TARRAGONA SA</x:t>
  </x:si>
  <x:si>
    <x:t>El objeto del contrato se refiere a la contratación del servicio de realización del Parque de Navidad 2025-2026, denominado “Els Impossibles”, dividido en 6 lotes, los cuales comprenden diferentes trabajos que se configuran para crear un espacio lúdico, cultural y educativo, destinado al público familiar y el cual se llevará a cabo en el Recinto Firal de Tarragona con las condiciones previstas en el Pliego de Prescripciones técnicas. Lote 1 Servicio de monitorización y auxiliares del parque. Lote 2 Gestión de taquillas y control de acceso al recinto. Lote 3 Diseño gráfico, comunicación y audiovisuales. Lote 4 Decoración e iluminación parque. Lote 5 Espacio escénico y zona de descanso. Lote 6 Hinchables y atracciones.</x:t>
  </x:si>
  <x:si>
    <x:t>05MX/2025</x:t>
  </x:si>
  <x:si>
    <x:t/>
  </x:si>
  <x:si>
    <x:t>Tarragona</x:t>
  </x:si>
  <x:si>
    <x:t>2025154749</x:t>
  </x:si>
  <x:si>
    <x:t>JUNTA DE GOBIERNO DEL AYUNTAMIENTO DE MÓSTOLES (MADRID)</x:t>
  </x:si>
  <x:si>
    <x:t>Contrato de servicios para la producción de eventos festivos y recreativos destinados a los jóvenes de Móstoles durante 2025, por lotes, a adjudicar por un procedimiento abierto simplificado, art. 159.1 LCSP, con pluralidad de criterios. Lote 1: fiestas temáticas. Lote 2: actividades recreativas. Lote 3: Escape Room y Street Escape.</x:t>
  </x:si>
  <x:si>
    <x:t>C048/CON/2025-058</x:t>
  </x:si>
  <x:si>
    <x:t/>
  </x:si>
  <x:si>
    <x:t>2025154837</x:t>
  </x:si>
  <x:si>
    <x:t>MADRID DESTINO CULTURA TURISMO Y NEGOCIO, S.A</x:t>
  </x:si>
  <x:si>
    <x:t>Servicio de construcción museográfica, montaje y desmontaje de obra de arte (Lote 1) y Suministro en régimen de alquiler, instalación, mantenimiento y desmontaje de material audiovisual (Lote 2) para la exposición Ana Juan. Wunderkammer que se exhibirá en CentroCentro</x:t>
  </x:si>
  <x:si>
    <x:t>SP25-00483 / SP25-00484</x:t>
  </x:si>
  <x:si>
    <x:t/>
  </x:si>
  <x:si>
    <x:t>19/11/2025</x:t>
  </x:si>
  <x:si>
    <x:t>2025154903</x:t>
  </x:si>
  <x:si>
    <x:t>FUNDACIÓN CANAL DE ISABEL II</x:t>
  </x:si>
  <x:si>
    <x:t>El objeto de la presente contratación abarca los servicios de seguimiento y clipping de noticias sobre la Fundación Canal y sus actividades en medios de comunicación, tanto en sus ediciones físicas como digitales: medios escritos, audiovisuales (radio, y televisión) y digitales (incluyendo muros de pago); tanto de ámbito nacional como regional, abarcando en este caso todo el territorio español, con especial atención a los medios propios de la Comunidad de Madrid, y ya sean éstos medios gratuitos u onerosos.</x:t>
  </x:si>
  <x:si>
    <x:t>202508</x:t>
  </x:si>
  <x:si>
    <x:t/>
  </x:si>
  <x:si>
    <x:t>15/11/2025</x:t>
  </x:si>
  <x:si>
    <x:t>2025154918</x:t>
  </x:si>
  <x:si>
    <x:t>FUNDACIÓ PRIVADA ANTONI TÀPIES</x:t>
  </x:si>
  <x:si>
    <x:t>El objeto del presente contrato es la prestación de los servicios de transporte y manipulación de las obras de la exposición "Antoni Tàpies. El moviment perpetu del mur" (título provisional) del Museu Tàpies.</x:t>
  </x:si>
  <x:si>
    <x:t>04/2025</x:t>
  </x:si>
  <x:si>
    <x:t/>
  </x:si>
  <x:si>
    <x:t>25/11/2025</x:t>
  </x:si>
  <x:si>
    <x:t>2025154928</x:t>
  </x:si>
  <x:si>
    <x:t>CONSEJO DE ADMINISTRACIÓN DE LA SOCIEDAD ESTATAL LOTERÍAS Y APUESTAS DEL ESTADO, S.M.E., S.A</x:t>
  </x:si>
  <x:si>
    <x:t>Servicio integral de medios para la planificación estratégica y táctica, asesoramiento permanente, compra de espacios y difusión en medios de comunicación y demás soportes publicitarios de las campañas y acciones de publicidad o comunicación para los juegos de SELAE</x:t>
  </x:si>
  <x:si>
    <x:t>26/035</x:t>
  </x:si>
  <x:si>
    <x:t/>
  </x:si>
  <x:si>
    <x:t>PJA - Plataforma de Contratación de la Junta de Andalucía</x:t>
  </x:si>
  <x:si>
    <x:t>2025155043</x:t>
  </x:si>
  <x:si>
    <x:t>JUNTA DE ANDALUCÍA. CONSEJERÍA DE EMPLEO, EMPRESA Y TRABAJO AUTÓNOMO. DIRECCIÓN GENERAL DE COMERCIO</x:t>
  </x:si>
  <x:si>
    <x:t>Fomento de la marca promocional «Artesanía hecha en Andalucía» en la Feria Internacional del Turismo 2026 (FITUR 2026).</x:t>
  </x:si>
  <x:si>
    <x:t>CONTR 2025 0000650520</x:t>
  </x:si>
  <x:si>
    <x:t/>
  </x:si>
  <x:si>
    <x:t/>
  </x:si>
  <x:si>
    <x:t>Catalunya - Plataforma de Contratación</x:t>
  </x:si>
  <x:si>
    <x:t>07/11/2025</x:t>
  </x:si>
  <x:si>
    <x:t>2025155065</x:t>
  </x:si>
  <x:si>
    <x:t>AYUNTAMENT DE VILAFRANCA DEL PENEDÈS (BARCELONA). COMERCIO</x:t>
  </x:si>
  <x:si>
    <x:t>Servicio de detección e intermediación entre comercios interesados ??y propietarios de locales vacíos</x:t>
  </x:si>
  <x:si>
    <x:t>1152/2025/1411</x:t>
  </x:si>
  <x:si>
    <x:t>IVA excluido</x:t>
  </x:si>
  <x:si>
    <x:t/>
  </x:si>
  <x:si>
    <x:t/>
  </x:si>
  <x:si>
    <x:t>Asturias - Plataforma de Contratación</x:t>
  </x:si>
  <x:si>
    <x:t>06/11/2025</x:t>
  </x:si>
  <x:si>
    <x:t>2025155075</x:t>
  </x:si>
  <x:si>
    <x:t>PRINCIPADO DE ASTURIAS. CONSEJERÍA DE MEDIO RURAL Y POLÍTICA AGRARIA</x:t>
  </x:si>
  <x:si>
    <x:t>Edición de la “Guía de Quesos del Principado de Asturias” desarrollada por la Consejería de
Desarrollo Rural y Política Agraria</x:t>
  </x:si>
  <x:si>
    <x:t>CONP/2025/10213</x:t>
  </x:si>
  <x:si>
    <x:t/>
  </x:si>
  <x:si>
    <x:t/>
  </x:si>
  <x:si>
    <x:t>2025155082</x:t>
  </x:si>
  <x:si>
    <x:t>AGÈNCIA CATALANA DE TURISME</x:t>
  </x:si>
  <x:si>
    <x:t>Servicio de producción y elaboración de materiales digitales audiovisuales y fotográficos de turismo enogastronómico para el desarrollo de campañas de marketing para redes sociales, en el marco del Plan de Recuperación, Transformación y Resiliencia, financiado por la Unión Europea con los fondos Next Generation EU</x:t>
  </x:si>
  <x:si>
    <x:t>ACT-2026-5 Anuncio previo</x:t>
  </x:si>
  <x:si>
    <x:t>Fecha prevista del proceso de licitación: 09/12/2025 00:00</x:t>
  </x:si>
  <x:si>
    <x:t/>
  </x:si>
  <x:si>
    <x:t>03/12/2025</x:t>
  </x:si>
  <x:si>
    <x:t>2025155134</x:t>
  </x:si>
  <x:si>
    <x:t>El presente contrato menor tiene por objeto la organización y prestación del servicio para la celebración de meriendas populares, en el marco de las Fiestas de Navidad 2025/26 a celebrar en Móstoles</x:t>
  </x:si>
  <x:si>
    <x:t>C/073/FEST/2025-007</x:t>
  </x:si>
  <x:si>
    <x:t/>
  </x:si>
  <x:si>
    <x:t>2025155168</x:t>
  </x:si>
  <x:si>
    <x:t>ALCALDÍA DEL AYUNTAMIENTO DE ARGANDA DEL REY (MADRID)</x:t>
  </x:si>
  <x:si>
    <x:t>Creación, realización, montaje y desmontaje del stand de Arganda en FITUR 2026</x:t>
  </x:si>
  <x:si>
    <x:t>92C/2025/27005</x:t>
  </x:si>
  <x:si>
    <x:t/>
  </x:si>
  <x:si>
    <x:t>IFEMA - Institución Ferial de Madrid</x:t>
  </x:si>
  <x:si>
    <x:t>2025155198</x:t>
  </x:si>
  <x:si>
    <x:t>IFEMA - INSTITUCIÓN FERIAL DE MADRID</x:t>
  </x:si>
  <x:si>
    <x:t>Servicio integral de coordinación de medios, acreditaciones para prensa, protocolo y atencion de invitados VIP para actuar como interlocutor ante los
 medios de comunicación, FIA, F1, equipos y demás actores relevantes para el Gran
 Premio F1.</x:t>
  </x:si>
  <x:si>
    <x:t>25/187</x:t>
  </x:si>
  <x:si>
    <x:t/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</x:si>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</x:sst>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425623.73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HYPERLINK("https://contrataciondelestado.es/wps/poc?uri=deeplink:detalle_licitacion&amp;idEvl=SS1lC9xHEhctm4eBPtV6eQ%3D%3D","contrataciondelestado.es/wps/poc?uri=deeplink:detalle_licitacion&amp;idEvl=SS1lC9xHEhctm4eBPtV6eQ%3D%3D")</x:f>
        <x:v>contrataciondelestado.es/wps/poc?uri=deeplink:detalle_licitacion&amp;idEvl=SS1lC9xHEhctm4eBPtV6eQ%3D%3D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HYPERLINK("https://www.infonalia.es/licitaciones1125/2025154533.pdf","www.infonalia.es/licitaciones1125/2025154533.pdf")</x:f>
        <x:v>www.infonalia.es/licitaciones1125/2025154533.pdf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17603.92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HYPERLINK("https://contractaciopublica.cat/ca/detall-publicacio/d2dd4782-4b8e-4dc4-aab1-b1860f3bfc83/300597438","contractaciopublica.cat/ca/detall-publicacio/d2dd4782-4b8e-4dc4-aab1-b1860f3bfc83/300597438")</x:f>
        <x:v>contractaciopublica.cat/ca/detall-publicacio/d2dd4782-4b8e-4dc4-aab1-b1860f3bfc83/300597438</x:v>
      </x:c>
      <x:c r="M3" s="11" t="s">
        <x:v>27</x:v>
      </x:c>
      <x:c r="N3" s="13" t="s">
        <x:v>36</x:v>
      </x:c>
      <x:c r="O3" s="11" t="s">
        <x:v>37</x:v>
      </x:c>
      <x:c r="P3" s="11" t="s">
        <x:v>38</x:v>
      </x:c>
      <x:c r="Q3" s="14" t="str">
        <x:f xml:space="preserve">HYPERLINK("https://www.infonalia.es/licitaciones1125/2025154575.pdf","www.infonalia.es/licitaciones1125/2025154575.pdf")</x:f>
        <x:v>www.infonalia.es/licitaciones1125/2025154575.pdf</x:v>
      </x:c>
    </x:row>
    <x:row r="4">
      <x:c r="A4" s="6" t="s">
        <x:v>17</x:v>
      </x:c>
      <x:c r="B4" s="6" t="s">
        <x:v>18</x:v>
      </x:c>
      <x:c r="C4" s="7" t="s">
        <x:v>39</x:v>
      </x:c>
      <x:c r="D4" s="8" t="s">
        <x:v>40</x:v>
      </x:c>
      <x:c r="E4" s="9" t="s">
        <x:v>21</x:v>
      </x:c>
      <x:c r="F4" s="6" t="s">
        <x:v>41</x:v>
      </x:c>
      <x:c r="G4" s="6" t="s">
        <x:v>42</x:v>
      </x:c>
      <x:c r="H4" s="6" t="s">
        <x:v>43</x:v>
      </x:c>
      <x:c r="I4" s="10" t="n">
        <x:v>43000.00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HYPERLINK("https://contractaciopublica.cat/ca/detall-publicacio/93b31047-22b4-4b07-96ba-d231b43bd12e/300601883","contractaciopublica.cat/ca/detall-publicacio/93b31047-22b4-4b07-96ba-d231b43bd12e/300601883")</x:f>
        <x:v>contractaciopublica.cat/ca/detall-publicacio/93b31047-22b4-4b07-96ba-d231b43bd12e/300601883</x:v>
      </x:c>
      <x:c r="M4" s="11" t="s">
        <x:v>27</x:v>
      </x:c>
      <x:c r="N4" s="13" t="s">
        <x:v>36</x:v>
      </x:c>
      <x:c r="O4" s="11" t="s">
        <x:v>44</x:v>
      </x:c>
      <x:c r="P4" s="11" t="s">
        <x:v>45</x:v>
      </x:c>
      <x:c r="Q4" s="14" t="str">
        <x:f xml:space="preserve">HYPERLINK("https://www.infonalia.es/licitaciones1125/2025154592.pdf","www.infonalia.es/licitaciones1125/2025154592.pdf")</x:f>
        <x:v>www.infonalia.es/licitaciones1125/2025154592.pdf</x:v>
      </x:c>
    </x:row>
    <x:row r="5">
      <x:c r="A5" s="6" t="s">
        <x:v>17</x:v>
      </x:c>
      <x:c r="B5" s="6" t="s">
        <x:v>18</x:v>
      </x:c>
      <x:c r="C5" s="7" t="s">
        <x:v>31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114000.00</x:v>
      </x:c>
      <x:c r="J5" s="11" t="s">
        <x:v>25</x:v>
      </x:c>
      <x:c r="K5" s="11" t="s">
        <x:v>26</x:v>
      </x:c>
      <x:c r="L5" s="12" t="str">
        <x:f xml:space="preserve">HYPERLINK("https://contrataciondelestado.es/wps/poc?uri=deeplink:detalle_licitacion&amp;idEvl=BBAJIV8c%2F5KcTfjQf3USOg%3D%3D","contrataciondelestado.es/wps/poc?uri=deeplink:detalle_licitacion&amp;idEvl=BBAJIV8c%2F5KcTfjQf3USOg%3D%3D")</x:f>
        <x:v>contrataciondelestado.es/wps/poc?uri=deeplink:detalle_licitacion&amp;idEvl=BBAJIV8c%2F5KcTfjQf3USOg%3D%3D</x:v>
      </x:c>
      <x:c r="M5" s="11" t="s">
        <x:v>27</x:v>
      </x:c>
      <x:c r="N5" s="13" t="s">
        <x:v>36</x:v>
      </x:c>
      <x:c r="O5" s="11" t="s">
        <x:v>50</x:v>
      </x:c>
      <x:c r="P5" s="11" t="s">
        <x:v>51</x:v>
      </x:c>
      <x:c r="Q5" s="14" t="str">
        <x:f xml:space="preserve">HYPERLINK("https://www.infonalia.es/licitaciones1125/2025154602.pdf","www.infonalia.es/licitaciones1125/2025154602.pdf")</x:f>
        <x:v>www.infonalia.es/licitaciones1125/2025154602.pdf</x:v>
      </x:c>
    </x:row>
    <x:row r="6">
      <x:c r="A6" s="6" t="s">
        <x:v>17</x:v>
      </x:c>
      <x:c r="B6" s="6" t="s">
        <x:v>18</x:v>
      </x:c>
      <x:c r="C6" s="7" t="s">
        <x:v>52</x:v>
      </x:c>
      <x:c r="D6" s="8" t="s">
        <x:v>53</x:v>
      </x:c>
      <x:c r="E6" s="9" t="s">
        <x:v>21</x:v>
      </x:c>
      <x:c r="F6" s="6" t="s">
        <x:v>54</x:v>
      </x:c>
      <x:c r="G6" s="6" t="s">
        <x:v>55</x:v>
      </x:c>
      <x:c r="H6" s="6" t="s">
        <x:v>56</x:v>
      </x:c>
      <x:c r="I6" s="10" t="n">
        <x:v>138106.40</x:v>
      </x:c>
      <x:c r="J6" s="11" t="s">
        <x:v>25</x:v>
      </x:c>
      <x:c r="K6" s="11" t="s">
        <x:v>26</x:v>
      </x:c>
      <x:c r="L6" s="12" t="str">
        <x:f xml:space="preserve">HYPERLINK("https://contractaciopublica.cat/ca/detall-publicacio/f1c1eb65-62b5-4812-b4fe-0aa87abe785d/300601309","contractaciopublica.cat/ca/detall-publicacio/f1c1eb65-62b5-4812-b4fe-0aa87abe785d/300601309")</x:f>
        <x:v>contractaciopublica.cat/ca/detall-publicacio/f1c1eb65-62b5-4812-b4fe-0aa87abe785d/300601309</x:v>
      </x:c>
      <x:c r="M6" s="11" t="s">
        <x:v>27</x:v>
      </x:c>
      <x:c r="N6" s="13" t="s">
        <x:v>36</x:v>
      </x:c>
      <x:c r="O6" s="11" t="s">
        <x:v>57</x:v>
      </x:c>
      <x:c r="P6" s="11" t="s">
        <x:v>58</x:v>
      </x:c>
      <x:c r="Q6" s="14" t="str">
        <x:f xml:space="preserve">HYPERLINK("https://www.infonalia.es/licitaciones1125/2025154714.pdf","www.infonalia.es/licitaciones1125/2025154714.pdf")</x:f>
        <x:v>www.infonalia.es/licitaciones1125/2025154714.pdf</x:v>
      </x:c>
    </x:row>
    <x:row r="7">
      <x:c r="A7" s="6" t="s">
        <x:v>17</x:v>
      </x:c>
      <x:c r="B7" s="6" t="s">
        <x:v>18</x:v>
      </x:c>
      <x:c r="C7" s="7" t="s">
        <x:v>31</x:v>
      </x:c>
      <x:c r="D7" s="8" t="s">
        <x:v>59</x:v>
      </x:c>
      <x:c r="E7" s="9" t="s">
        <x:v>21</x:v>
      </x:c>
      <x:c r="F7" s="6" t="s">
        <x:v>60</x:v>
      </x:c>
      <x:c r="G7" s="6" t="s">
        <x:v>61</x:v>
      </x:c>
      <x:c r="H7" s="6" t="s">
        <x:v>62</x:v>
      </x:c>
      <x:c r="I7" s="10" t="n">
        <x:v>65250.83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HYPERLINK("https://contrataciondelestado.es/wps/poc?uri=deeplink:detalle_licitacion&amp;idEvl=0R3VA6ITevbzAq95uGTrDQ%3D%3D","contrataciondelestado.es/wps/poc?uri=deeplink:detalle_licitacion&amp;idEvl=0R3VA6ITevbzAq95uGTrDQ%3D%3D")</x:f>
        <x:v>contrataciondelestado.es/wps/poc?uri=deeplink:detalle_licitacion&amp;idEvl=0R3VA6ITevbzAq95uGTrDQ%3D%3D</x:v>
      </x:c>
      <x:c r="M7" s="11" t="s">
        <x:v>27</x:v>
      </x:c>
      <x:c r="N7" s="13" t="s">
        <x:v>36</x:v>
      </x:c>
      <x:c r="O7" s="11" t="s">
        <x:v>63</x:v>
      </x:c>
      <x:c r="P7" s="11" t="s">
        <x:v>30</x:v>
      </x:c>
      <x:c r="Q7" s="14" t="str">
        <x:f xml:space="preserve">HYPERLINK("https://www.infonalia.es/licitaciones1125/2025154749.pdf","www.infonalia.es/licitaciones1125/2025154749.pdf")</x:f>
        <x:v>www.infonalia.es/licitaciones1125/2025154749.pdf</x:v>
      </x:c>
    </x:row>
    <x:row r="8">
      <x:c r="A8" s="6" t="s">
        <x:v>17</x:v>
      </x:c>
      <x:c r="B8" s="6" t="s">
        <x:v>18</x:v>
      </x:c>
      <x:c r="C8" s="7" t="s">
        <x:v>31</x:v>
      </x:c>
      <x:c r="D8" s="8" t="s">
        <x:v>64</x:v>
      </x:c>
      <x:c r="E8" s="9" t="s">
        <x:v>21</x:v>
      </x:c>
      <x:c r="F8" s="6" t="s">
        <x:v>65</x:v>
      </x:c>
      <x:c r="G8" s="6" t="s">
        <x:v>66</x:v>
      </x:c>
      <x:c r="H8" s="6" t="s">
        <x:v>67</x:v>
      </x:c>
      <x:c r="I8" s="10" t="n">
        <x:v>58713.85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HYPERLINK("https://contrataciondelestado.es/wps/poc?uri=deeplink:detalle_licitacion&amp;idEvl=kTaHPNwGI%2F5%2FP7lJ7Fu0SA%3D%3D","contrataciondelestado.es/wps/poc?uri=deeplink:detalle_licitacion&amp;idEvl=kTaHPNwGI%2F5%2FP7lJ7Fu0SA%3D%3D")</x:f>
        <x:v>contrataciondelestado.es/wps/poc?uri=deeplink:detalle_licitacion&amp;idEvl=kTaHPNwGI%2F5%2FP7lJ7Fu0SA%3D%3D</x:v>
      </x:c>
      <x:c r="M8" s="11" t="s">
        <x:v>27</x:v>
      </x:c>
      <x:c r="N8" s="13" t="s">
        <x:v>36</x:v>
      </x:c>
      <x:c r="O8" s="11" t="s">
        <x:v>68</x:v>
      </x:c>
      <x:c r="P8" s="11" t="s">
        <x:v>30</x:v>
      </x:c>
      <x:c r="Q8" s="14" t="str">
        <x:f xml:space="preserve">HYPERLINK("https://www.infonalia.es/licitaciones1125/2025154837.pdf","www.infonalia.es/licitaciones1125/2025154837.pdf")</x:f>
        <x:v>www.infonalia.es/licitaciones1125/2025154837.pdf</x:v>
      </x:c>
    </x:row>
    <x:row r="9">
      <x:c r="A9" s="6" t="s">
        <x:v>17</x:v>
      </x:c>
      <x:c r="B9" s="6" t="s">
        <x:v>18</x:v>
      </x:c>
      <x:c r="C9" s="7" t="s">
        <x:v>69</x:v>
      </x:c>
      <x:c r="D9" s="8" t="s">
        <x:v>70</x:v>
      </x:c>
      <x:c r="E9" s="9" t="s">
        <x:v>21</x:v>
      </x:c>
      <x:c r="F9" s="6" t="s">
        <x:v>71</x:v>
      </x:c>
      <x:c r="G9" s="6" t="s">
        <x:v>72</x:v>
      </x:c>
      <x:c r="H9" s="6" t="s">
        <x:v>73</x:v>
      </x:c>
      <x:c r="I9" s="10" t="n">
        <x:v>7500.00</x:v>
      </x:c>
      <x:c r="J9" s="11" t="s">
        <x:v>25</x:v>
      </x:c>
      <x:c r="K9" s="11" t="s">
        <x:v>26</x:v>
      </x:c>
      <x:c r="L9" s="12" t="str">
        <x:f xml:space="preserve">HYPERLINK("https://contratos-publicos.comunidad.madrid/contrato-publico/seguimiento-impactos-medios-comunicacion-fundacion-canal-isabel-ii","contratos-publicos.comunidad.madrid/contrato-publico/seguimiento-impactos-medios-comunicacion-fundacion-canal-isabel-ii")</x:f>
        <x:v>contratos-publicos.comunidad.madrid/contrato-publico/seguimiento-impactos-medios-comunicacion-fundacion-canal-isabel-ii</x:v>
      </x:c>
      <x:c r="M9" s="11" t="s">
        <x:v>27</x:v>
      </x:c>
      <x:c r="N9" s="13" t="s">
        <x:v>36</x:v>
      </x:c>
      <x:c r="O9" s="11" t="s">
        <x:v>74</x:v>
      </x:c>
      <x:c r="P9" s="11" t="s">
        <x:v>30</x:v>
      </x:c>
      <x:c r="Q9" s="14" t="str">
        <x:f xml:space="preserve">HYPERLINK("https://www.infonalia.es/licitaciones1125/2025154903.pdf","www.infonalia.es/licitaciones1125/2025154903.pdf")</x:f>
        <x:v>www.infonalia.es/licitaciones1125/2025154903.pdf</x:v>
      </x:c>
    </x:row>
    <x:row r="10">
      <x:c r="A10" s="6" t="s">
        <x:v>17</x:v>
      </x:c>
      <x:c r="B10" s="6" t="s">
        <x:v>18</x:v>
      </x:c>
      <x:c r="C10" s="7" t="s">
        <x:v>75</x:v>
      </x:c>
      <x:c r="D10" s="8" t="s">
        <x:v>76</x:v>
      </x:c>
      <x:c r="E10" s="9" t="s">
        <x:v>21</x:v>
      </x:c>
      <x:c r="F10" s="6" t="s">
        <x:v>77</x:v>
      </x:c>
      <x:c r="G10" s="6" t="s">
        <x:v>78</x:v>
      </x:c>
      <x:c r="H10" s="6" t="s">
        <x:v>79</x:v>
      </x:c>
      <x:c r="I10" s="10" t="n">
        <x:v>76486.30</x:v>
      </x:c>
      <x:c r="J10" s="11" t="s">
        <x:v>25</x:v>
      </x:c>
      <x:c r="K10" s="11" t="s">
        <x:v>26</x:v>
      </x:c>
      <x:c r="L10" s="12" t="str">
        <x:f xml:space="preserve">HYPERLINK("https://contractaciopublica.cat/ca/detall-publicacio/7ffd1076-5a7b-4c58-bbe4-765e1b4891f9/300603541","contractaciopublica.cat/ca/detall-publicacio/7ffd1076-5a7b-4c58-bbe4-765e1b4891f9/300603541")</x:f>
        <x:v>contractaciopublica.cat/ca/detall-publicacio/7ffd1076-5a7b-4c58-bbe4-765e1b4891f9/300603541</x:v>
      </x:c>
      <x:c r="M10" s="11" t="s">
        <x:v>27</x:v>
      </x:c>
      <x:c r="N10" s="13" t="s">
        <x:v>36</x:v>
      </x:c>
      <x:c r="O10" s="11" t="s">
        <x:v>80</x:v>
      </x:c>
      <x:c r="P10" s="11" t="s">
        <x:v>38</x:v>
      </x:c>
      <x:c r="Q10" s="14" t="str">
        <x:f xml:space="preserve">HYPERLINK("https://www.infonalia.es/licitaciones1125/2025154918.pdf","www.infonalia.es/licitaciones1125/2025154918.pdf")</x:f>
        <x:v>www.infonalia.es/licitaciones1125/2025154918.pdf</x:v>
      </x:c>
    </x:row>
    <x:row r="11">
      <x:c r="A11" s="6" t="s">
        <x:v>17</x:v>
      </x:c>
      <x:c r="B11" s="6" t="s">
        <x:v>18</x:v>
      </x:c>
      <x:c r="C11" s="7" t="s">
        <x:v>81</x:v>
      </x:c>
      <x:c r="D11" s="8" t="s">
        <x:v>82</x:v>
      </x:c>
      <x:c r="E11" s="9" t="s">
        <x:v>21</x:v>
      </x:c>
      <x:c r="F11" s="6" t="s">
        <x:v>83</x:v>
      </x:c>
      <x:c r="G11" s="6" t="s">
        <x:v>84</x:v>
      </x:c>
      <x:c r="H11" s="6" t="s">
        <x:v>85</x:v>
      </x:c>
      <x:c r="I11" s="10" t="n">
        <x:v>22000000.00</x:v>
      </x:c>
      <x:c r="J11" s="11" t="s">
        <x:v>25</x:v>
      </x:c>
      <x:c r="K11" s="11" t="s">
        <x:v>26</x:v>
      </x:c>
      <x:c r="L11" s="12" t="str">
        <x:f xml:space="preserve">HYPERLINK("https://contrataciondelestado.es/wps/poc?uri=deeplink:detalle_licitacion&amp;idEvl=Lq%2F48asOjvfECtSnloz%2BZQ%3D%3D","contrataciondelestado.es/wps/poc?uri=deeplink:detalle_licitacion&amp;idEvl=Lq%2F48asOjvfECtSnloz%2BZQ%3D%3D")</x:f>
        <x:v>contrataciondelestado.es/wps/poc?uri=deeplink:detalle_licitacion&amp;idEvl=Lq%2F48asOjvfECtSnloz%2BZQ%3D%3D</x:v>
      </x:c>
      <x:c r="M11" s="11" t="s">
        <x:v>27</x:v>
      </x:c>
      <x:c r="N11" s="13" t="s">
        <x:v>36</x:v>
      </x:c>
      <x:c r="O11" s="11" t="s">
        <x:v>86</x:v>
      </x:c>
      <x:c r="P11" s="11" t="s">
        <x:v>30</x:v>
      </x:c>
      <x:c r="Q11" s="14" t="str">
        <x:f xml:space="preserve">HYPERLINK("https://www.infonalia.es/licitaciones1125/2025154928.pdf","www.infonalia.es/licitaciones1125/2025154928.pdf")</x:f>
        <x:v>www.infonalia.es/licitaciones1125/2025154928.pdf</x:v>
      </x:c>
    </x:row>
    <x:row r="12">
      <x:c r="A12" s="6" t="s">
        <x:v>17</x:v>
      </x:c>
      <x:c r="B12" s="6" t="s">
        <x:v>87</x:v>
      </x:c>
      <x:c r="C12" s="7" t="s">
        <x:v>31</x:v>
      </x:c>
      <x:c r="D12" s="8" t="s">
        <x:v>88</x:v>
      </x:c>
      <x:c r="E12" s="9" t="s">
        <x:v>21</x:v>
      </x:c>
      <x:c r="F12" s="6" t="s">
        <x:v>89</x:v>
      </x:c>
      <x:c r="G12" s="6" t="s">
        <x:v>90</x:v>
      </x:c>
      <x:c r="H12" s="6" t="s">
        <x:v>91</x:v>
      </x:c>
      <x:c r="I12" s="10" t="n">
        <x:v>9000.00</x:v>
      </x:c>
      <x:c r="J12" s="11" t="s">
        <x:v>25</x:v>
      </x:c>
      <x:c r="K12" s="11" t="s">
        <x:v>92</x:v>
      </x:c>
      <x:c r="L12" s="12" t="str">
        <x:f xml:space="preserve">HYPERLINK("https://www.juntadeandalucia.es/haciendayadministracionpublica/apl/pdc-front-publico/perfiles-licitaciones/detalle-licitacion?idExpediente=864901","www.juntadeandalucia.es/haciendayadministracionpublica/apl/pdc-front-publico/perfiles-licitaciones/detalle-licitacion?idExpediente=864901")</x:f>
        <x:v>www.juntadeandalucia.es/haciendayadministracionpublica/apl/pdc-front-publico/perfiles-licitaciones/detalle-licitacion?idExpediente=864901</x:v>
      </x:c>
      <x:c r="M12" s="11" t="s">
        <x:v>27</x:v>
      </x:c>
      <x:c r="N12" s="13" t="s">
        <x:v>36</x:v>
      </x:c>
      <x:c r="O12" s="11" t="s">
        <x:v>93</x:v>
      </x:c>
      <x:c r="P12" s="11" t="s">
        <x:v>30</x:v>
      </x:c>
      <x:c r="Q12" s="14" t="str">
        <x:f xml:space="preserve">HYPERLINK("https://www.infonalia.es/licitaciones1125/2025155043.pdf","www.infonalia.es/licitaciones1125/2025155043.pdf")</x:f>
        <x:v>www.infonalia.es/licitaciones1125/2025155043.pdf</x:v>
      </x:c>
    </x:row>
    <x:row r="13">
      <x:c r="A13" s="6" t="s">
        <x:v>17</x:v>
      </x:c>
      <x:c r="B13" s="6" t="s">
        <x:v>94</x:v>
      </x:c>
      <x:c r="C13" s="7" t="s">
        <x:v>95</x:v>
      </x:c>
      <x:c r="D13" s="8" t="s">
        <x:v>96</x:v>
      </x:c>
      <x:c r="E13" s="9" t="s">
        <x:v>21</x:v>
      </x:c>
      <x:c r="F13" s="6" t="s">
        <x:v>97</x:v>
      </x:c>
      <x:c r="G13" s="6" t="s">
        <x:v>98</x:v>
      </x:c>
      <x:c r="H13" s="6" t="s">
        <x:v>99</x:v>
      </x:c>
      <x:c r="I13" s="10" t="n">
        <x:v>4000.00</x:v>
      </x:c>
      <x:c r="J13" s="11" t="s">
        <x:v>100</x:v>
      </x:c>
      <x:c r="K13" s="11" t="s">
        <x:v>101</x:v>
      </x:c>
      <x:c r="L13" s="12" t="str">
        <x:f xml:space="preserve">HYPERLINK("https://contractaciopublica.cat/es/detall-publicacio/300605102","contractaciopublica.cat/es/detall-publicacio/300605102")</x:f>
        <x:v>contractaciopublica.cat/es/detall-publicacio/300605102</x:v>
      </x:c>
      <x:c r="M13" s="11" t="s">
        <x:v>27</x:v>
      </x:c>
      <x:c r="N13" s="13" t="s">
        <x:v>36</x:v>
      </x:c>
      <x:c r="O13" s="11" t="s">
        <x:v>102</x:v>
      </x:c>
      <x:c r="P13" s="11" t="s">
        <x:v>38</x:v>
      </x:c>
      <x:c r="Q13" s="14" t="str">
        <x:f xml:space="preserve">HYPERLINK("https://www.infonalia.es/licitaciones1125/2025155065.pdf","www.infonalia.es/licitaciones1125/2025155065.pdf")</x:f>
        <x:v>www.infonalia.es/licitaciones1125/2025155065.pdf</x:v>
      </x:c>
    </x:row>
    <x:row r="14">
      <x:c r="A14" s="6" t="s">
        <x:v>17</x:v>
      </x:c>
      <x:c r="B14" s="6" t="s">
        <x:v>103</x:v>
      </x:c>
      <x:c r="C14" s="7" t="s">
        <x:v>104</x:v>
      </x:c>
      <x:c r="D14" s="8" t="s">
        <x:v>105</x:v>
      </x:c>
      <x:c r="E14" s="9" t="s">
        <x:v>21</x:v>
      </x:c>
      <x:c r="F14" s="6" t="s">
        <x:v>106</x:v>
      </x:c>
      <x:c r="G14" s="6" t="s">
        <x:v>107</x:v>
      </x:c>
      <x:c r="H14" s="6" t="s">
        <x:v>108</x:v>
      </x:c>
      <x:c r="I14" s="10" t="n">
        <x:v>13000.00</x:v>
      </x:c>
      <x:c r="J14" s="11" t="s">
        <x:v>100</x:v>
      </x:c>
      <x:c r="K14" s="11" t="s">
        <x:v>109</x:v>
      </x:c>
      <x:c r="L14" s="12" t="str">
        <x:f xml:space="preserve">HYPERLINK("https://miprincipado.asturias.es/perfil-contratante/ofertas-contratos-menores","miprincipado.asturias.es/perfil-contratante/ofertas-contratos-menores")</x:f>
        <x:v>miprincipado.asturias.es/perfil-contratante/ofertas-contratos-menores</x:v>
      </x:c>
      <x:c r="M14" s="11" t="s">
        <x:v>27</x:v>
      </x:c>
      <x:c r="N14" s="13" t="s">
        <x:v>36</x:v>
      </x:c>
      <x:c r="O14" s="11" t="s">
        <x:v>110</x:v>
      </x:c>
      <x:c r="P14" s="11" t="s">
        <x:v>51</x:v>
      </x:c>
      <x:c r="Q14" s="14" t="str">
        <x:f xml:space="preserve">HYPERLINK("https://www.infonalia.es/licitaciones1125/2025155075.pdf","www.infonalia.es/licitaciones1125/2025155075.pdf")</x:f>
        <x:v>www.infonalia.es/licitaciones1125/2025155075.pdf</x:v>
      </x:c>
    </x:row>
    <x:row r="15">
      <x:c r="A15" s="6" t="s">
        <x:v>17</x:v>
      </x:c>
      <x:c r="B15" s="6" t="s">
        <x:v>94</x:v>
      </x:c>
      <x:c r="C15" s="7" t="s">
        <x:v>26</x:v>
      </x:c>
      <x:c r="D15" s="8" t="s">
        <x:v>111</x:v>
      </x:c>
      <x:c r="E15" s="9" t="s">
        <x:v>21</x:v>
      </x:c>
      <x:c r="F15" s="6" t="s">
        <x:v>112</x:v>
      </x:c>
      <x:c r="G15" s="6" t="s">
        <x:v>113</x:v>
      </x:c>
      <x:c r="H15" s="6" t="s">
        <x:v>114</x:v>
      </x:c>
      <x:c r="I15" s="10" t="n">
        <x:v>123112.49</x:v>
      </x:c>
      <x:c r="J15" s="11" t="s">
        <x:v>100</x:v>
      </x:c>
      <x:c r="K15" s="11" t="s">
        <x:v>115</x:v>
      </x:c>
      <x:c r="L15" s="12" t="str">
        <x:f xml:space="preserve">HYPERLINK("https://contractaciopublica.cat/es/detall-publicacio/300597418","contractaciopublica.cat/es/detall-publicacio/300597418")</x:f>
        <x:v>contractaciopublica.cat/es/detall-publicacio/300597418</x:v>
      </x:c>
      <x:c r="M15" s="11" t="s">
        <x:v>27</x:v>
      </x:c>
      <x:c r="N15" s="13" t="s">
        <x:v>36</x:v>
      </x:c>
      <x:c r="O15" s="11" t="s">
        <x:v>116</x:v>
      </x:c>
      <x:c r="P15" s="11" t="s">
        <x:v>45</x:v>
      </x:c>
      <x:c r="Q15" s="14" t="str">
        <x:f xml:space="preserve">HYPERLINK("https://www.infonalia.es/licitaciones1125/2025155082.pdf","www.infonalia.es/licitaciones1125/2025155082.pdf")</x:f>
        <x:v>www.infonalia.es/licitaciones1125/2025155082.pdf</x:v>
      </x:c>
    </x:row>
    <x:row r="16">
      <x:c r="A16" s="6" t="s">
        <x:v>17</x:v>
      </x:c>
      <x:c r="B16" s="6" t="s">
        <x:v>18</x:v>
      </x:c>
      <x:c r="C16" s="7" t="s">
        <x:v>117</x:v>
      </x:c>
      <x:c r="D16" s="8" t="s">
        <x:v>118</x:v>
      </x:c>
      <x:c r="E16" s="9" t="s">
        <x:v>21</x:v>
      </x:c>
      <x:c r="F16" s="6" t="s">
        <x:v>60</x:v>
      </x:c>
      <x:c r="G16" s="6" t="s">
        <x:v>119</x:v>
      </x:c>
      <x:c r="H16" s="6" t="s">
        <x:v>120</x:v>
      </x:c>
      <x:c r="I16" s="10" t="n">
        <x:v>14400.00</x:v>
      </x:c>
      <x:c r="J16" s="11" t="s">
        <x:v>25</x:v>
      </x:c>
      <x:c r="K16" s="11" t="s">
        <x:v>26</x:v>
      </x:c>
      <x:c r="L16" s="12" t="str">
        <x:f xml:space="preserve">HYPERLINK("https://contrataciondelestado.es/wps/poc?uri=deeplink:detalle_licitacion&amp;idEvl=C7kPun%2B5Jbf5Rey58Yagpg%3D%3D","contrataciondelestado.es/wps/poc?uri=deeplink:detalle_licitacion&amp;idEvl=C7kPun%2B5Jbf5Rey58Yagpg%3D%3D")</x:f>
        <x:v>contrataciondelestado.es/wps/poc?uri=deeplink:detalle_licitacion&amp;idEvl=C7kPun%2B5Jbf5Rey58Yagpg%3D%3D</x:v>
      </x:c>
      <x:c r="M16" s="11" t="s">
        <x:v>27</x:v>
      </x:c>
      <x:c r="N16" s="13" t="s">
        <x:v>36</x:v>
      </x:c>
      <x:c r="O16" s="11" t="s">
        <x:v>121</x:v>
      </x:c>
      <x:c r="P16" s="11" t="s">
        <x:v>30</x:v>
      </x:c>
      <x:c r="Q16" s="14" t="str">
        <x:f xml:space="preserve">HYPERLINK("https://www.infonalia.es/licitaciones1125/2025155134.pdf","www.infonalia.es/licitaciones1125/2025155134.pdf")</x:f>
        <x:v>www.infonalia.es/licitaciones1125/2025155134.pdf</x:v>
      </x:c>
    </x:row>
    <x:row r="17">
      <x:c r="A17" s="6" t="s">
        <x:v>17</x:v>
      </x:c>
      <x:c r="B17" s="6" t="s">
        <x:v>18</x:v>
      </x:c>
      <x:c r="C17" s="7" t="s">
        <x:v>95</x:v>
      </x:c>
      <x:c r="D17" s="8" t="s">
        <x:v>122</x:v>
      </x:c>
      <x:c r="E17" s="9" t="s">
        <x:v>21</x:v>
      </x:c>
      <x:c r="F17" s="6" t="s">
        <x:v>123</x:v>
      </x:c>
      <x:c r="G17" s="6" t="s">
        <x:v>124</x:v>
      </x:c>
      <x:c r="H17" s="6" t="s">
        <x:v>125</x:v>
      </x:c>
      <x:c r="I17" s="10" t="n">
        <x:v>15000.00</x:v>
      </x:c>
      <x:c r="J17" s="11" t="s">
        <x:v>25</x:v>
      </x:c>
      <x:c r="K17" s="11" t="s">
        <x:v>26</x:v>
      </x:c>
      <x:c r="L17" s="12" t="str">
        <x:f xml:space="preserve">HYPERLINK("https://contrataciondelestado.es/wps/poc?uri=deeplink:detalle_licitacion&amp;idEvl=PfeYS%2FFHwqkXhk1FZxEyvw%3D%3D","contrataciondelestado.es/wps/poc?uri=deeplink:detalle_licitacion&amp;idEvl=PfeYS%2FFHwqkXhk1FZxEyvw%3D%3D")</x:f>
        <x:v>contrataciondelestado.es/wps/poc?uri=deeplink:detalle_licitacion&amp;idEvl=PfeYS%2FFHwqkXhk1FZxEyvw%3D%3D</x:v>
      </x:c>
      <x:c r="M17" s="11" t="s">
        <x:v>27</x:v>
      </x:c>
      <x:c r="N17" s="13" t="s">
        <x:v>36</x:v>
      </x:c>
      <x:c r="O17" s="11" t="s">
        <x:v>126</x:v>
      </x:c>
      <x:c r="P17" s="11" t="s">
        <x:v>30</x:v>
      </x:c>
      <x:c r="Q17" s="14" t="str">
        <x:f xml:space="preserve">HYPERLINK("https://www.infonalia.es/licitaciones1125/2025155168.pdf","www.infonalia.es/licitaciones1125/2025155168.pdf")</x:f>
        <x:v>www.infonalia.es/licitaciones1125/2025155168.pdf</x:v>
      </x:c>
    </x:row>
    <x:row r="18">
      <x:c r="A18" s="6" t="s">
        <x:v>17</x:v>
      </x:c>
      <x:c r="B18" s="6" t="s">
        <x:v>127</x:v>
      </x:c>
      <x:c r="C18" s="7" t="s">
        <x:v>39</x:v>
      </x:c>
      <x:c r="D18" s="8" t="s">
        <x:v>128</x:v>
      </x:c>
      <x:c r="E18" s="9" t="s">
        <x:v>21</x:v>
      </x:c>
      <x:c r="F18" s="6" t="s">
        <x:v>129</x:v>
      </x:c>
      <x:c r="G18" s="6" t="s">
        <x:v>130</x:v>
      </x:c>
      <x:c r="H18" s="6" t="s">
        <x:v>131</x:v>
      </x:c>
      <x:c r="I18" s="10" t="n">
        <x:v>424000.00</x:v>
      </x:c>
      <x:c r="J18" s="11" t="s">
        <x:v>25</x:v>
      </x:c>
      <x:c r="K18" s="11" t="s">
        <x:v>132</x:v>
      </x:c>
      <x:c r="L18" s="12" t="str">
        <x:f xml:space="preserve">HYPERLINK("https://licitaciones2.ifema.es/licitacion/licitaciones/detalle?id=2984236","licitaciones2.ifema.es/licitacion/licitaciones/detalle?id=2984236")</x:f>
        <x:v>licitaciones2.ifema.es/licitacion/licitaciones/detalle?id=2984236</x:v>
      </x:c>
      <x:c r="M18" s="11" t="s">
        <x:v>27</x:v>
      </x:c>
      <x:c r="N18" s="13" t="s">
        <x:v>36</x:v>
      </x:c>
      <x:c r="O18" s="11" t="s">
        <x:v>133</x:v>
      </x:c>
      <x:c r="P18" s="11" t="s">
        <x:v>30</x:v>
      </x:c>
      <x:c r="Q18" s="14" t="str">
        <x:f xml:space="preserve">HYPERLINK("https://www.infonalia.es/licitaciones1125/2025155198.pdf","www.infonalia.es/licitaciones1125/2025155198.pdf")</x:f>
        <x:v>www.infonalia.es/licitaciones1125/2025155198.pdf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