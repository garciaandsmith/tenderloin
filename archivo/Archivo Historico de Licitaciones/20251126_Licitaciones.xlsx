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<x:sst xmlns:x="http://schemas.openxmlformats.org/spreadsheetml/2006/main" count="17" uniqueCount="17">
  <x:si>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</x:si>
  <x:si>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</x:si>
  <x:si>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</x:si>
  <x:si>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</x:si>
  <x:si>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</x:si>
  <x:si>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</x:si>
  <x:si>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</x:si>
  <x:si>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</x:si>
  <x:si>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</x:si>
  <x:si>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</x:si>
  <x:si>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</x:si>
  <x:si>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</x:si>
  <x:si>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</x:si>
  <x:si>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</x:si>
  <x:si>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</x:si>
  <x:si>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</x:si>
  <x:si>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</x:si>
  <x:si>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</x:si>
  <x:si>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</x:si>
  <x:si>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11/12/2025</x:t>
  </x:si>
  <x:si>
    <x:t>2025168534</x:t>
  </x:si>
  <x:si>
    <x:t>26/11/2025</x:t>
  </x:si>
  <x:si>
    <x:t>MINISTERIO DE CIENCIA, INNOVACIÓN Y UNIVERSIDADES. SUBSECRETARÍA DE CIENCIA, INNOVACIÓN Y UNIVERSIDADES</x:t>
  </x:si>
  <x:si>
    <x:t>Servicio de diseño, maquetación, impresión y encuadernación de un libro denominado "ESPAÑA INNOVA EN 2025".</x:t>
  </x:si>
  <x:si>
    <x:t>202500000221</x:t>
  </x:si>
  <x:si>
    <x:t>Importe sin impuestos</x:t>
  </x:si>
  <x:si>
    <x:t/>
  </x:si>
  <x:si>
    <x:t>-----</x:t>
  </x:si>
  <x:si>
    <x:t>25/11/2025</x:t>
  </x:si>
  <x:si>
    <x:t/>
  </x:si>
  <x:si>
    <x:t>Madrid</x:t>
  </x:si>
  <x:si>
    <x:t>02/12/2025</x:t>
  </x:si>
  <x:si>
    <x:t>2025168540</x:t>
  </x:si>
  <x:si>
    <x:t>CORPORACIÓ CATALANA DE MITJANS AUDIOVISUALS, SA (CCMA, SA)</x:t>
  </x:si>
  <x:si>
    <x:t>Adquisición de una unidad de comentaristas para la cobertura de eventos deportivos y transmisiones en directo.</x:t>
  </x:si>
  <x:si>
    <x:t>2511MS12</x:t>
  </x:si>
  <x:si>
    <x:t/>
  </x:si>
  <x:si>
    <x:t>Catalunya</x:t>
  </x:si>
  <x:si>
    <x:t>10/12/2025</x:t>
  </x:si>
  <x:si>
    <x:t>2025168549</x:t>
  </x:si>
  <x:si>
    <x:t>AUTORITAT CATALANA DE PROTECCIÓ DE DADES</x:t>
  </x:si>
  <x:si>
    <x:t>Servicio de recopilación de prensa y su plataforma digital para el seguimiento de los medios de comunicación para la Autoridad Catalana de Protección de Datos.</x:t>
  </x:si>
  <x:si>
    <x:t>ACPD-2026-1</x:t>
  </x:si>
  <x:si>
    <x:t/>
  </x:si>
  <x:si>
    <x:t>Barcelona</x:t>
  </x:si>
  <x:si>
    <x:t>29/12/2025</x:t>
  </x:si>
  <x:si>
    <x:t>2025168663</x:t>
  </x:si>
  <x:si>
    <x:t>INSTITUTO DE CULTURA DE BARCELONA</x:t>
  </x:si>
  <x:si>
    <x:t>Servicios de oficina de producción técnica, artística y logística para la gestión de las actividades del Disseny Hub Barcelona.</x:t>
  </x:si>
  <x:si>
    <x:t>006_25001504</x:t>
  </x:si>
  <x:si>
    <x:t/>
  </x:si>
  <x:si>
    <x:t>2025168800</x:t>
  </x:si>
  <x:si>
    <x:t>PRESIDENCIA DE LA SOCIEDAD MERCANTIL ESTATAL PARA LA GESTIÓN DE LA INNOVACIÓN Y LAS TECNOLOGÍAS TURÍSTICAS, S.A.M.P. (SEGITTUR)</x:t>
  </x:si>
  <x:si>
    <x:t>Servicio de revisión del diseño gráfico, actualización, producción y distribución de los diferentes elementos distintivos del Sistema Integral de Calidad Turística Española en Destinos (SICTED) . Las necesidades a satifacer se especifican con mayor detalle en el PLIEGO DE PRESCRIPCIONES TÉCNICAS QUE RIGE LA CONTRATACIÓN</x:t>
  </x:si>
  <x:si>
    <x:t>372025</x:t>
  </x:si>
  <x:si>
    <x:t/>
  </x:si>
  <x:si>
    <x:t>2025168815</x:t>
  </x:si>
  <x:si>
    <x:t>MINISTERIO DE HACIENDA. DIRECCIÓN DEL SERVICIO DE GESTIÓN ECONÓMICA DE LA AGENCIA ESTATAL DE LA ADMINISTRACIÓN TRIBUTARIA</x:t>
  </x:si>
  <x:si>
    <x:t>Servicios de edición, maquetación, impresión y distribución del Manual de Renta 2025- Tomos I y II, y del Manual específico de Renta 2025 para mayores de 65 años. Lote 1: Manual práctico de Renta 2025, Tomos I y II. Lote 2: Manual específico de Renta 2025 para mayores de 65.</x:t>
  </x:si>
  <x:si>
    <x:t>25700107200</x:t>
  </x:si>
  <x:si>
    <x:t/>
  </x:si>
  <x:si>
    <x:t>Ver pliegos</x:t>
  </x:si>
  <x:si>
    <x:t>26/12/2025</x:t>
  </x:si>
  <x:si>
    <x:t>2025168849</x:t>
  </x:si>
  <x:si>
    <x:t>ALCALDÍA DEL AYUNTAMIENTO DE GIJÓN (ASTURIAS)</x:t>
  </x:si>
  <x:si>
    <x:t>PRTR - Contrato mixto, por lotes, de producciones audiovisuales e interactivas y equipamiento necesario para el Parque Arqueológico Natural de la Campa Torres, con fines turísticos y culturales, que cuenta con financiación europea Nextgeneration UE, a través del Plan de Recuperación, Transformación y Resiliencia. Lote 1: Creación de producción audiovisual y realidad aumentada. Lote 2: Realización e instalación de mobiliario. Lote 3: Suministro e instalación de equipamiento hardware.</x:t>
  </x:si>
  <x:si>
    <x:t>105171K/2025</x:t>
  </x:si>
  <x:si>
    <x:t/>
  </x:si>
  <x:si>
    <x:t>Asturias</x:t>
  </x:si>
  <x:si>
    <x:t>Barcelona. Perfil del Contratante del Ayuntamiento</x:t>
  </x:si>
  <x:si>
    <x:t>03/12/2025</x:t>
  </x:si>
  <x:si>
    <x:t>2025168880</x:t>
  </x:si>
  <x:si>
    <x:t>Digitalización, edición y gestión básica de fotografías de los fondos fotográficos del Archivo Fotográfico 
de Barcelona.</x:t>
  </x:si>
  <x:si>
    <x:t>006_P2501778</x:t>
  </x:si>
  <x:si>
    <x:t/>
  </x:si>
  <x:si>
    <x:t/>
  </x:si>
  <x:si>
    <x:t>2025168885</x:t>
  </x:si>
  <x:si>
    <x:t>AYUNTAMIENTO DE BARCELONA</x:t>
  </x:si>
  <x:si>
    <x:t>Diseño, dinamización y monitorización de las actividades familiares de ocio y juego relacionadas
 con el comercio que tendrán lugar en el espacio expositivo de la sede del Distrito de Les Corts 
durante las fiestas de Navidad.</x:t>
  </x:si>
  <x:si>
    <x:t>001_P2503376</x:t>
  </x:si>
  <x:si>
    <x:t/>
  </x:si>
  <x:si>
    <x:t/>
  </x:si>
  <x:si>
    <x:t>Asturias - Plataforma de Contratación</x:t>
  </x:si>
  <x:si>
    <x:t>04/12/2025</x:t>
  </x:si>
  <x:si>
    <x:t>2025168917</x:t>
  </x:si>
  <x:si>
    <x:t>PRINCIPADO DE ASTURIAS. CONSEJERÍA DE EDUCACIÓN</x:t>
  </x:si>
  <x:si>
    <x:t>Organización y ejecución de la Liga de Debate, iniciativa educativa conjunta de la Consejería
de Educación y la Junta General del Principado de Asturias de acuerdo con el Convenio para el
curso 2025/2026.</x:t>
  </x:si>
  <x:si>
    <x:t>CONP/2025/11285</x:t>
  </x:si>
  <x:si>
    <x:t>IVA excluido</x:t>
  </x:si>
  <x:si>
    <x:t/>
  </x:si>
  <x:si>
    <x:t/>
  </x:si>
  <x:si>
    <x:t>IFEMA - Institución Ferial de Madrid</x:t>
  </x:si>
  <x:si>
    <x:t>2025168938</x:t>
  </x:si>
  <x:si>
    <x:t>IFEMA - INSTITUCIÓN FERIAL DE MADRID</x:t>
  </x:si>
  <x:si>
    <x:t>Servicio integral de coordinación de medios, acreditaciones para prensa, protocolo y atencion de invitados VIP para actuar como
 interlocutor ante los medios de comunicación, FIA, F1, equipos y demás actores relevantes para el Gran Premio F1.</x:t>
  </x:si>
  <x:si>
    <x:t>25/211</x:t>
  </x:si>
  <x:si>
    <x:t/>
  </x:si>
  <x:si>
    <x:t>24/11/2025</x:t>
  </x:si>
  <x:si>
    <x:t/>
  </x:si>
  <x:si>
    <x:t>2025168939</x:t>
  </x:si>
  <x:si>
    <x:t>Servicio de montaje, mantenimiento y desmontaje de stands modulares y proyectos de diseño ferial así como la gestión de suministros y servicios necesarios para la competición Spain Skills edición 2026 promovida por el Ministerio de Educación, Formación Profesional y Deportes, que se celebrará en Ifema Madrid.</x:t>
  </x:si>
  <x:si>
    <x:t>25/210</x:t>
  </x:si>
  <x:si>
    <x:t/>
  </x:si>
  <x:si>
    <x:t/>
  </x:si>
  <x:si>
    <x:t>28/11/2025</x:t>
  </x:si>
  <x:si>
    <x:t>2025169004</x:t>
  </x:si>
  <x:si>
    <x:t>COMISIÓN DELEGADA DE LA FUNDACIÓN PARA LA INVESTIGACIÓN BIOMÉDICA DEL HOSPITAL UNIVERSITARIO LA PAZ</x:t>
  </x:si>
  <x:si>
    <x:t>Servicio integral de comunicación para un curso formativo de donación en asistolia</x:t>
  </x:si>
  <x:si>
    <x:t>CM 3645/25</x:t>
  </x:si>
  <x:si>
    <x:t/>
  </x:si>
  <x:si>
    <x:t>2025169102</x:t>
  </x:si>
  <x:si>
    <x:t>DIRECCIÓN DE BARCELONA SUPERCOMPUTING CENTER - CENTRO NACIONAL DE SUPERCOMPUTACIÓN (BSC-CNS)</x:t>
  </x:si>
  <x:si>
    <x:t>Servicio de apoyo para la dinamización de los Nodos Sectoriales de la BSC AI Factory para el Barcelona Supercomputing Center – Centro Nacional de Supercomputación (BSC-CNS) en el marco del Plan de Recuperación, Transformación y Resiliencia - Financiado por la Unión Europea – NextGenerationEU». Lote 1 Dinamización de los nodos sectoriales de Salud, Pharma y Biotech, el nodo de Agricultura, Clima y Economía Azul, y el nodo de Energía. Lote 2 Dinamización de los nodos sectoriales de Finanzas y Legal y el nodo de Comunicación y Medios.</x:t>
  </x:si>
  <x:si>
    <x:t>CONSER02025030OP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</x:si>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</x:sst>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59000.00</x:v>
      </x:c>
      <x:c r="J2" s="11" t="s">
        <x:v>25</x:v>
      </x:c>
      <x:c r="K2" s="11" t="s">
        <x:v>26</x:v>
      </x:c>
      <x:c r="L2" s="12" t="str">
        <x:f xml:space="preserve">HYPERLINK("https://contrataciondelestado.es/wps/poc?uri=deeplink:detalle_licitacion&amp;idEvl=I8jIdVGJ5PLi0Kd8%2Brcp6w%3D%3D","contrataciondelestado.es/wps/poc?uri=deeplink:detalle_licitacion&amp;idEvl=I8jIdVGJ5PLi0Kd8%2Brcp6w%3D%3D")</x:f>
        <x:v>contrataciondelestado.es/wps/poc?uri=deeplink:detalle_licitacion&amp;idEvl=I8jIdVGJ5PLi0Kd8%2Brcp6w%3D%3D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HYPERLINK("https://www.infonalia.es/licitaciones1125/2025168534.pdf","www.infonalia.es/licitaciones1125/2025168534.pdf")</x:f>
        <x:v>www.infonalia.es/licitaciones1125/2025168534.pdf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6500.00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HYPERLINK("https://contractaciopublica.cat/ca/detall-publicacio/069c1d52-5dab-44ff-b18e-968678833965/300629102","contractaciopublica.cat/ca/detall-publicacio/069c1d52-5dab-44ff-b18e-968678833965/300629102")</x:f>
        <x:v>contractaciopublica.cat/ca/detall-publicacio/069c1d52-5dab-44ff-b18e-968678833965/300629102</x:v>
      </x:c>
      <x:c r="M3" s="11" t="s">
        <x:v>27</x:v>
      </x:c>
      <x:c r="N3" s="13" t="s">
        <x:v>28</x:v>
      </x:c>
      <x:c r="O3" s="11" t="s">
        <x:v>36</x:v>
      </x:c>
      <x:c r="P3" s="11" t="s">
        <x:v>37</x:v>
      </x:c>
      <x:c r="Q3" s="14" t="str">
        <x:f xml:space="preserve">HYPERLINK("https://www.infonalia.es/licitaciones1125/2025168540.pdf","www.infonalia.es/licitaciones1125/2025168540.pdf")</x:f>
        <x:v>www.infonalia.es/licitaciones1125/2025168540.pdf</x:v>
      </x:c>
    </x:row>
    <x:row r="4">
      <x:c r="A4" s="6" t="s">
        <x:v>17</x:v>
      </x:c>
      <x:c r="B4" s="6" t="s">
        <x:v>18</x:v>
      </x:c>
      <x:c r="C4" s="7" t="s">
        <x:v>38</x:v>
      </x:c>
      <x:c r="D4" s="8" t="s">
        <x:v>39</x:v>
      </x:c>
      <x:c r="E4" s="9" t="s">
        <x:v>21</x:v>
      </x:c>
      <x:c r="F4" s="6" t="s">
        <x:v>40</x:v>
      </x:c>
      <x:c r="G4" s="6" t="s">
        <x:v>41</x:v>
      </x:c>
      <x:c r="H4" s="6" t="s">
        <x:v>42</x:v>
      </x:c>
      <x:c r="I4" s="10" t="n">
        <x:v>7500.00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HYPERLINK("https://contractaciopublica.cat/ca/detall-publicacio/2bfa478a-b552-4425-9334-f5c7e4131711/300628815","contractaciopublica.cat/ca/detall-publicacio/2bfa478a-b552-4425-9334-f5c7e4131711/300628815")</x:f>
        <x:v>contractaciopublica.cat/ca/detall-publicacio/2bfa478a-b552-4425-9334-f5c7e4131711/300628815</x:v>
      </x:c>
      <x:c r="M4" s="11" t="s">
        <x:v>27</x:v>
      </x:c>
      <x:c r="N4" s="13" t="s">
        <x:v>28</x:v>
      </x:c>
      <x:c r="O4" s="11" t="s">
        <x:v>43</x:v>
      </x:c>
      <x:c r="P4" s="11" t="s">
        <x:v>44</x:v>
      </x:c>
      <x:c r="Q4" s="14" t="str">
        <x:f xml:space="preserve">HYPERLINK("https://www.infonalia.es/licitaciones1125/2025168549.pdf","www.infonalia.es/licitaciones1125/2025168549.pdf")</x:f>
        <x:v>www.infonalia.es/licitaciones1125/2025168549.pdf</x:v>
      </x:c>
    </x:row>
    <x:row r="5">
      <x:c r="A5" s="6" t="s">
        <x:v>17</x:v>
      </x:c>
      <x:c r="B5" s="6" t="s">
        <x:v>18</x:v>
      </x:c>
      <x:c r="C5" s="7" t="s">
        <x:v>45</x:v>
      </x:c>
      <x:c r="D5" s="8" t="s">
        <x:v>46</x:v>
      </x:c>
      <x:c r="E5" s="9" t="s">
        <x:v>21</x:v>
      </x:c>
      <x:c r="F5" s="6" t="s">
        <x:v>47</x:v>
      </x:c>
      <x:c r="G5" s="6" t="s">
        <x:v>48</x:v>
      </x:c>
      <x:c r="H5" s="6" t="s">
        <x:v>49</x:v>
      </x:c>
      <x:c r="I5" s="10" t="n">
        <x:v>962644.63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HYPERLINK("https://contractaciopublica.cat/ca/detall-publicacio/cc52fb78-2dab-4739-be0d-8d3d13a237af/300627897","contractaciopublica.cat/ca/detall-publicacio/cc52fb78-2dab-4739-be0d-8d3d13a237af/300627897")</x:f>
        <x:v>contractaciopublica.cat/ca/detall-publicacio/cc52fb78-2dab-4739-be0d-8d3d13a237af/300627897</x:v>
      </x:c>
      <x:c r="M5" s="11" t="s">
        <x:v>27</x:v>
      </x:c>
      <x:c r="N5" s="13" t="s">
        <x:v>28</x:v>
      </x:c>
      <x:c r="O5" s="11" t="s">
        <x:v>50</x:v>
      </x:c>
      <x:c r="P5" s="11" t="s">
        <x:v>44</x:v>
      </x:c>
      <x:c r="Q5" s="14" t="str">
        <x:f xml:space="preserve">HYPERLINK("https://www.infonalia.es/licitaciones1125/2025168663.pdf","www.infonalia.es/licitaciones1125/2025168663.pdf")</x:f>
        <x:v>www.infonalia.es/licitaciones1125/2025168663.pdf</x:v>
      </x:c>
    </x:row>
    <x:row r="6">
      <x:c r="A6" s="6" t="s">
        <x:v>17</x:v>
      </x:c>
      <x:c r="B6" s="6" t="s">
        <x:v>18</x:v>
      </x:c>
      <x:c r="C6" s="7" t="s">
        <x:v>38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30085.88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HYPERLINK("https://contrataciondelestado.es/wps/poc?uri=deeplink:detalle_licitacion&amp;idEvl=s3yuyECYBfI2wEhQbcAqug%3D%3D","contrataciondelestado.es/wps/poc?uri=deeplink:detalle_licitacion&amp;idEvl=s3yuyECYBfI2wEhQbcAqug%3D%3D")</x:f>
        <x:v>contrataciondelestado.es/wps/poc?uri=deeplink:detalle_licitacion&amp;idEvl=s3yuyECYBfI2wEhQbcAqug%3D%3D</x:v>
      </x:c>
      <x:c r="M6" s="11" t="s">
        <x:v>27</x:v>
      </x:c>
      <x:c r="N6" s="13" t="s">
        <x:v>28</x:v>
      </x:c>
      <x:c r="O6" s="11" t="s">
        <x:v>55</x:v>
      </x:c>
      <x:c r="P6" s="11" t="s">
        <x:v>30</x:v>
      </x:c>
      <x:c r="Q6" s="14" t="str">
        <x:f xml:space="preserve">HYPERLINK("https://www.infonalia.es/licitaciones1125/2025168800.pdf","www.infonalia.es/licitaciones1125/2025168800.pdf")</x:f>
        <x:v>www.infonalia.es/licitaciones1125/2025168800.pdf</x:v>
      </x:c>
    </x:row>
    <x:row r="7">
      <x:c r="A7" s="6" t="s">
        <x:v>17</x:v>
      </x:c>
      <x:c r="B7" s="6" t="s">
        <x:v>18</x:v>
      </x:c>
      <x:c r="C7" s="7" t="s">
        <x:v>38</x:v>
      </x:c>
      <x:c r="D7" s="8" t="s">
        <x:v>56</x:v>
      </x:c>
      <x:c r="E7" s="9" t="s">
        <x:v>21</x:v>
      </x:c>
      <x:c r="F7" s="6" t="s">
        <x:v>57</x:v>
      </x:c>
      <x:c r="G7" s="6" t="s">
        <x:v>58</x:v>
      </x:c>
      <x:c r="H7" s="6" t="s">
        <x:v>59</x:v>
      </x:c>
      <x:c r="I7" s="10" t="n">
        <x:v>112815.00</x:v>
      </x:c>
      <x:c r="J7" s="11" t="s">
        <x:v>25</x:v>
      </x:c>
      <x:c r="K7" s="11" t="s">
        <x:v>26</x:v>
      </x:c>
      <x:c r="L7" s="12" t="str">
        <x:f xml:space="preserve">HYPERLINK("https://contrataciondelestado.es/wps/poc?uri=deeplink:detalle_licitacion&amp;idEvl=cy9OZsei2c75Rey58Yagpg%3D%3D","contrataciondelestado.es/wps/poc?uri=deeplink:detalle_licitacion&amp;idEvl=cy9OZsei2c75Rey58Yagpg%3D%3D")</x:f>
        <x:v>contrataciondelestado.es/wps/poc?uri=deeplink:detalle_licitacion&amp;idEvl=cy9OZsei2c75Rey58Yagpg%3D%3D</x:v>
      </x:c>
      <x:c r="M7" s="11" t="s">
        <x:v>27</x:v>
      </x:c>
      <x:c r="N7" s="13" t="s">
        <x:v>28</x:v>
      </x:c>
      <x:c r="O7" s="11" t="s">
        <x:v>60</x:v>
      </x:c>
      <x:c r="P7" s="11" t="s">
        <x:v>61</x:v>
      </x:c>
      <x:c r="Q7" s="14" t="str">
        <x:f xml:space="preserve">HYPERLINK("https://www.infonalia.es/licitaciones1125/2025168815.pdf","www.infonalia.es/licitaciones1125/2025168815.pdf")</x:f>
        <x:v>www.infonalia.es/licitaciones1125/2025168815.pdf</x:v>
      </x:c>
    </x:row>
    <x:row r="8">
      <x:c r="A8" s="6" t="s">
        <x:v>17</x:v>
      </x:c>
      <x:c r="B8" s="6" t="s">
        <x:v>18</x:v>
      </x:c>
      <x:c r="C8" s="7" t="s">
        <x:v>62</x:v>
      </x:c>
      <x:c r="D8" s="8" t="s">
        <x:v>63</x:v>
      </x:c>
      <x:c r="E8" s="9" t="s">
        <x:v>21</x:v>
      </x:c>
      <x:c r="F8" s="6" t="s">
        <x:v>64</x:v>
      </x:c>
      <x:c r="G8" s="6" t="s">
        <x:v>65</x:v>
      </x:c>
      <x:c r="H8" s="6" t="s">
        <x:v>66</x:v>
      </x:c>
      <x:c r="I8" s="10" t="n">
        <x:v>410573.95</x:v>
      </x:c>
      <x:c r="J8" s="11" t="s">
        <x:v>25</x:v>
      </x:c>
      <x:c r="K8" s="11" t="s">
        <x:v>26</x:v>
      </x:c>
      <x:c r="L8" s="12" t="str">
        <x:f xml:space="preserve">HYPERLINK("https://contrataciondelestado.es/wps/poc?uri=deeplink:detalle_licitacion&amp;idEvl=6zFLAuoogk7I8aL3PRS10Q%3D%3D","contrataciondelestado.es/wps/poc?uri=deeplink:detalle_licitacion&amp;idEvl=6zFLAuoogk7I8aL3PRS10Q%3D%3D")</x:f>
        <x:v>contrataciondelestado.es/wps/poc?uri=deeplink:detalle_licitacion&amp;idEvl=6zFLAuoogk7I8aL3PRS10Q%3D%3D</x:v>
      </x:c>
      <x:c r="M8" s="11" t="s">
        <x:v>27</x:v>
      </x:c>
      <x:c r="N8" s="13" t="s">
        <x:v>28</x:v>
      </x:c>
      <x:c r="O8" s="11" t="s">
        <x:v>67</x:v>
      </x:c>
      <x:c r="P8" s="11" t="s">
        <x:v>68</x:v>
      </x:c>
      <x:c r="Q8" s="14" t="str">
        <x:f xml:space="preserve">HYPERLINK("https://www.infonalia.es/licitaciones1125/2025168849.pdf","www.infonalia.es/licitaciones1125/2025168849.pdf")</x:f>
        <x:v>www.infonalia.es/licitaciones1125/2025168849.pdf</x:v>
      </x:c>
    </x:row>
    <x:row r="9">
      <x:c r="A9" s="6" t="s">
        <x:v>17</x:v>
      </x:c>
      <x:c r="B9" s="6" t="s">
        <x:v>69</x:v>
      </x:c>
      <x:c r="C9" s="7" t="s">
        <x:v>70</x:v>
      </x:c>
      <x:c r="D9" s="8" t="s">
        <x:v>71</x:v>
      </x:c>
      <x:c r="E9" s="9" t="s">
        <x:v>21</x:v>
      </x:c>
      <x:c r="F9" s="6" t="s">
        <x:v>47</x:v>
      </x:c>
      <x:c r="G9" s="6" t="s">
        <x:v>72</x:v>
      </x:c>
      <x:c r="H9" s="6" t="s">
        <x:v>73</x:v>
      </x:c>
      <x:c r="I9" s="10" t="n">
        <x:v>3388.43</x:v>
      </x:c>
      <x:c r="J9" s="11" t="s">
        <x:v>25</x:v>
      </x:c>
      <x:c r="K9" s="11" t="s">
        <x:v>74</x:v>
      </x:c>
      <x:c r="L9" s="12" t="str">
        <x:f xml:space="preserve">HYPERLINK("https://licitacions.bcn.cat/licitacion/licitaciones/detalle?id=13806204","licitacions.bcn.cat/licitacion/licitaciones/detalle?id=13806204")</x:f>
        <x:v>licitacions.bcn.cat/licitacion/licitaciones/detalle?id=13806204</x:v>
      </x:c>
      <x:c r="M9" s="11" t="s">
        <x:v>27</x:v>
      </x:c>
      <x:c r="N9" s="13" t="s">
        <x:v>28</x:v>
      </x:c>
      <x:c r="O9" s="11" t="s">
        <x:v>75</x:v>
      </x:c>
      <x:c r="P9" s="11" t="s">
        <x:v>44</x:v>
      </x:c>
      <x:c r="Q9" s="14" t="str">
        <x:f xml:space="preserve">HYPERLINK("https://www.infonalia.es/licitaciones1125/2025168880.pdf","www.infonalia.es/licitaciones1125/2025168880.pdf")</x:f>
        <x:v>www.infonalia.es/licitaciones1125/2025168880.pdf</x:v>
      </x:c>
    </x:row>
    <x:row r="10">
      <x:c r="A10" s="6" t="s">
        <x:v>17</x:v>
      </x:c>
      <x:c r="B10" s="6" t="s">
        <x:v>69</x:v>
      </x:c>
      <x:c r="C10" s="7" t="s">
        <x:v>31</x:v>
      </x:c>
      <x:c r="D10" s="8" t="s">
        <x:v>76</x:v>
      </x:c>
      <x:c r="E10" s="9" t="s">
        <x:v>21</x:v>
      </x:c>
      <x:c r="F10" s="6" t="s">
        <x:v>77</x:v>
      </x:c>
      <x:c r="G10" s="6" t="s">
        <x:v>78</x:v>
      </x:c>
      <x:c r="H10" s="6" t="s">
        <x:v>79</x:v>
      </x:c>
      <x:c r="I10" s="10" t="n">
        <x:v>6958.00</x:v>
      </x:c>
      <x:c r="J10" s="11" t="s">
        <x:v>25</x:v>
      </x:c>
      <x:c r="K10" s="11" t="s">
        <x:v>80</x:v>
      </x:c>
      <x:c r="L10" s="12" t="str">
        <x:f xml:space="preserve">HYPERLINK("https://licitacions.bcn.cat/licitacion/licitaciones/detalle?id=13805696","licitacions.bcn.cat/licitacion/licitaciones/detalle?id=13805696")</x:f>
        <x:v>licitacions.bcn.cat/licitacion/licitaciones/detalle?id=13805696</x:v>
      </x:c>
      <x:c r="M10" s="11" t="s">
        <x:v>27</x:v>
      </x:c>
      <x:c r="N10" s="13" t="s">
        <x:v>28</x:v>
      </x:c>
      <x:c r="O10" s="11" t="s">
        <x:v>81</x:v>
      </x:c>
      <x:c r="P10" s="11" t="s">
        <x:v>44</x:v>
      </x:c>
      <x:c r="Q10" s="14" t="str">
        <x:f xml:space="preserve">HYPERLINK("https://www.infonalia.es/licitaciones1125/2025168885.pdf","www.infonalia.es/licitaciones1125/2025168885.pdf")</x:f>
        <x:v>www.infonalia.es/licitaciones1125/2025168885.pdf</x:v>
      </x:c>
    </x:row>
    <x:row r="11">
      <x:c r="A11" s="6" t="s">
        <x:v>17</x:v>
      </x:c>
      <x:c r="B11" s="6" t="s">
        <x:v>82</x:v>
      </x:c>
      <x:c r="C11" s="7" t="s">
        <x:v>83</x:v>
      </x:c>
      <x:c r="D11" s="8" t="s">
        <x:v>84</x:v>
      </x:c>
      <x:c r="E11" s="9" t="s">
        <x:v>21</x:v>
      </x:c>
      <x:c r="F11" s="6" t="s">
        <x:v>85</x:v>
      </x:c>
      <x:c r="G11" s="6" t="s">
        <x:v>86</x:v>
      </x:c>
      <x:c r="H11" s="6" t="s">
        <x:v>87</x:v>
      </x:c>
      <x:c r="I11" s="10" t="n">
        <x:v>14834.00</x:v>
      </x:c>
      <x:c r="J11" s="11" t="s">
        <x:v>88</x:v>
      </x:c>
      <x:c r="K11" s="11" t="s">
        <x:v>89</x:v>
      </x:c>
      <x:c r="L11" s="12" t="str">
        <x:f xml:space="preserve">HYPERLINK("https://miprincipado.asturias.es/perfil-contratante/ofertas-contratos-menores","miprincipado.asturias.es/perfil-contratante/ofertas-contratos-menores")</x:f>
        <x:v>miprincipado.asturias.es/perfil-contratante/ofertas-contratos-menores</x:v>
      </x:c>
      <x:c r="M11" s="11" t="s">
        <x:v>27</x:v>
      </x:c>
      <x:c r="N11" s="13" t="s">
        <x:v>28</x:v>
      </x:c>
      <x:c r="O11" s="11" t="s">
        <x:v>90</x:v>
      </x:c>
      <x:c r="P11" s="11" t="s">
        <x:v>68</x:v>
      </x:c>
      <x:c r="Q11" s="14" t="str">
        <x:f xml:space="preserve">HYPERLINK("https://www.infonalia.es/licitaciones1125/2025168917.pdf","www.infonalia.es/licitaciones1125/2025168917.pdf")</x:f>
        <x:v>www.infonalia.es/licitaciones1125/2025168917.pdf</x:v>
      </x:c>
    </x:row>
    <x:row r="12">
      <x:c r="A12" s="6" t="s">
        <x:v>17</x:v>
      </x:c>
      <x:c r="B12" s="6" t="s">
        <x:v>91</x:v>
      </x:c>
      <x:c r="C12" s="7" t="s">
        <x:v>83</x:v>
      </x:c>
      <x:c r="D12" s="8" t="s">
        <x:v>92</x:v>
      </x:c>
      <x:c r="E12" s="9" t="s">
        <x:v>21</x:v>
      </x:c>
      <x:c r="F12" s="6" t="s">
        <x:v>93</x:v>
      </x:c>
      <x:c r="G12" s="6" t="s">
        <x:v>94</x:v>
      </x:c>
      <x:c r="H12" s="6" t="s">
        <x:v>95</x:v>
      </x:c>
      <x:c r="I12" s="10" t="n">
        <x:v>524000.00</x:v>
      </x:c>
      <x:c r="J12" s="11" t="s">
        <x:v>25</x:v>
      </x:c>
      <x:c r="K12" s="11" t="s">
        <x:v>96</x:v>
      </x:c>
      <x:c r="L12" s="12" t="str">
        <x:f xml:space="preserve">HYPERLINK("https://licitaciones2.ifema.es/licitacion/licitaciones/detalle?id=3058217","licitaciones2.ifema.es/licitacion/licitaciones/detalle?id=3058217")</x:f>
        <x:v>licitaciones2.ifema.es/licitacion/licitaciones/detalle?id=3058217</x:v>
      </x:c>
      <x:c r="M12" s="11" t="s">
        <x:v>27</x:v>
      </x:c>
      <x:c r="N12" s="13" t="s">
        <x:v>97</x:v>
      </x:c>
      <x:c r="O12" s="11" t="s">
        <x:v>98</x:v>
      </x:c>
      <x:c r="P12" s="11" t="s">
        <x:v>30</x:v>
      </x:c>
      <x:c r="Q12" s="14" t="str">
        <x:f xml:space="preserve">HYPERLINK("https://www.infonalia.es/licitaciones1125/2025168938.pdf","www.infonalia.es/licitaciones1125/2025168938.pdf")</x:f>
        <x:v>www.infonalia.es/licitaciones1125/2025168938.pdf</x:v>
      </x:c>
    </x:row>
    <x:row r="13">
      <x:c r="A13" s="6" t="s">
        <x:v>17</x:v>
      </x:c>
      <x:c r="B13" s="6" t="s">
        <x:v>91</x:v>
      </x:c>
      <x:c r="C13" s="7" t="s">
        <x:v>70</x:v>
      </x:c>
      <x:c r="D13" s="8" t="s">
        <x:v>99</x:v>
      </x:c>
      <x:c r="E13" s="9" t="s">
        <x:v>21</x:v>
      </x:c>
      <x:c r="F13" s="6" t="s">
        <x:v>93</x:v>
      </x:c>
      <x:c r="G13" s="6" t="s">
        <x:v>100</x:v>
      </x:c>
      <x:c r="H13" s="6" t="s">
        <x:v>101</x:v>
      </x:c>
      <x:c r="I13" s="10" t="n">
        <x:v>405565.17</x:v>
      </x:c>
      <x:c r="J13" s="11" t="s">
        <x:v>25</x:v>
      </x:c>
      <x:c r="K13" s="11" t="s">
        <x:v>102</x:v>
      </x:c>
      <x:c r="L13" s="12" t="str">
        <x:f xml:space="preserve">HYPERLINK("https://licitaciones2.ifema.es/licitacion/licitaciones/detalle?id=3059710","licitaciones2.ifema.es/licitacion/licitaciones/detalle?id=3059710")</x:f>
        <x:v>licitaciones2.ifema.es/licitacion/licitaciones/detalle?id=3059710</x:v>
      </x:c>
      <x:c r="M13" s="11" t="s">
        <x:v>27</x:v>
      </x:c>
      <x:c r="N13" s="13" t="s">
        <x:v>97</x:v>
      </x:c>
      <x:c r="O13" s="11" t="s">
        <x:v>103</x:v>
      </x:c>
      <x:c r="P13" s="11" t="s">
        <x:v>30</x:v>
      </x:c>
      <x:c r="Q13" s="14" t="str">
        <x:f xml:space="preserve">HYPERLINK("https://www.infonalia.es/licitaciones1125/2025168939.pdf","www.infonalia.es/licitaciones1125/2025168939.pdf")</x:f>
        <x:v>www.infonalia.es/licitaciones1125/2025168939.pdf</x:v>
      </x:c>
    </x:row>
    <x:row r="14">
      <x:c r="A14" s="6" t="s">
        <x:v>17</x:v>
      </x:c>
      <x:c r="B14" s="6" t="s">
        <x:v>18</x:v>
      </x:c>
      <x:c r="C14" s="7" t="s">
        <x:v>104</x:v>
      </x:c>
      <x:c r="D14" s="8" t="s">
        <x:v>105</x:v>
      </x:c>
      <x:c r="E14" s="9" t="s">
        <x:v>21</x:v>
      </x:c>
      <x:c r="F14" s="6" t="s">
        <x:v>106</x:v>
      </x:c>
      <x:c r="G14" s="6" t="s">
        <x:v>107</x:v>
      </x:c>
      <x:c r="H14" s="6" t="s">
        <x:v>108</x:v>
      </x:c>
      <x:c r="I14" s="10" t="n">
        <x:v>2500.00</x:v>
      </x:c>
      <x:c r="J14" s="11" t="s">
        <x:v>25</x:v>
      </x:c>
      <x:c r="K14" s="11" t="s">
        <x:v>26</x:v>
      </x:c>
      <x:c r="L14" s="12" t="str">
        <x:f xml:space="preserve">HYPERLINK("https://contrataciondelestado.es/wps/poc?uri=deeplink:detalle_licitacion&amp;idEvl=GEDINVv8%2BV7IGlsa0Wad%2Bw%3D%3D","contrataciondelestado.es/wps/poc?uri=deeplink:detalle_licitacion&amp;idEvl=GEDINVv8%2BV7IGlsa0Wad%2Bw%3D%3D")</x:f>
        <x:v>contrataciondelestado.es/wps/poc?uri=deeplink:detalle_licitacion&amp;idEvl=GEDINVv8%2BV7IGlsa0Wad%2Bw%3D%3D</x:v>
      </x:c>
      <x:c r="M14" s="11" t="s">
        <x:v>27</x:v>
      </x:c>
      <x:c r="N14" s="13" t="s">
        <x:v>28</x:v>
      </x:c>
      <x:c r="O14" s="11" t="s">
        <x:v>109</x:v>
      </x:c>
      <x:c r="P14" s="11" t="s">
        <x:v>30</x:v>
      </x:c>
      <x:c r="Q14" s="14" t="str">
        <x:f xml:space="preserve">HYPERLINK("https://www.infonalia.es/licitaciones1125/2025169004.pdf","www.infonalia.es/licitaciones1125/2025169004.pdf")</x:f>
        <x:v>www.infonalia.es/licitaciones1125/2025169004.pdf</x:v>
      </x:c>
    </x:row>
    <x:row r="15">
      <x:c r="A15" s="6" t="s">
        <x:v>17</x:v>
      </x:c>
      <x:c r="B15" s="6" t="s">
        <x:v>18</x:v>
      </x:c>
      <x:c r="C15" s="7" t="s">
        <x:v>45</x:v>
      </x:c>
      <x:c r="D15" s="8" t="s">
        <x:v>110</x:v>
      </x:c>
      <x:c r="E15" s="9" t="s">
        <x:v>21</x:v>
      </x:c>
      <x:c r="F15" s="6" t="s">
        <x:v>111</x:v>
      </x:c>
      <x:c r="G15" s="6" t="s">
        <x:v>112</x:v>
      </x:c>
      <x:c r="H15" s="6" t="s">
        <x:v>113</x:v>
      </x:c>
      <x:c r="I15" s="10" t="n">
        <x:v>2700000.00</x:v>
      </x:c>
      <x:c r="J15" s="11" t="s">
        <x:v>25</x:v>
      </x:c>
      <x:c r="K15" s="11" t="s">
        <x:v>26</x:v>
      </x:c>
      <x:c r="L15" s="12" t="str">
        <x:f xml:space="preserve">HYPERLINK("https://contrataciondelestado.es/wps/poc?uri=deeplink:detalle_licitacion&amp;idEvl=GQ13tVGJ8mF9PLkba5eRog%3D%3D","contrataciondelestado.es/wps/poc?uri=deeplink:detalle_licitacion&amp;idEvl=GQ13tVGJ8mF9PLkba5eRog%3D%3D")</x:f>
        <x:v>contrataciondelestado.es/wps/poc?uri=deeplink:detalle_licitacion&amp;idEvl=GQ13tVGJ8mF9PLkba5eRog%3D%3D</x:v>
      </x:c>
      <x:c r="M15" s="11" t="s">
        <x:v>27</x:v>
      </x:c>
      <x:c r="N15" s="13" t="s">
        <x:v>21</x:v>
      </x:c>
      <x:c r="O15" s="11" t="s">
        <x:v>114</x:v>
      </x:c>
      <x:c r="P15" s="11" t="s">
        <x:v>44</x:v>
      </x:c>
      <x:c r="Q15" s="14" t="str">
        <x:f xml:space="preserve">HYPERLINK("https://www.infonalia.es/licitaciones1125/2025169102.pdf","www.infonalia.es/licitaciones1125/2025169102.pdf")</x:f>
        <x:v>www.infonalia.es/licitaciones1125/2025169102.pdf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