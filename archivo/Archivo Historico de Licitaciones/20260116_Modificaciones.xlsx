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<x:sst xmlns:x="http://schemas.openxmlformats.org/spreadsheetml/2006/main" count="6" uniqueCount="6">
  <x:si>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</x:si>
  <x:si>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</x:si>
  <x:si>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</x:si>
  <x:si>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</x:si>
  <x:si>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</x:si>
  <x:si>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</x:si>
  <x:si>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2025176664</x:t>
  </x:si>
  <x:si>
    <x:t>Desistimiento / Anulación</x:t>
  </x:si>
  <x:si>
    <x:t>DIRECCIÓN GENERAL DE LA FUNDACIÓN GENERAL DE LA UNIVERSIDAD COMPLUTENSE DE MADRID, M.P</x:t>
  </x:si>
  <x:si>
    <x:t>Servicio de impresión, diseño, maquetación, edición y entrega de material de papelería y de imagen corporativa para la Fundación General de la UCM</x:t>
  </x:si>
  <x:si>
    <x:t>2025180203</x:t>
  </x:si>
  <x:si>
    <x:t>Corrección de errores</x:t>
  </x:si>
  <x:si>
    <x:t>MINISTERIO DE ASUNTOS EXTERIORES, UNIÓN EUROPEA Y COOPERACIÓN. SECRETARÍA GENERAL DE LA FUNDACIÓN INTERNACIONAL Y PARA IBEROAMÉRICA DE ADMINISTRACIÓN POLÍTICAS PÚBLICAS</x:t>
  </x:si>
  <x:si>
    <x:t>Establecimiento de un Acuerdo Marco mixto para el suministro de material diverso de merchandising, incluyendo el servicio accesorio de serigrafiado, y el servicio de diseño, maquetación, impresión de publicaciones y equivalentes.  L1: Suministro de material diverso de merchandising, incluyendo el servicio accesorio de serigrafiado y transporte. L2: Servicio de diseño, maquetación, impresión, transporte y equivalentes.</x:t>
  </x:si>
  <x:si>
    <x:t>2026003844</x:t>
  </x:si>
  <x:si>
    <x:t>Aclaración / Ampliación de pliegos</x:t>
  </x:si>
  <x:si>
    <x:t>INSTITUTO DE TURISMO DE ESPAÑA (TURESPAÑA)</x:t>
  </x:si>
  <x:si>
    <x:t>Contratación por procedimiento abierto conforme al artículo 156 al 158 de la LCSP, de un servicio de celebración de unas jornadas inversas de apoyo a la comercialización de la oferta turística española para el mercado latinoamericano</x:t>
  </x:si>
  <x:si>
    <x:t>2026003870</x:t>
  </x:si>
  <x:si>
    <x:t>El objeto del contrato son los servicios de organización y desarrollo de las jornadas inversas del mercado europeo que tendrán lugar los días 14 a 18 de septiembre de 2026 en Pamplona, así como la coordinación de las actividades relacionadas con el mismo, en los términos establecidos en el pliego de prescripciones técnicas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</x:si>
</x:sst>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HYPERLINK("https://www.infonalia.es/modificaciones0126/2025176664.pdf","www.infonalia.es/modificaciones0126/2025176664.pdf")</x:f>
        <x:v>www.infonalia.es/modificaciones0126/2025176664.pdf</x:v>
      </x:c>
      <x:c r="F2" s="5" t="str">
        <x:f xml:space="preserve">HYPERLINK("https://www.infonalia.es/licitaciones1225/2025176664.pdf","www.infonalia.es/licitaciones1225/2025176664.pdf")</x:f>
        <x:v>www.infonalia.es/licitaciones1225/2025176664.pdf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HYPERLINK("https://www.infonalia.es/modificaciones0126/2025180203.pdf","www.infonalia.es/modificaciones0126/2025180203.pdf")</x:f>
        <x:v>www.infonalia.es/modificaciones0126/2025180203.pdf</x:v>
      </x:c>
      <x:c r="F3" s="5" t="str">
        <x:f xml:space="preserve">HYPERLINK("https://www.infonalia.es/licitaciones1225/2025180203.pdf","www.infonalia.es/licitaciones1225/2025180203.pdf")</x:f>
        <x:v>www.infonalia.es/licitaciones1225/2025180203.pdf</x:v>
      </x:c>
    </x:row>
    <x:row r="4">
      <x:c r="A4" s="3" t="s">
        <x:v>14</x:v>
      </x:c>
      <x:c r="B4" s="4" t="s">
        <x:v>15</x:v>
      </x:c>
      <x:c r="C4" s="4" t="s">
        <x:v>16</x:v>
      </x:c>
      <x:c r="D4" s="4" t="s">
        <x:v>17</x:v>
      </x:c>
      <x:c r="E4" s="5" t="str">
        <x:f xml:space="preserve">HYPERLINK("https://www.infonalia.es/modificaciones0126/2026003844.pdf","www.infonalia.es/modificaciones0126/2026003844.pdf")</x:f>
        <x:v>www.infonalia.es/modificaciones0126/2026003844.pdf</x:v>
      </x:c>
      <x:c r="F4" s="5" t="str">
        <x:f xml:space="preserve">HYPERLINK("https://www.infonalia.es/licitaciones0126/2026003844.pdf","www.infonalia.es/licitaciones0126/2026003844.pdf")</x:f>
        <x:v>www.infonalia.es/licitaciones0126/2026003844.pdf</x:v>
      </x:c>
    </x:row>
    <x:row r="5">
      <x:c r="A5" s="3" t="s">
        <x:v>18</x:v>
      </x:c>
      <x:c r="B5" s="4" t="s">
        <x:v>15</x:v>
      </x:c>
      <x:c r="C5" s="4" t="s">
        <x:v>16</x:v>
      </x:c>
      <x:c r="D5" s="4" t="s">
        <x:v>19</x:v>
      </x:c>
      <x:c r="E5" s="5" t="str">
        <x:f xml:space="preserve">HYPERLINK("https://www.infonalia.es/modificaciones0126/2026003870.pdf","www.infonalia.es/modificaciones0126/2026003870.pdf")</x:f>
        <x:v>www.infonalia.es/modificaciones0126/2026003870.pdf</x:v>
      </x:c>
      <x:c r="F5" s="5" t="str">
        <x:f xml:space="preserve">HYPERLINK("https://www.infonalia.es/licitaciones0126/2026003870.pdf","www.infonalia.es/licitaciones0126/2026003870.pdf")</x:f>
        <x:v>www.infonalia.es/licitaciones0126/2026003870.pdf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