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<x:sst xmlns:x="http://schemas.openxmlformats.org/spreadsheetml/2006/main" count="17" uniqueCount="17">
  <x:si>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</x:si>
  <x:si>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</x:si>
  <x:si>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</x:si>
  <x:si>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</x:si>
  <x:si>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</x:si>
  <x:si>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</x:si>
  <x:si>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</x:si>
  <x:si>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</x:si>
  <x:si>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</x:si>
  <x:si>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</x:si>
  <x:si>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</x:si>
  <x:si>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</x:si>
  <x:si>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</x:si>
  <x:si>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</x:si>
  <x:si>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</x:si>
  <x:si>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</x:si>
  <x:si>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</x:si>
  <x:si>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</x:si>
  <x:si>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Catalunya - Plataforma de Contratación</x:t>
  </x:si>
  <x:si>
    <x:t>19/12/2025</x:t>
  </x:si>
  <x:si>
    <x:t>2025176960</x:t>
  </x:si>
  <x:si>
    <x:t>15/12/2025</x:t>
  </x:si>
  <x:si>
    <x:t>AYUNTAMIENTO DE CASTELLDEFELS (BARCELONA). COMERCIO</x:t>
  </x:si>
  <x:si>
    <x:t>Contrato privado de patrocinio del evento municipal "Campanades Castelldefels 2026"</x:t>
  </x:si>
  <x:si>
    <x:t>CONTRACTACIO-CON_PR/2025000116</x:t>
  </x:si>
  <x:si>
    <x:t>IVA excluido</x:t>
  </x:si>
  <x:si>
    <x:t/>
  </x:si>
  <x:si>
    <x:t>-----</x:t>
  </x:si>
  <x:si>
    <x:t>12/12/2025</x:t>
  </x:si>
  <x:si>
    <x:t/>
  </x:si>
  <x:si>
    <x:t>Barcelona</x:t>
  </x:si>
  <x:si>
    <x:t>Plataforma de Contratación del Estado</x:t>
  </x:si>
  <x:si>
    <x:t>11/01/2026</x:t>
  </x:si>
  <x:si>
    <x:t>2025177018</x:t>
  </x:si>
  <x:si>
    <x:t>MINISTERIO DE DEFENSA. SUBDIRECCIÓN GENERAL DE SERVICIOS ECONÓMICOS Y PAGADURÍAS</x:t>
  </x:si>
  <x:si>
    <x:t>Servicio de diseño, producción, transporte de materiales, montaje y desmontaje de stands en diversas ferias o eventos en apoyo a las acciones de información y captación para el reclutamiento para el año 2026</x:t>
  </x:si>
  <x:si>
    <x:t>2025/SP01010020/00001035E</x:t>
  </x:si>
  <x:si>
    <x:t>Importe sin impuestos</x:t>
  </x:si>
  <x:si>
    <x:t>14/12/2025</x:t>
  </x:si>
  <x:si>
    <x:t/>
  </x:si>
  <x:si>
    <x:t>Madrid</x:t>
  </x:si>
  <x:si>
    <x:t>12/01/2026</x:t>
  </x:si>
  <x:si>
    <x:t>2025177019</x:t>
  </x:si>
  <x:si>
    <x:t>PRESIDENCIA DE TURISMO DE GRAN CANARIA</x:t>
  </x:si>
  <x:si>
    <x:t>Promoción de la oferta turística de Gran Canaria en los mercados de Benelux (Bélgica, Países Bajos, Luxemburgo), Lote 1 y de Francia y Suiza Francófona (Lote 2)</x:t>
  </x:si>
  <x:si>
    <x:t>2241/2025</x:t>
  </x:si>
  <x:si>
    <x:t/>
  </x:si>
  <x:si>
    <x:t>Bélgica, Paises Bajos, Luxemburgo, Francia y Suiza</x:t>
  </x:si>
  <x:si>
    <x:t>26/01/2026</x:t>
  </x:si>
  <x:si>
    <x:t>2025177024</x:t>
  </x:si>
  <x:si>
    <x:t>MINISTERIO DE CULTURA. DIRECCIÓN GENERAL DEL INSTITUTO DE CINEMATOGRAFÍA Y DE LAS ARTES AUDIOVISUALES</x:t>
  </x:si>
  <x:si>
    <x:t>Servicio de asistencia técnica de comunicación a Dirección de Políticas de Marketing del Instituto de la Cinematografía y de las Artes Audiovisuales (ICAA). Lote 1: Relaciones públicas y prensa. Lote 2: Gestión de redes sociales, producción de contenidos digitales y creación y adaptación de páginas web. Lote 3: Imagen corporativa, promoción y diseño</x:t>
  </x:si>
  <x:si>
    <x:t>M250120</x:t>
  </x:si>
  <x:si>
    <x:t/>
  </x:si>
  <x:si>
    <x:t>2025177107</x:t>
  </x:si>
  <x:si>
    <x:t>GENERALITAT DE CATALUNYA. DEPARTAMENTO DE POLÍTICA LINGÜÍSTICA</x:t>
  </x:si>
  <x:si>
    <x:t>Servicio de elaboración de vídeos breves para publicar en Instagram y Tiktok para la difusión de las actuaciones del Departamento de Política Lingüística a ejecutar durante 2026</x:t>
  </x:si>
  <x:si>
    <x:t>LI-2026-8</x:t>
  </x:si>
  <x:si>
    <x:t/>
  </x:si>
  <x:si>
    <x:t>Catalunya</x:t>
  </x:si>
  <x:si>
    <x:t>09/01/2026</x:t>
  </x:si>
  <x:si>
    <x:t>2025177110</x:t>
  </x:si>
  <x:si>
    <x:t>GENERALITAT DE CATALUNYA. DEPARTAMENTO DE AGRICULTURA, GANADERÍA, PESCA Y ALIMENTACIÓN</x:t>
  </x:si>
  <x:si>
    <x:t>Servicios de producción y edición de contenidos escritos, audiovisuales e imagen (gráfica, vídeo y fotografía) destinados a la comunicación y cobertura informativa de actividades del Departamento de Agricultura, Ganadería, Pesca y Alimentación (DARPA) y de su Consejero. Estos servicios incluyen el diseño y seguimiento de los actos y documentos del Consejero, de los cargos del departamento y de cualquier miembro del DARPA, así mismo también quedan incluidas las ruedas de prensa, las iniciativas legislativas, los documentos, las declaraciones, las acciones comunicativas, las medidas y otros actos donde asistan los cargos del departamento y de los organismos dependientes</x:t>
  </x:si>
  <x:si>
    <x:t>AG-2026-42</x:t>
  </x:si>
  <x:si>
    <x:t/>
  </x:si>
  <x:si>
    <x:t>08/01/2026</x:t>
  </x:si>
  <x:si>
    <x:t>2025177137</x:t>
  </x:si>
  <x:si>
    <x:t>AYUNTAMIENTO DE CASTELLVELL DEL CAMP (TARRAGONA)</x:t>
  </x:si>
  <x:si>
    <x:t>El objeto del contrato es la prestación de los servicios de comunicación institucional, gestión de las redes sociales, diseño gráfico, elaboración de contenidos audiovisuales, actualización y gestión de la página web y aplicación municipal, y cobertura de los actos públicos y plenos municipales, con el fin de difundir de forma clara, puntual y veraz toda aquella información de interés relativa a la actualidad del municipio ya los proyectos y/o actuaciones que se llevan a cabo prescripciones técnicas</x:t>
  </x:si>
  <x:si>
    <x:t>4304240003-2025-0001992</x:t>
  </x:si>
  <x:si>
    <x:t/>
  </x:si>
  <x:si>
    <x:t>Tarragona</x:t>
  </x:si>
  <x:si>
    <x:t>29/12/2025</x:t>
  </x:si>
  <x:si>
    <x:t>2025177142</x:t>
  </x:si>
  <x:si>
    <x:t>GENERALITAT DE CATALUNYA. DEPARTAMENTO DE INVESTIGACIÓN Y UNIVERSIDADES</x:t>
  </x:si>
  <x:si>
    <x:t>Servicios de diseño, construcción, transporte, montaje y desmontaje de un stand del Consejo Interuniversitario de Cataluña para su participación en la feria de educación Saló de Aula Madrid para la edición de 2026</x:t>
  </x:si>
  <x:si>
    <x:t>UR-2026-16</x:t>
  </x:si>
  <x:si>
    <x:t/>
  </x:si>
  <x:si>
    <x:t>23/01/2026</x:t>
  </x:si>
  <x:si>
    <x:t>2025177230</x:t>
  </x:si>
  <x:si>
    <x:t>GENERALITAT DE CATALUNYA. CENTRE D'INICIATIVES PER A LA REINSERCIÓ (CIRE)</x:t>
  </x:si>
  <x:si>
    <x:t>El objeto de este contrato es el servicio de despliegue de un proyecto integral de asesoramiento y ejecución en materia de comunicación y comercial, con las siguientes fases: Fase 1: planificación estratégica del plan de comunicación y promoción externa, Fase 2: desarrollo del referido plan, diseño y ejecución de las acciones del plan de acción y Fase 3: seguimiento y evaluación; todo ello, de acuerdo con los objetivos específicos recogidos en el Pliego Técnico de esta licitación</x:t>
  </x:si>
  <x:si>
    <x:t>CIRE-2026-7</x:t>
  </x:si>
  <x:si>
    <x:t/>
  </x:si>
  <x:si>
    <x:t>30/12/2025</x:t>
  </x:si>
  <x:si>
    <x:t>2025177239</x:t>
  </x:si>
  <x:si>
    <x:t>INSTITUT MUNICIPAL PARCS I JARDINS DE BARCELONA</x:t>
  </x:si>
  <x:si>
    <x:t>Servicios de coordinación de eventos, talleres y actividades de educación ambiental en el marco del programa Mans al Verd, con medidas de contratación pública sostenible</x:t>
  </x:si>
  <x:si>
    <x:t>004_25000130</x:t>
  </x:si>
  <x:si>
    <x:t/>
  </x:si>
  <x:si>
    <x:t>26/12/2025</x:t>
  </x:si>
  <x:si>
    <x:t>2025177262</x:t>
  </x:si>
  <x:si>
    <x:t>DIRECCIÓN DE LA FUNDACIÓN DEMOCRACIA Y GOBIERNO LOCAL</x:t>
  </x:si>
  <x:si>
    <x:t>Servicios consistes en la maquetación y –en algunos casos- la impresión de obras editadas por esta entidad durante el ejercicio 2026. Lote 1: Maquetación e impresión del Anuario del Gobierno Local AGL. 1 número, Maquetación e impresión del Anuario de Transparencia Local (ATL). 1 número, Maquetación en pdf en formato electrónico con marcadores e impresión de la Serie Claves del Gobierno Local (SCGL). 4 números. Lote 2: - Maquetación en pdf en formato electrónico con marcadores de la Revista Cuadernos de Derecho Local QDL . 3 números, Maquetación e impresión del Anuario del Buen Gobierno y de la Calidad de la Regulación (ABGCR). 1 número, Maquetación e impresión del Anuario de Hacienda Local (AHL). 1 número, Maquetación e impresión del Anuario de Políticas Públicas Locales APPL. 1 número.</x:t>
  </x:si>
  <x:si>
    <x:t>1/2026</x:t>
  </x:si>
  <x:si>
    <x:t/>
  </x:si>
  <x:si>
    <x:t>2025177325</x:t>
  </x:si>
  <x:si>
    <x:t>CONSEJERO DELEGADO DE LA SOCIEDAD DE DESARROLLO DE SANTA CRUZ DE TENERIFE, S.A.U</x:t>
  </x:si>
  <x:si>
    <x:t>El objeto del contrato es contratación de un servicio de diseño, gestión y contratación de publicidad y gestiones de medios de comunicación para la promoción de acciones de diversa naturaleza relacionadas con la presencia de la Sociedad de Desarrollo en FITUR 2026</x:t>
  </x:si>
  <x:si>
    <x:t>375/2025</x:t>
  </x:si>
  <x:si>
    <x:t/>
  </x:si>
  <x:si>
    <x:t>31/12/2025</x:t>
  </x:si>
  <x:si>
    <x:t>2025177365</x:t>
  </x:si>
  <x:si>
    <x:t>AYUNTAMIENTO DE MONTGAT (BARCELONA)</x:t>
  </x:si>
  <x:si>
    <x:t>El objeto de esta contratación es el servicio de redacción de contenidos y corrección de ortografía y estilo de la Revista municipal de Montgat. El Ayuntamiento de Montgat edita una Revista municipal con información de la gestión municipal, noticias de interés local y de las entidades del pueblo que se publica cada mes en versión papel y digital por un total de (10 ejemplares anuales) de 16 páginas, excepto los meses de enero y agosto</x:t>
  </x:si>
  <x:si>
    <x:t>1403-7536/2023</x:t>
  </x:si>
  <x:si>
    <x:t/>
  </x:si>
  <x:si>
    <x:t>Cámaras de Comercio. Perfil del Contratante</x:t>
  </x:si>
  <x:si>
    <x:t>2025177486</x:t>
  </x:si>
  <x:si>
    <x:t>CÁMARA OFICIAL DE COMERCIO, INDUSTRIA, SERVICIOS Y NAVEGACIÓN DE MURCIA</x:t>
  </x:si>
  <x:si>
    <x:t>Suministro de diseño, construcción, montaje y desmontaje del Pabellón Regional de Murcia en la Feria Alimentaria en Barcelona, que tendrá lugar
 del 23 al 25 de marzo de 2026.</x:t>
  </x:si>
  <x:si>
    <x:t>2025115-DCE</x:t>
  </x:si>
  <x:si>
    <x:t>IVA incluido</x:t>
  </x:si>
  <x:si>
    <x:t/>
  </x:si>
  <x:si>
    <x:t/>
  </x:si>
  <x:si>
    <x:t>16/01/2026</x:t>
  </x:si>
  <x:si>
    <x:t>2025177632</x:t>
  </x:si>
  <x:si>
    <x:t>RECTORADO DE LA UNIVERSIDAD POLITÉCNICA DE MADRID</x:t>
  </x:si>
  <x:si>
    <x:t>Servicio especializado en comunicación digital, marketing de contenidos y gestión estratégica de redes sociales para el centro de liderazgo y tecnología de la Universidad Politécnica de Madrid</x:t>
  </x:si>
  <x:si>
    <x:t>SER-13/26 LG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</x:si>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</x:sst>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4500.00</x:v>
      </x:c>
      <x:c r="J2" s="11" t="s">
        <x:v>25</x:v>
      </x:c>
      <x:c r="K2" s="11" t="s">
        <x:v>26</x:v>
      </x:c>
      <x:c r="L2" s="12" t="str">
        <x:f xml:space="preserve">HYPERLINK("https://contractaciopublica.cat/es/detall-publicacio/300644866","contractaciopublica.cat/es/detall-publicacio/300644866")</x:f>
        <x:v>contractaciopublica.cat/es/detall-publicacio/300644866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HYPERLINK("https://www.infonalia.es/licitaciones1225/2025176960.pdf","www.infonalia.es/licitaciones1225/2025176960.pdf")</x:f>
        <x:v>www.infonalia.es/licitaciones1225/2025176960.pdf</x:v>
      </x:c>
    </x:row>
    <x:row r="3">
      <x:c r="A3" s="6" t="s">
        <x:v>17</x:v>
      </x:c>
      <x:c r="B3" s="6" t="s">
        <x:v>31</x:v>
      </x:c>
      <x:c r="C3" s="7" t="s">
        <x:v>32</x:v>
      </x:c>
      <x:c r="D3" s="8" t="s">
        <x:v>33</x:v>
      </x:c>
      <x:c r="E3" s="9" t="s">
        <x:v>21</x:v>
      </x:c>
      <x:c r="F3" s="6" t="s">
        <x:v>34</x:v>
      </x:c>
      <x:c r="G3" s="6" t="s">
        <x:v>35</x:v>
      </x:c>
      <x:c r="H3" s="6" t="s">
        <x:v>36</x:v>
      </x:c>
      <x:c r="I3" s="10" t="n">
        <x:v>115000.00</x:v>
      </x:c>
      <x:c r="J3" s="11" t="s">
        <x:v>37</x:v>
      </x:c>
      <x:c r="K3" s="11" t="s">
        <x:v>26</x:v>
      </x:c>
      <x:c r="L3" s="12" t="str">
        <x:f xml:space="preserve">HYPERLINK("https://contrataciondelestado.es/wps/poc?uri=deeplink:detalle_licitacion&amp;idEvl=dpgubzkvZ2N4zIRvjBVCSw%3D%3D","contrataciondelestado.es/wps/poc?uri=deeplink:detalle_licitacion&amp;idEvl=dpgubzkvZ2N4zIRvjBVCSw%3D%3D")</x:f>
        <x:v>contrataciondelestado.es/wps/poc?uri=deeplink:detalle_licitacion&amp;idEvl=dpgubzkvZ2N4zIRvjBVCSw%3D%3D</x:v>
      </x:c>
      <x:c r="M3" s="11" t="s">
        <x:v>27</x:v>
      </x:c>
      <x:c r="N3" s="13" t="s">
        <x:v>38</x:v>
      </x:c>
      <x:c r="O3" s="11" t="s">
        <x:v>39</x:v>
      </x:c>
      <x:c r="P3" s="11" t="s">
        <x:v>40</x:v>
      </x:c>
      <x:c r="Q3" s="14" t="str">
        <x:f xml:space="preserve">HYPERLINK("https://www.infonalia.es/licitaciones1225/2025177018.pdf","www.infonalia.es/licitaciones1225/2025177018.pdf")</x:f>
        <x:v>www.infonalia.es/licitaciones1225/2025177018.pdf</x:v>
      </x:c>
    </x:row>
    <x:row r="4">
      <x:c r="A4" s="6" t="s">
        <x:v>17</x:v>
      </x:c>
      <x:c r="B4" s="6" t="s">
        <x:v>31</x:v>
      </x:c>
      <x:c r="C4" s="7" t="s">
        <x:v>41</x:v>
      </x:c>
      <x:c r="D4" s="8" t="s">
        <x:v>42</x:v>
      </x:c>
      <x:c r="E4" s="9" t="s">
        <x:v>21</x:v>
      </x:c>
      <x:c r="F4" s="6" t="s">
        <x:v>43</x:v>
      </x:c>
      <x:c r="G4" s="6" t="s">
        <x:v>44</x:v>
      </x:c>
      <x:c r="H4" s="6" t="s">
        <x:v>45</x:v>
      </x:c>
      <x:c r="I4" s="10" t="n">
        <x:v>93460.00</x:v>
      </x:c>
      <x:c r="J4" s="11" t="s">
        <x:v>37</x:v>
      </x:c>
      <x:c r="K4" s="11" t="s">
        <x:v>26</x:v>
      </x:c>
      <x:c r="L4" s="12" t="str">
        <x:f xml:space="preserve">HYPERLINK("https://contrataciondelestado.es/wps/poc?uri=deeplink:detalle_licitacion&amp;idEvl=EBeGhWXQmglt5r0ngvMetA%3D%3D","contrataciondelestado.es/wps/poc?uri=deeplink:detalle_licitacion&amp;idEvl=EBeGhWXQmglt5r0ngvMetA%3D%3D")</x:f>
        <x:v>contrataciondelestado.es/wps/poc?uri=deeplink:detalle_licitacion&amp;idEvl=EBeGhWXQmglt5r0ngvMetA%3D%3D</x:v>
      </x:c>
      <x:c r="M4" s="11" t="s">
        <x:v>27</x:v>
      </x:c>
      <x:c r="N4" s="13" t="s">
        <x:v>38</x:v>
      </x:c>
      <x:c r="O4" s="11" t="s">
        <x:v>46</x:v>
      </x:c>
      <x:c r="P4" s="11" t="s">
        <x:v>47</x:v>
      </x:c>
      <x:c r="Q4" s="14" t="str">
        <x:f xml:space="preserve">HYPERLINK("https://www.infonalia.es/licitaciones1225/2025177019.pdf","www.infonalia.es/licitaciones1225/2025177019.pdf")</x:f>
        <x:v>www.infonalia.es/licitaciones1225/2025177019.pdf</x:v>
      </x:c>
    </x:row>
    <x:row r="5">
      <x:c r="A5" s="6" t="s">
        <x:v>17</x:v>
      </x:c>
      <x:c r="B5" s="6" t="s">
        <x:v>31</x:v>
      </x:c>
      <x:c r="C5" s="7" t="s">
        <x:v>48</x:v>
      </x:c>
      <x:c r="D5" s="8" t="s">
        <x:v>49</x:v>
      </x:c>
      <x:c r="E5" s="9" t="s">
        <x:v>21</x:v>
      </x:c>
      <x:c r="F5" s="6" t="s">
        <x:v>50</x:v>
      </x:c>
      <x:c r="G5" s="6" t="s">
        <x:v>51</x:v>
      </x:c>
      <x:c r="H5" s="6" t="s">
        <x:v>52</x:v>
      </x:c>
      <x:c r="I5" s="10" t="n">
        <x:v>401046.00</x:v>
      </x:c>
      <x:c r="J5" s="11" t="s">
        <x:v>37</x:v>
      </x:c>
      <x:c r="K5" s="11" t="s">
        <x:v>26</x:v>
      </x:c>
      <x:c r="L5" s="12" t="str">
        <x:f xml:space="preserve">HYPERLINK("https://contrataciondelestado.es/wps/poc?uri=deeplink:detalle_licitacion&amp;idEvl=vI8iXGDZP3w3vLk2DU2Ddg%3D%3D","contrataciondelestado.es/wps/poc?uri=deeplink:detalle_licitacion&amp;idEvl=vI8iXGDZP3w3vLk2DU2Ddg%3D%3D")</x:f>
        <x:v>contrataciondelestado.es/wps/poc?uri=deeplink:detalle_licitacion&amp;idEvl=vI8iXGDZP3w3vLk2DU2Ddg%3D%3D</x:v>
      </x:c>
      <x:c r="M5" s="11" t="s">
        <x:v>27</x:v>
      </x:c>
      <x:c r="N5" s="13" t="s">
        <x:v>38</x:v>
      </x:c>
      <x:c r="O5" s="11" t="s">
        <x:v>53</x:v>
      </x:c>
      <x:c r="P5" s="11" t="s">
        <x:v>40</x:v>
      </x:c>
      <x:c r="Q5" s="14" t="str">
        <x:f xml:space="preserve">HYPERLINK("https://www.infonalia.es/licitaciones1225/2025177024.pdf","www.infonalia.es/licitaciones1225/2025177024.pdf")</x:f>
        <x:v>www.infonalia.es/licitaciones1225/2025177024.pdf</x:v>
      </x:c>
    </x:row>
    <x:row r="6">
      <x:c r="A6" s="6" t="s">
        <x:v>17</x:v>
      </x:c>
      <x:c r="B6" s="6" t="s">
        <x:v>31</x:v>
      </x:c>
      <x:c r="C6" s="7" t="s">
        <x:v>41</x:v>
      </x:c>
      <x:c r="D6" s="8" t="s">
        <x:v>54</x:v>
      </x:c>
      <x:c r="E6" s="9" t="s">
        <x:v>21</x:v>
      </x:c>
      <x:c r="F6" s="6" t="s">
        <x:v>55</x:v>
      </x:c>
      <x:c r="G6" s="6" t="s">
        <x:v>56</x:v>
      </x:c>
      <x:c r="H6" s="6" t="s">
        <x:v>57</x:v>
      </x:c>
      <x:c r="I6" s="10" t="n">
        <x:v>59400.00</x:v>
      </x:c>
      <x:c r="J6" s="11" t="s">
        <x:v>37</x:v>
      </x:c>
      <x:c r="K6" s="11" t="s">
        <x:v>26</x:v>
      </x:c>
      <x:c r="L6" s="12" t="str">
        <x:f xml:space="preserve">HYPERLINK("https://contractaciopublica.cat/ca/detall-publicacio/cb94300d-2b0f-4d64-a36a-e0e6da8b1d7f/300643848","contractaciopublica.cat/ca/detall-publicacio/cb94300d-2b0f-4d64-a36a-e0e6da8b1d7f/300643848")</x:f>
        <x:v>contractaciopublica.cat/ca/detall-publicacio/cb94300d-2b0f-4d64-a36a-e0e6da8b1d7f/300643848</x:v>
      </x:c>
      <x:c r="M6" s="11" t="s">
        <x:v>27</x:v>
      </x:c>
      <x:c r="N6" s="13" t="s">
        <x:v>28</x:v>
      </x:c>
      <x:c r="O6" s="11" t="s">
        <x:v>58</x:v>
      </x:c>
      <x:c r="P6" s="11" t="s">
        <x:v>59</x:v>
      </x:c>
      <x:c r="Q6" s="14" t="str">
        <x:f xml:space="preserve">HYPERLINK("https://www.infonalia.es/licitaciones1225/2025177107.pdf","www.infonalia.es/licitaciones1225/2025177107.pdf")</x:f>
        <x:v>www.infonalia.es/licitaciones1225/2025177107.pdf</x:v>
      </x:c>
    </x:row>
    <x:row r="7">
      <x:c r="A7" s="6" t="s">
        <x:v>17</x:v>
      </x:c>
      <x:c r="B7" s="6" t="s">
        <x:v>31</x:v>
      </x:c>
      <x:c r="C7" s="7" t="s">
        <x:v>60</x:v>
      </x:c>
      <x:c r="D7" s="8" t="s">
        <x:v>61</x:v>
      </x:c>
      <x:c r="E7" s="9" t="s">
        <x:v>21</x:v>
      </x:c>
      <x:c r="F7" s="6" t="s">
        <x:v>62</x:v>
      </x:c>
      <x:c r="G7" s="6" t="s">
        <x:v>63</x:v>
      </x:c>
      <x:c r="H7" s="6" t="s">
        <x:v>64</x:v>
      </x:c>
      <x:c r="I7" s="10" t="n">
        <x:v>89000.00</x:v>
      </x:c>
      <x:c r="J7" s="11" t="s">
        <x:v>37</x:v>
      </x:c>
      <x:c r="K7" s="11" t="s">
        <x:v>26</x:v>
      </x:c>
      <x:c r="L7" s="12" t="str">
        <x:f xml:space="preserve">HYPERLINK("https://contractaciopublica.cat/ca/detall-publicacio/b71f07b4-7283-4c17-9e01-5d0b83185e66/300644902","contractaciopublica.cat/ca/detall-publicacio/b71f07b4-7283-4c17-9e01-5d0b83185e66/300644902")</x:f>
        <x:v>contractaciopublica.cat/ca/detall-publicacio/b71f07b4-7283-4c17-9e01-5d0b83185e66/300644902</x:v>
      </x:c>
      <x:c r="M7" s="11" t="s">
        <x:v>27</x:v>
      </x:c>
      <x:c r="N7" s="13" t="s">
        <x:v>28</x:v>
      </x:c>
      <x:c r="O7" s="11" t="s">
        <x:v>65</x:v>
      </x:c>
      <x:c r="P7" s="11" t="s">
        <x:v>59</x:v>
      </x:c>
      <x:c r="Q7" s="14" t="str">
        <x:f xml:space="preserve">HYPERLINK("https://www.infonalia.es/licitaciones1225/2025177110.pdf","www.infonalia.es/licitaciones1225/2025177110.pdf")</x:f>
        <x:v>www.infonalia.es/licitaciones1225/2025177110.pdf</x:v>
      </x:c>
    </x:row>
    <x:row r="8">
      <x:c r="A8" s="6" t="s">
        <x:v>17</x:v>
      </x:c>
      <x:c r="B8" s="6" t="s">
        <x:v>31</x:v>
      </x:c>
      <x:c r="C8" s="7" t="s">
        <x:v>66</x:v>
      </x:c>
      <x:c r="D8" s="8" t="s">
        <x:v>67</x:v>
      </x:c>
      <x:c r="E8" s="9" t="s">
        <x:v>21</x:v>
      </x:c>
      <x:c r="F8" s="6" t="s">
        <x:v>68</x:v>
      </x:c>
      <x:c r="G8" s="6" t="s">
        <x:v>69</x:v>
      </x:c>
      <x:c r="H8" s="6" t="s">
        <x:v>70</x:v>
      </x:c>
      <x:c r="I8" s="10" t="n">
        <x:v>11340.00</x:v>
      </x:c>
      <x:c r="J8" s="11" t="s">
        <x:v>37</x:v>
      </x:c>
      <x:c r="K8" s="11" t="s">
        <x:v>26</x:v>
      </x:c>
      <x:c r="L8" s="12" t="str">
        <x:f xml:space="preserve">HYPERLINK("https://contractaciopublica.cat/ca/detall-publicacio/ae8c2bc7-9fd0-49b0-990b-8c1ecaeb0631/300644329","contractaciopublica.cat/ca/detall-publicacio/ae8c2bc7-9fd0-49b0-990b-8c1ecaeb0631/300644329")</x:f>
        <x:v>contractaciopublica.cat/ca/detall-publicacio/ae8c2bc7-9fd0-49b0-990b-8c1ecaeb0631/300644329</x:v>
      </x:c>
      <x:c r="M8" s="11" t="s">
        <x:v>27</x:v>
      </x:c>
      <x:c r="N8" s="13" t="s">
        <x:v>28</x:v>
      </x:c>
      <x:c r="O8" s="11" t="s">
        <x:v>71</x:v>
      </x:c>
      <x:c r="P8" s="11" t="s">
        <x:v>72</x:v>
      </x:c>
      <x:c r="Q8" s="14" t="str">
        <x:f xml:space="preserve">HYPERLINK("https://www.infonalia.es/licitaciones1225/2025177137.pdf","www.infonalia.es/licitaciones1225/2025177137.pdf")</x:f>
        <x:v>www.infonalia.es/licitaciones1225/2025177137.pdf</x:v>
      </x:c>
    </x:row>
    <x:row r="9">
      <x:c r="A9" s="6" t="s">
        <x:v>17</x:v>
      </x:c>
      <x:c r="B9" s="6" t="s">
        <x:v>31</x:v>
      </x:c>
      <x:c r="C9" s="7" t="s">
        <x:v>73</x:v>
      </x:c>
      <x:c r="D9" s="8" t="s">
        <x:v>74</x:v>
      </x:c>
      <x:c r="E9" s="9" t="s">
        <x:v>21</x:v>
      </x:c>
      <x:c r="F9" s="6" t="s">
        <x:v>75</x:v>
      </x:c>
      <x:c r="G9" s="6" t="s">
        <x:v>76</x:v>
      </x:c>
      <x:c r="H9" s="6" t="s">
        <x:v>77</x:v>
      </x:c>
      <x:c r="I9" s="10" t="n">
        <x:v>37044.70</x:v>
      </x:c>
      <x:c r="J9" s="11" t="s">
        <x:v>37</x:v>
      </x:c>
      <x:c r="K9" s="11" t="s">
        <x:v>26</x:v>
      </x:c>
      <x:c r="L9" s="12" t="str">
        <x:f xml:space="preserve">HYPERLINK("https://contractaciopublica.cat/ca/detall-publicacio/7a23c9de-4349-40cc-9a58-4de2a707145e/300641624","contractaciopublica.cat/ca/detall-publicacio/7a23c9de-4349-40cc-9a58-4de2a707145e/300641624")</x:f>
        <x:v>contractaciopublica.cat/ca/detall-publicacio/7a23c9de-4349-40cc-9a58-4de2a707145e/300641624</x:v>
      </x:c>
      <x:c r="M9" s="11" t="s">
        <x:v>27</x:v>
      </x:c>
      <x:c r="N9" s="13" t="s">
        <x:v>28</x:v>
      </x:c>
      <x:c r="O9" s="11" t="s">
        <x:v>78</x:v>
      </x:c>
      <x:c r="P9" s="11" t="s">
        <x:v>40</x:v>
      </x:c>
      <x:c r="Q9" s="14" t="str">
        <x:f xml:space="preserve">HYPERLINK("https://www.infonalia.es/licitaciones1225/2025177142.pdf","www.infonalia.es/licitaciones1225/2025177142.pdf")</x:f>
        <x:v>www.infonalia.es/licitaciones1225/2025177142.pdf</x:v>
      </x:c>
    </x:row>
    <x:row r="10">
      <x:c r="A10" s="6" t="s">
        <x:v>17</x:v>
      </x:c>
      <x:c r="B10" s="6" t="s">
        <x:v>31</x:v>
      </x:c>
      <x:c r="C10" s="7" t="s">
        <x:v>79</x:v>
      </x:c>
      <x:c r="D10" s="8" t="s">
        <x:v>80</x:v>
      </x:c>
      <x:c r="E10" s="9" t="s">
        <x:v>21</x:v>
      </x:c>
      <x:c r="F10" s="6" t="s">
        <x:v>81</x:v>
      </x:c>
      <x:c r="G10" s="6" t="s">
        <x:v>82</x:v>
      </x:c>
      <x:c r="H10" s="6" t="s">
        <x:v>83</x:v>
      </x:c>
      <x:c r="I10" s="10" t="n">
        <x:v>49494.57</x:v>
      </x:c>
      <x:c r="J10" s="11" t="s">
        <x:v>37</x:v>
      </x:c>
      <x:c r="K10" s="11" t="s">
        <x:v>26</x:v>
      </x:c>
      <x:c r="L10" s="12" t="str">
        <x:f xml:space="preserve">HYPERLINK("https://contractaciopublica.cat/ca/detall-publicacio/7fd417ef-16a0-41d0-8267-3f4d4b00323f/300638890","contractaciopublica.cat/ca/detall-publicacio/7fd417ef-16a0-41d0-8267-3f4d4b00323f/300638890")</x:f>
        <x:v>contractaciopublica.cat/ca/detall-publicacio/7fd417ef-16a0-41d0-8267-3f4d4b00323f/300638890</x:v>
      </x:c>
      <x:c r="M10" s="11" t="s">
        <x:v>27</x:v>
      </x:c>
      <x:c r="N10" s="13" t="s">
        <x:v>28</x:v>
      </x:c>
      <x:c r="O10" s="11" t="s">
        <x:v>84</x:v>
      </x:c>
      <x:c r="P10" s="11" t="s">
        <x:v>59</x:v>
      </x:c>
      <x:c r="Q10" s="14" t="str">
        <x:f xml:space="preserve">HYPERLINK("https://www.infonalia.es/licitaciones1225/2025177230.pdf","www.infonalia.es/licitaciones1225/2025177230.pdf")</x:f>
        <x:v>www.infonalia.es/licitaciones1225/2025177230.pdf</x:v>
      </x:c>
    </x:row>
    <x:row r="11">
      <x:c r="A11" s="6" t="s">
        <x:v>17</x:v>
      </x:c>
      <x:c r="B11" s="6" t="s">
        <x:v>31</x:v>
      </x:c>
      <x:c r="C11" s="7" t="s">
        <x:v>85</x:v>
      </x:c>
      <x:c r="D11" s="8" t="s">
        <x:v>86</x:v>
      </x:c>
      <x:c r="E11" s="9" t="s">
        <x:v>21</x:v>
      </x:c>
      <x:c r="F11" s="6" t="s">
        <x:v>87</x:v>
      </x:c>
      <x:c r="G11" s="6" t="s">
        <x:v>88</x:v>
      </x:c>
      <x:c r="H11" s="6" t="s">
        <x:v>89</x:v>
      </x:c>
      <x:c r="I11" s="10" t="n">
        <x:v>48132.87</x:v>
      </x:c>
      <x:c r="J11" s="11" t="s">
        <x:v>37</x:v>
      </x:c>
      <x:c r="K11" s="11" t="s">
        <x:v>26</x:v>
      </x:c>
      <x:c r="L11" s="12" t="str">
        <x:f xml:space="preserve">HYPERLINK("https://contractaciopublica.cat/ca/detall-publicacio/8bd57791-f01c-4c16-a8ce-4ab6c7d550d7/300644265","contractaciopublica.cat/ca/detall-publicacio/8bd57791-f01c-4c16-a8ce-4ab6c7d550d7/300644265")</x:f>
        <x:v>contractaciopublica.cat/ca/detall-publicacio/8bd57791-f01c-4c16-a8ce-4ab6c7d550d7/300644265</x:v>
      </x:c>
      <x:c r="M11" s="11" t="s">
        <x:v>27</x:v>
      </x:c>
      <x:c r="N11" s="13" t="s">
        <x:v>28</x:v>
      </x:c>
      <x:c r="O11" s="11" t="s">
        <x:v>90</x:v>
      </x:c>
      <x:c r="P11" s="11" t="s">
        <x:v>30</x:v>
      </x:c>
      <x:c r="Q11" s="14" t="str">
        <x:f xml:space="preserve">HYPERLINK("https://www.infonalia.es/licitaciones1225/2025177239.pdf","www.infonalia.es/licitaciones1225/2025177239.pdf")</x:f>
        <x:v>www.infonalia.es/licitaciones1225/2025177239.pdf</x:v>
      </x:c>
    </x:row>
    <x:row r="12">
      <x:c r="A12" s="6" t="s">
        <x:v>17</x:v>
      </x:c>
      <x:c r="B12" s="6" t="s">
        <x:v>31</x:v>
      </x:c>
      <x:c r="C12" s="7" t="s">
        <x:v>91</x:v>
      </x:c>
      <x:c r="D12" s="8" t="s">
        <x:v>92</x:v>
      </x:c>
      <x:c r="E12" s="9" t="s">
        <x:v>21</x:v>
      </x:c>
      <x:c r="F12" s="6" t="s">
        <x:v>93</x:v>
      </x:c>
      <x:c r="G12" s="6" t="s">
        <x:v>94</x:v>
      </x:c>
      <x:c r="H12" s="6" t="s">
        <x:v>95</x:v>
      </x:c>
      <x:c r="I12" s="10" t="n">
        <x:v>26313.90</x:v>
      </x:c>
      <x:c r="J12" s="11" t="s">
        <x:v>37</x:v>
      </x:c>
      <x:c r="K12" s="11" t="s">
        <x:v>26</x:v>
      </x:c>
      <x:c r="L12" s="12" t="str">
        <x:f xml:space="preserve">HYPERLINK("https://contrataciondelestado.es/wps/poc?uri=deeplink:detalle_licitacion&amp;idEvl=ACy1%2B4Bf%2BYaFlFRHfEzEaw%3D%3D","contrataciondelestado.es/wps/poc?uri=deeplink:detalle_licitacion&amp;idEvl=ACy1%2B4Bf%2BYaFlFRHfEzEaw%3D%3D")</x:f>
        <x:v>contrataciondelestado.es/wps/poc?uri=deeplink:detalle_licitacion&amp;idEvl=ACy1%2B4Bf%2BYaFlFRHfEzEaw%3D%3D</x:v>
      </x:c>
      <x:c r="M12" s="11" t="s">
        <x:v>27</x:v>
      </x:c>
      <x:c r="N12" s="13" t="s">
        <x:v>28</x:v>
      </x:c>
      <x:c r="O12" s="11" t="s">
        <x:v>96</x:v>
      </x:c>
      <x:c r="P12" s="11" t="s">
        <x:v>40</x:v>
      </x:c>
      <x:c r="Q12" s="14" t="str">
        <x:f xml:space="preserve">HYPERLINK("https://www.infonalia.es/licitaciones1225/2025177262.pdf","www.infonalia.es/licitaciones1225/2025177262.pdf")</x:f>
        <x:v>www.infonalia.es/licitaciones1225/2025177262.pdf</x:v>
      </x:c>
    </x:row>
    <x:row r="13">
      <x:c r="A13" s="6" t="s">
        <x:v>17</x:v>
      </x:c>
      <x:c r="B13" s="6" t="s">
        <x:v>31</x:v>
      </x:c>
      <x:c r="C13" s="7" t="s">
        <x:v>73</x:v>
      </x:c>
      <x:c r="D13" s="8" t="s">
        <x:v>97</x:v>
      </x:c>
      <x:c r="E13" s="9" t="s">
        <x:v>21</x:v>
      </x:c>
      <x:c r="F13" s="6" t="s">
        <x:v>98</x:v>
      </x:c>
      <x:c r="G13" s="6" t="s">
        <x:v>99</x:v>
      </x:c>
      <x:c r="H13" s="6" t="s">
        <x:v>100</x:v>
      </x:c>
      <x:c r="I13" s="10" t="n">
        <x:v>50000.00</x:v>
      </x:c>
      <x:c r="J13" s="11" t="s">
        <x:v>37</x:v>
      </x:c>
      <x:c r="K13" s="11" t="s">
        <x:v>26</x:v>
      </x:c>
      <x:c r="L13" s="12" t="str">
        <x:f xml:space="preserve">HYPERLINK("https://contrataciondelestado.es/wps/poc?uri=deeplink:detalle_licitacion&amp;idEvl=1n3jGsxsB6SdkQsA7ROvsg%3D%3D","contrataciondelestado.es/wps/poc?uri=deeplink:detalle_licitacion&amp;idEvl=1n3jGsxsB6SdkQsA7ROvsg%3D%3D")</x:f>
        <x:v>contrataciondelestado.es/wps/poc?uri=deeplink:detalle_licitacion&amp;idEvl=1n3jGsxsB6SdkQsA7ROvsg%3D%3D</x:v>
      </x:c>
      <x:c r="M13" s="11" t="s">
        <x:v>27</x:v>
      </x:c>
      <x:c r="N13" s="13" t="s">
        <x:v>28</x:v>
      </x:c>
      <x:c r="O13" s="11" t="s">
        <x:v>101</x:v>
      </x:c>
      <x:c r="P13" s="11" t="s">
        <x:v>40</x:v>
      </x:c>
      <x:c r="Q13" s="14" t="str">
        <x:f xml:space="preserve">HYPERLINK("https://www.infonalia.es/licitaciones1225/2025177325.pdf","www.infonalia.es/licitaciones1225/2025177325.pdf")</x:f>
        <x:v>www.infonalia.es/licitaciones1225/2025177325.pdf</x:v>
      </x:c>
    </x:row>
    <x:row r="14">
      <x:c r="A14" s="6" t="s">
        <x:v>17</x:v>
      </x:c>
      <x:c r="B14" s="6" t="s">
        <x:v>31</x:v>
      </x:c>
      <x:c r="C14" s="7" t="s">
        <x:v>102</x:v>
      </x:c>
      <x:c r="D14" s="8" t="s">
        <x:v>103</x:v>
      </x:c>
      <x:c r="E14" s="9" t="s">
        <x:v>21</x:v>
      </x:c>
      <x:c r="F14" s="6" t="s">
        <x:v>104</x:v>
      </x:c>
      <x:c r="G14" s="6" t="s">
        <x:v>105</x:v>
      </x:c>
      <x:c r="H14" s="6" t="s">
        <x:v>106</x:v>
      </x:c>
      <x:c r="I14" s="10" t="n">
        <x:v>45000.00</x:v>
      </x:c>
      <x:c r="J14" s="11" t="s">
        <x:v>37</x:v>
      </x:c>
      <x:c r="K14" s="11" t="s">
        <x:v>26</x:v>
      </x:c>
      <x:c r="L14" s="12" t="str">
        <x:f xml:space="preserve">HYPERLINK("https://contractaciopublica.cat/ca/detall-publicacio/97f8cb16-b896-469e-bdd9-9278db2cfa2c/300644086","contractaciopublica.cat/ca/detall-publicacio/97f8cb16-b896-469e-bdd9-9278db2cfa2c/300644086")</x:f>
        <x:v>contractaciopublica.cat/ca/detall-publicacio/97f8cb16-b896-469e-bdd9-9278db2cfa2c/300644086</x:v>
      </x:c>
      <x:c r="M14" s="11" t="s">
        <x:v>27</x:v>
      </x:c>
      <x:c r="N14" s="13" t="s">
        <x:v>28</x:v>
      </x:c>
      <x:c r="O14" s="11" t="s">
        <x:v>107</x:v>
      </x:c>
      <x:c r="P14" s="11" t="s">
        <x:v>30</x:v>
      </x:c>
      <x:c r="Q14" s="14" t="str">
        <x:f xml:space="preserve">HYPERLINK("https://www.infonalia.es/licitaciones1225/2025177365.pdf","www.infonalia.es/licitaciones1225/2025177365.pdf")</x:f>
        <x:v>www.infonalia.es/licitaciones1225/2025177365.pdf</x:v>
      </x:c>
    </x:row>
    <x:row r="15">
      <x:c r="A15" s="6" t="s">
        <x:v>17</x:v>
      </x:c>
      <x:c r="B15" s="6" t="s">
        <x:v>108</x:v>
      </x:c>
      <x:c r="C15" s="7" t="s">
        <x:v>60</x:v>
      </x:c>
      <x:c r="D15" s="8" t="s">
        <x:v>109</x:v>
      </x:c>
      <x:c r="E15" s="9" t="s">
        <x:v>21</x:v>
      </x:c>
      <x:c r="F15" s="6" t="s">
        <x:v>110</x:v>
      </x:c>
      <x:c r="G15" s="6" t="s">
        <x:v>111</x:v>
      </x:c>
      <x:c r="H15" s="6" t="s">
        <x:v>112</x:v>
      </x:c>
      <x:c r="I15" s="10" t="n">
        <x:v>178794.00</x:v>
      </x:c>
      <x:c r="J15" s="11" t="s">
        <x:v>113</x:v>
      </x:c>
      <x:c r="K15" s="11" t="s">
        <x:v>114</x:v>
      </x:c>
      <x:c r="L15" s="12" t="str">
        <x:f xml:space="preserve">HYPERLINK("https://www.camaramurcia.es/camara-de-comercio/perfil-de-contratante/#tab-id-1","www.camaramurcia.es/camara-de-comercio/perfil-de-contratante/#tab-id-1")</x:f>
        <x:v>www.camaramurcia.es/camara-de-comercio/perfil-de-contratante/#tab-id-1</x:v>
      </x:c>
      <x:c r="M15" s="11" t="s">
        <x:v>27</x:v>
      </x:c>
      <x:c r="N15" s="13" t="s">
        <x:v>21</x:v>
      </x:c>
      <x:c r="O15" s="11" t="s">
        <x:v>115</x:v>
      </x:c>
      <x:c r="P15" s="11" t="s">
        <x:v>30</x:v>
      </x:c>
      <x:c r="Q15" s="14" t="str">
        <x:f xml:space="preserve">HYPERLINK("https://www.infonalia.es/licitaciones1225/2025177486.pdf","www.infonalia.es/licitaciones1225/2025177486.pdf")</x:f>
        <x:v>www.infonalia.es/licitaciones1225/2025177486.pdf</x:v>
      </x:c>
    </x:row>
    <x:row r="16">
      <x:c r="A16" s="6" t="s">
        <x:v>17</x:v>
      </x:c>
      <x:c r="B16" s="6" t="s">
        <x:v>31</x:v>
      </x:c>
      <x:c r="C16" s="7" t="s">
        <x:v>116</x:v>
      </x:c>
      <x:c r="D16" s="8" t="s">
        <x:v>117</x:v>
      </x:c>
      <x:c r="E16" s="9" t="s">
        <x:v>21</x:v>
      </x:c>
      <x:c r="F16" s="6" t="s">
        <x:v>118</x:v>
      </x:c>
      <x:c r="G16" s="6" t="s">
        <x:v>119</x:v>
      </x:c>
      <x:c r="H16" s="6" t="s">
        <x:v>120</x:v>
      </x:c>
      <x:c r="I16" s="10" t="n">
        <x:v>5000.00</x:v>
      </x:c>
      <x:c r="J16" s="11" t="s">
        <x:v>37</x:v>
      </x:c>
      <x:c r="K16" s="11" t="s">
        <x:v>26</x:v>
      </x:c>
      <x:c r="L16" s="12" t="str">
        <x:f xml:space="preserve">HYPERLINK("https://contrataciondelestado.es/wps/poc?uri=deeplink:detalle_licitacion&amp;idEvl=rnHsFp71hFm2gkLQ8TeYKA%3D%3D","contrataciondelestado.es/wps/poc?uri=deeplink:detalle_licitacion&amp;idEvl=rnHsFp71hFm2gkLQ8TeYKA%3D%3D")</x:f>
        <x:v>contrataciondelestado.es/wps/poc?uri=deeplink:detalle_licitacion&amp;idEvl=rnHsFp71hFm2gkLQ8TeYKA%3D%3D</x:v>
      </x:c>
      <x:c r="M16" s="11" t="s">
        <x:v>27</x:v>
      </x:c>
      <x:c r="N16" s="13" t="s">
        <x:v>21</x:v>
      </x:c>
      <x:c r="O16" s="11" t="s">
        <x:v>121</x:v>
      </x:c>
      <x:c r="P16" s="11" t="s">
        <x:v>40</x:v>
      </x:c>
      <x:c r="Q16" s="14" t="str">
        <x:f xml:space="preserve">HYPERLINK("https://www.infonalia.es/licitaciones1225/2025177632.pdf","www.infonalia.es/licitaciones1225/2025177632.pdf")</x:f>
        <x:v>www.infonalia.es/licitaciones1225/2025177632.pdf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