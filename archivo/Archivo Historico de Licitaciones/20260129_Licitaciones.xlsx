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Licitaciones" sheetId="1" r:id="rId1"/>
  </x:sheets>
  <x:definedNames>
    <x:definedName name="_xlnm._FilterDatabase" localSheetId="0" hidden="1">Licitaciones!$A$1:$Q$1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<x:sst xmlns:x="http://schemas.openxmlformats.org/spreadsheetml/2006/main" count="17" uniqueCount="17">
  <x:si>
    <x:t>TipoDato</x:t>
  </x:si>
  <x:si>
    <x:t>CodigoBoletin</x:t>
  </x:si>
  <x:si>
    <x:t>PlazoPresentacionFecha</x:t>
  </x:si>
  <x:si>
    <x:t>Referencia</x:t>
  </x:si>
  <x:si>
    <x:t>FechaIntroduccion</x:t>
  </x:si>
  <x:si>
    <x:t>OrganismoConvocante</x:t>
  </x:si>
  <x:si>
    <x:t>Objeto</x:t>
  </x:si>
  <x:si>
    <x:t>Nº Expediente</x:t>
  </x:si>
  <x:si>
    <x:t>Presupuesto</x:t>
  </x:si>
  <x:si>
    <x:t>PresupuestoVarios</x:t>
  </x:si>
  <x:si>
    <x:t>PlazoPresentacionVarios</x:t>
  </x:si>
  <x:si>
    <x:t>InformacionWeb</x:t>
  </x:si>
  <x:si>
    <x:t>PublicacionNumero</x:t>
  </x:si>
  <x:si>
    <x:t>PublicacionFecha</x:t>
  </x:si>
  <x:si>
    <x:t>Observaciones</x:t>
  </x:si>
  <x:si>
    <x:t>LugarEjecucion</x:t>
  </x:si>
  <x:si>
    <x:t>Anuncio</x:t>
  </x:si>
  <x:si>
    <x:t>Concurso</x:t>
  </x:si>
  <x:si>
    <x:t>Plataforma de Contratación del Estado</x:t>
  </x:si>
  <x:si>
    <x:t>12/02/2026</x:t>
  </x:si>
  <x:si>
    <x:t>2026008863</x:t>
  </x:si>
  <x:si>
    <x:t>29/01/2026</x:t>
  </x:si>
  <x:si>
    <x:t>FUNDACIÓN PARA EL CONOCIMIENTO MADRI+D</x:t>
  </x:si>
  <x:si>
    <x:t>Servicios de coordinación y elaboración de los programas “INNODAYS MADRID” E “INNOBAR MADRID” de la Comunidad de Madrid para la Fundación para el Conocimiento madrimasd</x:t>
  </x:si>
  <x:si>
    <x:t>S_2026_001</x:t>
  </x:si>
  <x:si>
    <x:t>Importe sin impuestos</x:t>
  </x:si>
  <x:si>
    <x:t/>
  </x:si>
  <x:si>
    <x:t>-----</x:t>
  </x:si>
  <x:si>
    <x:t>28/01/2026</x:t>
  </x:si>
  <x:si>
    <x:t/>
  </x:si>
  <x:si>
    <x:t>Madrid</x:t>
  </x:si>
  <x:si>
    <x:t>13/02/2026</x:t>
  </x:si>
  <x:si>
    <x:t>2026008875</x:t>
  </x:si>
  <x:si>
    <x:t>GENERALITAT DE CATALUNYA. DEPARTAMENTO DE INVESTIGACIÓN Y UNIVERSIDADES</x:t>
  </x:si>
  <x:si>
    <x:t>Servicios de diseño, construcción, transporte, montaje y desmontaje, de stands del Consejo Interuniversitario de Cataluña para su participación en ferias internacionales de educación superior de NAFSA y EAIE a realizar durante el año 2026</x:t>
  </x:si>
  <x:si>
    <x:t>UR-2026-48</x:t>
  </x:si>
  <x:si>
    <x:t/>
  </x:si>
  <x:si>
    <x:t>Catalunya</x:t>
  </x:si>
  <x:si>
    <x:t>26/02/2026</x:t>
  </x:si>
  <x:si>
    <x:t>2026008892</x:t>
  </x:si>
  <x:si>
    <x:t>PATRONATO DE TURISMO DE LA DIPUTACIÓN DE TARRAGONA</x:t>
  </x:si>
  <x:si>
    <x:t>Servicio de publicidad, promoción y apoyo a la comercialización de las marcas turísticas Costa Daurada y Terres de l'Ebre. Lote 1: Servicios de asesoría, desarrollo estratégico, planificación, negociación de precios y descuentos, contratación de espacios publicitarios, contenidos y/o acciones especiales en los medios de comunicación, incluyendo la ejecución, el seguimiento y la evaluación del campamento. Lote 2: Servicios de asesoría, desarrollo estratégico, planificación, negociación de precios y descuentos, contratación de espacios publicitarios, contenidos y/o acciones especiales en los medios ofrecidos por aerolíneas, operadores turísticos y agencias.</x:t>
  </x:si>
  <x:si>
    <x:t>8004330048-2024-0000266</x:t>
  </x:si>
  <x:si>
    <x:t/>
  </x:si>
  <x:si>
    <x:t>Tarragona</x:t>
  </x:si>
  <x:si>
    <x:t>11/02/2026</x:t>
  </x:si>
  <x:si>
    <x:t>2026008922</x:t>
  </x:si>
  <x:si>
    <x:t>ALCALDÍA DEL AYUNTAMIENTO DE MORALZARZAL (MADRID)</x:t>
  </x:si>
  <x:si>
    <x:t>Organización eventos populares: Matanza, Cruz de Mayo, Castañada y Luminaria</x:t>
  </x:si>
  <x:si>
    <x:t>582/2026</x:t>
  </x:si>
  <x:si>
    <x:t/>
  </x:si>
  <x:si>
    <x:t>2026008953</x:t>
  </x:si>
  <x:si>
    <x:t>AYUNTAMIENTO DEL HOSPITALET DE LLOBREGAT (BARCELONA)</x:t>
  </x:si>
  <x:si>
    <x:t>Servicios de producción y ejecución de la Fiesta "Parque de la Ciencia" (ediciones 2026, 2027 y 2028)</x:t>
  </x:si>
  <x:si>
    <x:t>AJT/21391/2025</x:t>
  </x:si>
  <x:si>
    <x:t/>
  </x:si>
  <x:si>
    <x:t>Barcelona</x:t>
  </x:si>
  <x:si>
    <x:t>2026008992</x:t>
  </x:si>
  <x:si>
    <x:t>DIRECCIÓN DE COMPRAS DE LA CORPORACIÓN DE RADIO Y TELEVISIÓN ESPAÑOLA S.A</x:t>
  </x:si>
  <x:si>
    <x:t>Sistema CATV - Premios Goya 2026</x:t>
  </x:si>
  <x:si>
    <x:t>S-00244-2026</x:t>
  </x:si>
  <x:si>
    <x:t/>
  </x:si>
  <x:si>
    <x:t>2026009025</x:t>
  </x:si>
  <x:si>
    <x:t>MINISTERIO DE ECONOMÍA, COMERCIO Y EMPRESA. PRESIDENCIA DE LA COMPAÑÍA ESPAÑOLA DE FINANCIACIÓN DEL DESARROLLO. COFIDES S.A., S.M.E.</x:t>
  </x:si>
  <x:si>
    <x:t>Asesoramiento Financiero, comercial y de mercado para entrada de capital de una empresa de satélites</x:t>
  </x:si>
  <x:si>
    <x:t>FOC26INV002</x:t>
  </x:si>
  <x:si>
    <x:t>Ver pliegos</x:t>
  </x:si>
  <x:si>
    <x:t/>
  </x:si>
  <x:si>
    <x:t>2026009075</x:t>
  </x:si>
  <x:si>
    <x:t>ORGANISME AUTÒNOM FIRES I MERCATS DE VIC</x:t>
  </x:si>
  <x:si>
    <x:t>El objeto del presente contrato es la prestación del Servicio Integral de Comunicación de Ferias y Mercados del Organismo Autónomo de Ferias y Mercados de Vic (OFIM). El contrato tiene por finalidad garantizar la consultoría, planificación, ejecución, seguimiento y evaluación de todas las acciones de comunicación necesarias para asegurar la difusión eficiente de las ferias organizadas por la OFIM a lo largo del año. Lote 1: Ferias culturales. Lote 2: Ferias deportivas. Lote 3: Ferias tradicionales y de cultura popular. Lote 4: Ferias gastronómicas.</x:t>
  </x:si>
  <x:si>
    <x:t>FIM/4/2026</x:t>
  </x:si>
  <x:si>
    <x:t/>
  </x:si>
  <x:si>
    <x:t>2026009120</x:t>
  </x:si>
  <x:si>
    <x:t>AYUNTAMIENTO DE MADRID. DISTRITO DE HORTALEZA</x:t>
  </x:si>
  <x:si>
    <x:t>Cine de verano en Hortaleza 2026</x:t>
  </x:si>
  <x:si>
    <x:t>300/2025/03547</x:t>
  </x:si>
  <x:si>
    <x:t/>
  </x:si>
  <x:si>
    <x:t>Barcelona. Perfil del Contratante del Ayuntamiento</x:t>
  </x:si>
  <x:si>
    <x:t>04/02/2026</x:t>
  </x:si>
  <x:si>
    <x:t>2026009142</x:t>
  </x:si>
  <x:si>
    <x:t>AYUNTAMIENTO DE BARCELONA</x:t>
  </x:si>
  <x:si>
    <x:t>Servicio para la dinamización, coordinación, soporte logístico y realización de las actividades durante la celebración del día de Sant Jordi en el barrio de Sant Ramon del distrito de las 
Cortes en 2026.</x:t>
  </x:si>
  <x:si>
    <x:t>001_P2600251</x:t>
  </x:si>
  <x:si>
    <x:t/>
  </x:si>
  <x:si>
    <x:t/>
  </x:si>
  <x:si>
    <x:t>03/02/2026</x:t>
  </x:si>
  <x:si>
    <x:t>2026009147</x:t>
  </x:si>
  <x:si>
    <x:t>Provisión de servicios y medidas de accesibilidad a la comunicación y de los soportes a la inclusión
 para los espectáculos familiares en el Distrito del Eixample.</x:t>
  </x:si>
  <x:si>
    <x:t>001_P2600098</x:t>
  </x:si>
  <x:si>
    <x:t/>
  </x:si>
  <x:si>
    <x:t/>
  </x:si>
  <x:si>
    <x:t>2026009352</x:t>
  </x:si>
  <x:si>
    <x:t>JUNTA DE GOBIERNO DEL AYUNTAMIENTO DE ALCALÁ DE HENARES (MADRID)</x:t>
  </x:si>
  <x:si>
    <x:t>Suministro para la adquisición de una edición facsímil del Fuero Viejo junto con un estudio del mismo</x:t>
  </x:si>
  <x:si>
    <x:t>6816</x:t>
  </x:si>
  <x:si>
    <x:t/>
  </x:si>
  <x:si>
    <x:t>16/02/2026</x:t>
  </x:si>
  <x:si>
    <x:t>2026009394</x:t>
  </x:si>
  <x:si>
    <x:t>PRESIDENCIA DEL INSTITUTO VALENCIANO DE COMPETITIVIDAD EMPRESARIAL (IVACE)</x:t>
  </x:si>
  <x:si>
    <x:t>Servicio de asesoramiento y apoyo en destino a las empresas de la Comunitat Valenciana para su internacionalización en Corea del Sur</x:t>
  </x:si>
  <x:si>
    <x:t>IVACE 2/2026</x:t>
  </x:si>
  <x:si>
    <x:t/>
  </x:si>
  <x:si>
    <x:t>Corea del Sur</x:t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</x:si>
</x:sst>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5">
    <xf numFmtId="0" fontId="0" fillId="0" borderId="0" xfId="0"/>
    <xf numFmtId="0" fontId="1" fillId="0" borderId="0" xfId="0" applyFont="1" applyAlignment="1" applyProtection="1">
      <alignment vertical="center" wrapText="1"/>
    </xf>
    <xf numFmtId="0" fontId="1" fillId="0" borderId="0" xfId="0" applyFont="1" applyAlignment="1" applyProtection="1">
      <alignment horizontal="center" vertical="center" wrapText="1"/>
    </xf>
    <xf numFmtId="0" fontId="1" fillId="0" borderId="0" xfId="0" applyFont="1" applyAlignment="1" applyProtection="1">
      <alignment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/>
    </xf>
    <xf numFmtId="0" fontId="1" fillId="0" borderId="1" xfId="0" applyFont="1" applyBorder="1" applyAlignment="1" applyProtection="1">
      <alignment vertical="center" wrapText="1"/>
    </xf>
    <xf numFmtId="14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14" fontId="1" fillId="0" borderId="1" xfId="0" applyNumberFormat="1" applyFont="1" applyBorder="1" applyAlignment="1" applyProtection="1">
      <alignment vertical="center" wrapText="1"/>
    </xf>
    <xf numFmtId="164" fontId="1" fillId="0" borderId="2" xfId="0" applyNumberFormat="1" applyFont="1" applyBorder="1" applyAlignment="1" applyProtection="1">
      <alignment vertical="center" wrapText="1"/>
    </xf>
    <xf numFmtId="0" fontId="1" fillId="0" borderId="2" xfId="0" applyFont="1" applyBorder="1" applyAlignment="1" applyProtection="1">
      <alignment vertical="center" wrapText="1"/>
    </xf>
    <xf numFmtId="0" fontId="4" fillId="0" borderId="2" xfId="1" applyFont="1" applyBorder="1" applyAlignment="1" applyProtection="1">
      <alignment vertical="center" wrapText="1"/>
    </xf>
    <xf numFmtId="14" fontId="1" fillId="0" borderId="2" xfId="0" applyNumberFormat="1" applyFont="1" applyBorder="1" applyAlignment="1" applyProtection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8.5703125" style="1" customWidth="1"/>
    <x:col min="2" max="2" width="18.85546875" style="1" customWidth="1"/>
    <x:col min="3" max="3" width="19.140625" style="2" customWidth="1"/>
    <x:col min="4" max="4" width="11.140625" style="2" customWidth="1"/>
    <x:col min="5" max="5" width="14.85546875" style="1" hidden="1" customWidth="1"/>
    <x:col min="6" max="6" width="24.7109375" style="1" customWidth="1"/>
    <x:col min="7" max="7" width="57.42578125" style="1" customWidth="1"/>
    <x:col min="8" max="8" width="17.140625" style="1" customWidth="1"/>
    <x:col min="9" max="9" width="14.28515625" style="1" customWidth="1"/>
    <x:col min="10" max="10" width="16.85546875" style="1" hidden="1" customWidth="1"/>
    <x:col min="11" max="11" width="19.42578125" style="1" hidden="1" customWidth="1"/>
    <x:col min="12" max="12" width="33.85546875" style="1" customWidth="1"/>
    <x:col min="13" max="13" width="15.85546875" style="1" hidden="1" customWidth="1"/>
    <x:col min="14" max="14" width="13.85546875" style="1" hidden="1" customWidth="1"/>
    <x:col min="15" max="15" width="11.7109375" style="1" hidden="1" customWidth="1"/>
    <x:col min="16" max="16" width="17.140625" style="1" customWidth="1"/>
    <x:col min="17" max="17" width="29.7109375" style="1" customWidth="1"/>
    <x:col min="18" max="16384" width="11.5703125" style="3"/>
  </x:cols>
  <x:sheetData>
    <x:row r="1" spans="1:17" s="5" customFormat="1" ht="25.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</x:row>
    <x:row r="2" spans="1:17">
      <x:c r="A2" s="6" t="s">
        <x:v>17</x:v>
      </x:c>
      <x:c r="B2" s="6" t="s">
        <x:v>18</x:v>
      </x:c>
      <x:c r="C2" s="7" t="s">
        <x:v>19</x:v>
      </x:c>
      <x:c r="D2" s="8" t="s">
        <x:v>20</x:v>
      </x:c>
      <x:c r="E2" s="9" t="s">
        <x:v>21</x:v>
      </x:c>
      <x:c r="F2" s="6" t="s">
        <x:v>22</x:v>
      </x:c>
      <x:c r="G2" s="6" t="s">
        <x:v>23</x:v>
      </x:c>
      <x:c r="H2" s="6" t="s">
        <x:v>24</x:v>
      </x:c>
      <x:c r="I2" s="10" t="n">
        <x:v>35000.00</x:v>
      </x:c>
      <x:c r="J2" s="11" t="s">
        <x:v>25</x:v>
      </x:c>
      <x:c r="K2" s="11" t="s">
        <x:v>26</x:v>
      </x:c>
      <x:c r="L2" s="12" t="str">
        <x:f xml:space="preserve">HYPERLINK("https://contratos-publicos.comunidad.madrid/contrato-publico/s2026001servicios-coordinacion-elaboracion-programas-innodays-madrid-e-innobar","contratos-publicos.comunidad.madrid/contrato-publico/s2026001servicios-coordinacion-elaboracion-programas-innodays-madrid-e-innobar")</x:f>
        <x:v>contratos-publicos.comunidad.madrid/contrato-publico/s2026001servicios-coordinacion-elaboracion-programas-innodays-madrid-e-innobar</x:v>
      </x:c>
      <x:c r="M2" s="11" t="s">
        <x:v>27</x:v>
      </x:c>
      <x:c r="N2" s="13" t="s">
        <x:v>28</x:v>
      </x:c>
      <x:c r="O2" s="11" t="s">
        <x:v>29</x:v>
      </x:c>
      <x:c r="P2" s="11" t="s">
        <x:v>30</x:v>
      </x:c>
      <x:c r="Q2" s="14" t="str">
        <x:f xml:space="preserve">HYPERLINK("https://www.infonalia.es/licitaciones0126/2026008863.pdf","www.infonalia.es/licitaciones0126/2026008863.pdf")</x:f>
        <x:v>www.infonalia.es/licitaciones0126/2026008863.pdf</x:v>
      </x:c>
    </x:row>
    <x:row r="3">
      <x:c r="A3" s="6" t="s">
        <x:v>17</x:v>
      </x:c>
      <x:c r="B3" s="6" t="s">
        <x:v>18</x:v>
      </x:c>
      <x:c r="C3" s="7" t="s">
        <x:v>31</x:v>
      </x:c>
      <x:c r="D3" s="8" t="s">
        <x:v>32</x:v>
      </x:c>
      <x:c r="E3" s="9" t="s">
        <x:v>21</x:v>
      </x:c>
      <x:c r="F3" s="6" t="s">
        <x:v>33</x:v>
      </x:c>
      <x:c r="G3" s="6" t="s">
        <x:v>34</x:v>
      </x:c>
      <x:c r="H3" s="6" t="s">
        <x:v>35</x:v>
      </x:c>
      <x:c r="I3" s="10" t="n">
        <x:v>129876.60</x:v>
      </x:c>
      <x:c r="J3" s="11" t="s">
        <x:v>25</x:v>
      </x:c>
      <x:c r="K3" s="11" t="s">
        <x:v>26</x:v>
      </x:c>
      <x:c r="L3" s="12" t="str">
        <x:f xml:space="preserve">HYPERLINK("https://contractaciopublica.cat/ca/detall-publicacio/d7c6802e-5e13-4ec7-98b0-a876fd15dce7/300678171","contractaciopublica.cat/ca/detall-publicacio/d7c6802e-5e13-4ec7-98b0-a876fd15dce7/300678171")</x:f>
        <x:v>contractaciopublica.cat/ca/detall-publicacio/d7c6802e-5e13-4ec7-98b0-a876fd15dce7/300678171</x:v>
      </x:c>
      <x:c r="M3" s="11" t="s">
        <x:v>27</x:v>
      </x:c>
      <x:c r="N3" s="13" t="s">
        <x:v>28</x:v>
      </x:c>
      <x:c r="O3" s="11" t="s">
        <x:v>36</x:v>
      </x:c>
      <x:c r="P3" s="11" t="s">
        <x:v>37</x:v>
      </x:c>
      <x:c r="Q3" s="14" t="str">
        <x:f xml:space="preserve">HYPERLINK("https://www.infonalia.es/licitaciones0126/2026008875.pdf","www.infonalia.es/licitaciones0126/2026008875.pdf")</x:f>
        <x:v>www.infonalia.es/licitaciones0126/2026008875.pdf</x:v>
      </x:c>
    </x:row>
    <x:row r="4">
      <x:c r="A4" s="6" t="s">
        <x:v>17</x:v>
      </x:c>
      <x:c r="B4" s="6" t="s">
        <x:v>18</x:v>
      </x:c>
      <x:c r="C4" s="7" t="s">
        <x:v>38</x:v>
      </x:c>
      <x:c r="D4" s="8" t="s">
        <x:v>39</x:v>
      </x:c>
      <x:c r="E4" s="9" t="s">
        <x:v>21</x:v>
      </x:c>
      <x:c r="F4" s="6" t="s">
        <x:v>40</x:v>
      </x:c>
      <x:c r="G4" s="6" t="s">
        <x:v>41</x:v>
      </x:c>
      <x:c r="H4" s="6" t="s">
        <x:v>42</x:v>
      </x:c>
      <x:c r="I4" s="10" t="n">
        <x:v>4974512.40</x:v>
      </x:c>
      <x:c r="J4" s="11" t="s">
        <x:v>25</x:v>
      </x:c>
      <x:c r="K4" s="11" t="s">
        <x:v>26</x:v>
      </x:c>
      <x:c r="L4" s="12" t="str">
        <x:f xml:space="preserve">HYPERLINK("https://contractaciopublica.cat/ca/detall-publicacio/3858001a-9b81-4de3-9a6c-77ff28ed91c1/300678520","contractaciopublica.cat/ca/detall-publicacio/3858001a-9b81-4de3-9a6c-77ff28ed91c1/300678520")</x:f>
        <x:v>contractaciopublica.cat/ca/detall-publicacio/3858001a-9b81-4de3-9a6c-77ff28ed91c1/300678520</x:v>
      </x:c>
      <x:c r="M4" s="11" t="s">
        <x:v>27</x:v>
      </x:c>
      <x:c r="N4" s="13" t="s">
        <x:v>28</x:v>
      </x:c>
      <x:c r="O4" s="11" t="s">
        <x:v>43</x:v>
      </x:c>
      <x:c r="P4" s="11" t="s">
        <x:v>44</x:v>
      </x:c>
      <x:c r="Q4" s="14" t="str">
        <x:f xml:space="preserve">HYPERLINK("https://www.infonalia.es/licitaciones0126/2026008892.pdf","www.infonalia.es/licitaciones0126/2026008892.pdf")</x:f>
        <x:v>www.infonalia.es/licitaciones0126/2026008892.pdf</x:v>
      </x:c>
    </x:row>
    <x:row r="5">
      <x:c r="A5" s="6" t="s">
        <x:v>17</x:v>
      </x:c>
      <x:c r="B5" s="6" t="s">
        <x:v>18</x:v>
      </x:c>
      <x:c r="C5" s="7" t="s">
        <x:v>45</x:v>
      </x:c>
      <x:c r="D5" s="8" t="s">
        <x:v>46</x:v>
      </x:c>
      <x:c r="E5" s="9" t="s">
        <x:v>21</x:v>
      </x:c>
      <x:c r="F5" s="6" t="s">
        <x:v>47</x:v>
      </x:c>
      <x:c r="G5" s="6" t="s">
        <x:v>48</x:v>
      </x:c>
      <x:c r="H5" s="6" t="s">
        <x:v>49</x:v>
      </x:c>
      <x:c r="I5" s="10" t="n">
        <x:v>54308.59</x:v>
      </x:c>
      <x:c r="J5" s="11" t="s">
        <x:v>25</x:v>
      </x:c>
      <x:c r="K5" s="11" t="s">
        <x:v>26</x:v>
      </x:c>
      <x:c r="L5" s="12" t="str">
        <x:f xml:space="preserve">HYPERLINK("https://contrataciondelestado.es/wps/poc?uri=deeplink:detalle_licitacion&amp;idEvl=A7qGmG7HAEdxseVhcqrkhw%3D%3D","contrataciondelestado.es/wps/poc?uri=deeplink:detalle_licitacion&amp;idEvl=A7qGmG7HAEdxseVhcqrkhw%3D%3D")</x:f>
        <x:v>contrataciondelestado.es/wps/poc?uri=deeplink:detalle_licitacion&amp;idEvl=A7qGmG7HAEdxseVhcqrkhw%3D%3D</x:v>
      </x:c>
      <x:c r="M5" s="11" t="s">
        <x:v>27</x:v>
      </x:c>
      <x:c r="N5" s="13" t="s">
        <x:v>28</x:v>
      </x:c>
      <x:c r="O5" s="11" t="s">
        <x:v>50</x:v>
      </x:c>
      <x:c r="P5" s="11" t="s">
        <x:v>30</x:v>
      </x:c>
      <x:c r="Q5" s="14" t="str">
        <x:f xml:space="preserve">HYPERLINK("https://www.infonalia.es/licitaciones0126/2026008922.pdf","www.infonalia.es/licitaciones0126/2026008922.pdf")</x:f>
        <x:v>www.infonalia.es/licitaciones0126/2026008922.pdf</x:v>
      </x:c>
    </x:row>
    <x:row r="6">
      <x:c r="A6" s="6" t="s">
        <x:v>17</x:v>
      </x:c>
      <x:c r="B6" s="6" t="s">
        <x:v>18</x:v>
      </x:c>
      <x:c r="C6" s="7" t="s">
        <x:v>19</x:v>
      </x:c>
      <x:c r="D6" s="8" t="s">
        <x:v>51</x:v>
      </x:c>
      <x:c r="E6" s="9" t="s">
        <x:v>21</x:v>
      </x:c>
      <x:c r="F6" s="6" t="s">
        <x:v>52</x:v>
      </x:c>
      <x:c r="G6" s="6" t="s">
        <x:v>53</x:v>
      </x:c>
      <x:c r="H6" s="6" t="s">
        <x:v>54</x:v>
      </x:c>
      <x:c r="I6" s="10" t="n">
        <x:v>99000.00</x:v>
      </x:c>
      <x:c r="J6" s="11" t="s">
        <x:v>25</x:v>
      </x:c>
      <x:c r="K6" s="11" t="s">
        <x:v>26</x:v>
      </x:c>
      <x:c r="L6" s="12" t="str">
        <x:f xml:space="preserve">HYPERLINK("https://contractaciopublica.cat/ca/detall-publicacio/423e8b6f-4076-4a48-a989-1043b6973f40/300678609","contractaciopublica.cat/ca/detall-publicacio/423e8b6f-4076-4a48-a989-1043b6973f40/300678609")</x:f>
        <x:v>contractaciopublica.cat/ca/detall-publicacio/423e8b6f-4076-4a48-a989-1043b6973f40/300678609</x:v>
      </x:c>
      <x:c r="M6" s="11" t="s">
        <x:v>27</x:v>
      </x:c>
      <x:c r="N6" s="13" t="s">
        <x:v>28</x:v>
      </x:c>
      <x:c r="O6" s="11" t="s">
        <x:v>55</x:v>
      </x:c>
      <x:c r="P6" s="11" t="s">
        <x:v>56</x:v>
      </x:c>
      <x:c r="Q6" s="14" t="str">
        <x:f xml:space="preserve">HYPERLINK("https://www.infonalia.es/licitaciones0126/2026008953.pdf","www.infonalia.es/licitaciones0126/2026008953.pdf")</x:f>
        <x:v>www.infonalia.es/licitaciones0126/2026008953.pdf</x:v>
      </x:c>
    </x:row>
    <x:row r="7">
      <x:c r="A7" s="6" t="s">
        <x:v>17</x:v>
      </x:c>
      <x:c r="B7" s="6" t="s">
        <x:v>18</x:v>
      </x:c>
      <x:c r="C7" s="7" t="s">
        <x:v>19</x:v>
      </x:c>
      <x:c r="D7" s="8" t="s">
        <x:v>57</x:v>
      </x:c>
      <x:c r="E7" s="9" t="s">
        <x:v>21</x:v>
      </x:c>
      <x:c r="F7" s="6" t="s">
        <x:v>58</x:v>
      </x:c>
      <x:c r="G7" s="6" t="s">
        <x:v>59</x:v>
      </x:c>
      <x:c r="H7" s="6" t="s">
        <x:v>60</x:v>
      </x:c>
      <x:c r="I7" s="10" t="n">
        <x:v>25000.00</x:v>
      </x:c>
      <x:c r="J7" s="11" t="s">
        <x:v>25</x:v>
      </x:c>
      <x:c r="K7" s="11" t="s">
        <x:v>26</x:v>
      </x:c>
      <x:c r="L7" s="12" t="str">
        <x:f xml:space="preserve">HYPERLINK("https://contrataciondelestado.es/wps/poc?uri=deeplink:detalle_licitacion&amp;idEvl=KP%2B8dw0obLjpxJFXpLZ%2B2A%3D%3D","contrataciondelestado.es/wps/poc?uri=deeplink:detalle_licitacion&amp;idEvl=KP%2B8dw0obLjpxJFXpLZ%2B2A%3D%3D")</x:f>
        <x:v>contrataciondelestado.es/wps/poc?uri=deeplink:detalle_licitacion&amp;idEvl=KP%2B8dw0obLjpxJFXpLZ%2B2A%3D%3D</x:v>
      </x:c>
      <x:c r="M7" s="11" t="s">
        <x:v>27</x:v>
      </x:c>
      <x:c r="N7" s="13" t="s">
        <x:v>28</x:v>
      </x:c>
      <x:c r="O7" s="11" t="s">
        <x:v>61</x:v>
      </x:c>
      <x:c r="P7" s="11" t="s">
        <x:v>56</x:v>
      </x:c>
      <x:c r="Q7" s="14" t="str">
        <x:f xml:space="preserve">HYPERLINK("https://www.infonalia.es/licitaciones0126/2026008992.pdf","www.infonalia.es/licitaciones0126/2026008992.pdf")</x:f>
        <x:v>www.infonalia.es/licitaciones0126/2026008992.pdf</x:v>
      </x:c>
    </x:row>
    <x:row r="8">
      <x:c r="A8" s="6" t="s">
        <x:v>17</x:v>
      </x:c>
      <x:c r="B8" s="6" t="s">
        <x:v>18</x:v>
      </x:c>
      <x:c r="C8" s="7" t="s">
        <x:v>26</x:v>
      </x:c>
      <x:c r="D8" s="8" t="s">
        <x:v>62</x:v>
      </x:c>
      <x:c r="E8" s="9" t="s">
        <x:v>21</x:v>
      </x:c>
      <x:c r="F8" s="6" t="s">
        <x:v>63</x:v>
      </x:c>
      <x:c r="G8" s="6" t="s">
        <x:v>64</x:v>
      </x:c>
      <x:c r="H8" s="6" t="s">
        <x:v>65</x:v>
      </x:c>
      <x:c r="I8" s="10" t="n">
        <x:v>240000.00</x:v>
      </x:c>
      <x:c r="J8" s="11" t="s">
        <x:v>25</x:v>
      </x:c>
      <x:c r="K8" s="11" t="s">
        <x:v>66</x:v>
      </x:c>
      <x:c r="L8" s="12" t="str">
        <x:f xml:space="preserve">HYPERLINK("https://contrataciondelestado.es/wps/poc?uri=deeplink:detalle_licitacion&amp;idEvl=lH1yXnVFC8wIYE3ZiZ%2BxmQ%3D%3D","contrataciondelestado.es/wps/poc?uri=deeplink:detalle_licitacion&amp;idEvl=lH1yXnVFC8wIYE3ZiZ%2BxmQ%3D%3D")</x:f>
        <x:v>contrataciondelestado.es/wps/poc?uri=deeplink:detalle_licitacion&amp;idEvl=lH1yXnVFC8wIYE3ZiZ%2BxmQ%3D%3D</x:v>
      </x:c>
      <x:c r="M8" s="11" t="s">
        <x:v>27</x:v>
      </x:c>
      <x:c r="N8" s="13" t="s">
        <x:v>28</x:v>
      </x:c>
      <x:c r="O8" s="11" t="s">
        <x:v>67</x:v>
      </x:c>
      <x:c r="P8" s="11" t="s">
        <x:v>30</x:v>
      </x:c>
      <x:c r="Q8" s="14" t="str">
        <x:f xml:space="preserve">HYPERLINK("https://www.infonalia.es/licitaciones0126/2026009025.pdf","www.infonalia.es/licitaciones0126/2026009025.pdf")</x:f>
        <x:v>www.infonalia.es/licitaciones0126/2026009025.pdf</x:v>
      </x:c>
    </x:row>
    <x:row r="9">
      <x:c r="A9" s="6" t="s">
        <x:v>17</x:v>
      </x:c>
      <x:c r="B9" s="6" t="s">
        <x:v>18</x:v>
      </x:c>
      <x:c r="C9" s="7" t="s">
        <x:v>19</x:v>
      </x:c>
      <x:c r="D9" s="8" t="s">
        <x:v>68</x:v>
      </x:c>
      <x:c r="E9" s="9" t="s">
        <x:v>21</x:v>
      </x:c>
      <x:c r="F9" s="6" t="s">
        <x:v>69</x:v>
      </x:c>
      <x:c r="G9" s="6" t="s">
        <x:v>70</x:v>
      </x:c>
      <x:c r="H9" s="6" t="s">
        <x:v>71</x:v>
      </x:c>
      <x:c r="I9" s="10" t="n">
        <x:v>42000.00</x:v>
      </x:c>
      <x:c r="J9" s="11" t="s">
        <x:v>25</x:v>
      </x:c>
      <x:c r="K9" s="11" t="s">
        <x:v>26</x:v>
      </x:c>
      <x:c r="L9" s="12" t="str">
        <x:f xml:space="preserve">HYPERLINK("https://contractaciopublica.cat/ca/detall-publicacio/e308ec2d-8034-4c0f-ba25-9f74df5f4169/300678170","contractaciopublica.cat/ca/detall-publicacio/e308ec2d-8034-4c0f-ba25-9f74df5f4169/300678170")</x:f>
        <x:v>contractaciopublica.cat/ca/detall-publicacio/e308ec2d-8034-4c0f-ba25-9f74df5f4169/300678170</x:v>
      </x:c>
      <x:c r="M9" s="11" t="s">
        <x:v>27</x:v>
      </x:c>
      <x:c r="N9" s="13" t="s">
        <x:v>28</x:v>
      </x:c>
      <x:c r="O9" s="11" t="s">
        <x:v>72</x:v>
      </x:c>
      <x:c r="P9" s="11" t="s">
        <x:v>56</x:v>
      </x:c>
      <x:c r="Q9" s="14" t="str">
        <x:f xml:space="preserve">HYPERLINK("https://www.infonalia.es/licitaciones0126/2026009075.pdf","www.infonalia.es/licitaciones0126/2026009075.pdf")</x:f>
        <x:v>www.infonalia.es/licitaciones0126/2026009075.pdf</x:v>
      </x:c>
    </x:row>
    <x:row r="10">
      <x:c r="A10" s="6" t="s">
        <x:v>17</x:v>
      </x:c>
      <x:c r="B10" s="6" t="s">
        <x:v>18</x:v>
      </x:c>
      <x:c r="C10" s="7" t="s">
        <x:v>19</x:v>
      </x:c>
      <x:c r="D10" s="8" t="s">
        <x:v>73</x:v>
      </x:c>
      <x:c r="E10" s="9" t="s">
        <x:v>21</x:v>
      </x:c>
      <x:c r="F10" s="6" t="s">
        <x:v>74</x:v>
      </x:c>
      <x:c r="G10" s="6" t="s">
        <x:v>75</x:v>
      </x:c>
      <x:c r="H10" s="6" t="s">
        <x:v>76</x:v>
      </x:c>
      <x:c r="I10" s="10" t="n">
        <x:v>42608.33</x:v>
      </x:c>
      <x:c r="J10" s="11" t="s">
        <x:v>25</x:v>
      </x:c>
      <x:c r="K10" s="11" t="s">
        <x:v>26</x:v>
      </x:c>
      <x:c r="L10" s="12" t="str">
        <x:f xml:space="preserve">HYPERLINK("https://contrataciondelestado.es/wps/poc?uri=deeplink:detalle_licitacion&amp;idEvl=Jo%2FUJ%2BU6wOizz8fXU2i3eQ%3D%3D","contrataciondelestado.es/wps/poc?uri=deeplink:detalle_licitacion&amp;idEvl=Jo%2FUJ%2BU6wOizz8fXU2i3eQ%3D%3D")</x:f>
        <x:v>contrataciondelestado.es/wps/poc?uri=deeplink:detalle_licitacion&amp;idEvl=Jo%2FUJ%2BU6wOizz8fXU2i3eQ%3D%3D</x:v>
      </x:c>
      <x:c r="M10" s="11" t="s">
        <x:v>27</x:v>
      </x:c>
      <x:c r="N10" s="13" t="s">
        <x:v>28</x:v>
      </x:c>
      <x:c r="O10" s="11" t="s">
        <x:v>77</x:v>
      </x:c>
      <x:c r="P10" s="11" t="s">
        <x:v>30</x:v>
      </x:c>
      <x:c r="Q10" s="14" t="str">
        <x:f xml:space="preserve">HYPERLINK("https://www.infonalia.es/licitaciones0126/2026009120.pdf","www.infonalia.es/licitaciones0126/2026009120.pdf")</x:f>
        <x:v>www.infonalia.es/licitaciones0126/2026009120.pdf</x:v>
      </x:c>
    </x:row>
    <x:row r="11">
      <x:c r="A11" s="6" t="s">
        <x:v>17</x:v>
      </x:c>
      <x:c r="B11" s="6" t="s">
        <x:v>78</x:v>
      </x:c>
      <x:c r="C11" s="7" t="s">
        <x:v>79</x:v>
      </x:c>
      <x:c r="D11" s="8" t="s">
        <x:v>80</x:v>
      </x:c>
      <x:c r="E11" s="9" t="s">
        <x:v>21</x:v>
      </x:c>
      <x:c r="F11" s="6" t="s">
        <x:v>81</x:v>
      </x:c>
      <x:c r="G11" s="6" t="s">
        <x:v>82</x:v>
      </x:c>
      <x:c r="H11" s="6" t="s">
        <x:v>83</x:v>
      </x:c>
      <x:c r="I11" s="10" t="n">
        <x:v>8500.00</x:v>
      </x:c>
      <x:c r="J11" s="11" t="s">
        <x:v>25</x:v>
      </x:c>
      <x:c r="K11" s="11" t="s">
        <x:v>84</x:v>
      </x:c>
      <x:c r="L11" s="12" t="str">
        <x:f xml:space="preserve">HYPERLINK("https://licitacions.bcn.cat/licitacion/licitaciones/detalle?id=14597304","licitacions.bcn.cat/licitacion/licitaciones/detalle?id=14597304")</x:f>
        <x:v>licitacions.bcn.cat/licitacion/licitaciones/detalle?id=14597304</x:v>
      </x:c>
      <x:c r="M11" s="11" t="s">
        <x:v>27</x:v>
      </x:c>
      <x:c r="N11" s="13" t="s">
        <x:v>28</x:v>
      </x:c>
      <x:c r="O11" s="11" t="s">
        <x:v>85</x:v>
      </x:c>
      <x:c r="P11" s="11" t="s">
        <x:v>56</x:v>
      </x:c>
      <x:c r="Q11" s="14" t="str">
        <x:f xml:space="preserve">HYPERLINK("https://www.infonalia.es/licitaciones0126/2026009142.pdf","www.infonalia.es/licitaciones0126/2026009142.pdf")</x:f>
        <x:v>www.infonalia.es/licitaciones0126/2026009142.pdf</x:v>
      </x:c>
    </x:row>
    <x:row r="12">
      <x:c r="A12" s="6" t="s">
        <x:v>17</x:v>
      </x:c>
      <x:c r="B12" s="6" t="s">
        <x:v>78</x:v>
      </x:c>
      <x:c r="C12" s="7" t="s">
        <x:v>86</x:v>
      </x:c>
      <x:c r="D12" s="8" t="s">
        <x:v>87</x:v>
      </x:c>
      <x:c r="E12" s="9" t="s">
        <x:v>21</x:v>
      </x:c>
      <x:c r="F12" s="6" t="s">
        <x:v>81</x:v>
      </x:c>
      <x:c r="G12" s="6" t="s">
        <x:v>88</x:v>
      </x:c>
      <x:c r="H12" s="6" t="s">
        <x:v>89</x:v>
      </x:c>
      <x:c r="I12" s="10" t="n">
        <x:v>4565.00</x:v>
      </x:c>
      <x:c r="J12" s="11" t="s">
        <x:v>25</x:v>
      </x:c>
      <x:c r="K12" s="11" t="s">
        <x:v>90</x:v>
      </x:c>
      <x:c r="L12" s="12" t="str">
        <x:f xml:space="preserve">HYPERLINK("https://licitacions.bcn.cat/licitacion/licitaciones/detalle?id=14568544","licitacions.bcn.cat/licitacion/licitaciones/detalle?id=14568544")</x:f>
        <x:v>licitacions.bcn.cat/licitacion/licitaciones/detalle?id=14568544</x:v>
      </x:c>
      <x:c r="M12" s="11" t="s">
        <x:v>27</x:v>
      </x:c>
      <x:c r="N12" s="13" t="s">
        <x:v>28</x:v>
      </x:c>
      <x:c r="O12" s="11" t="s">
        <x:v>91</x:v>
      </x:c>
      <x:c r="P12" s="11" t="s">
        <x:v>56</x:v>
      </x:c>
      <x:c r="Q12" s="14" t="str">
        <x:f xml:space="preserve">HYPERLINK("https://www.infonalia.es/licitaciones0126/2026009147.pdf","www.infonalia.es/licitaciones0126/2026009147.pdf")</x:f>
        <x:v>www.infonalia.es/licitaciones0126/2026009147.pdf</x:v>
      </x:c>
    </x:row>
    <x:row r="13">
      <x:c r="A13" s="6" t="s">
        <x:v>17</x:v>
      </x:c>
      <x:c r="B13" s="6" t="s">
        <x:v>18</x:v>
      </x:c>
      <x:c r="C13" s="7" t="s">
        <x:v>31</x:v>
      </x:c>
      <x:c r="D13" s="8" t="s">
        <x:v>92</x:v>
      </x:c>
      <x:c r="E13" s="9" t="s">
        <x:v>21</x:v>
      </x:c>
      <x:c r="F13" s="6" t="s">
        <x:v>93</x:v>
      </x:c>
      <x:c r="G13" s="6" t="s">
        <x:v>94</x:v>
      </x:c>
      <x:c r="H13" s="6" t="s">
        <x:v>95</x:v>
      </x:c>
      <x:c r="I13" s="10" t="n">
        <x:v>24038.46</x:v>
      </x:c>
      <x:c r="J13" s="11" t="s">
        <x:v>25</x:v>
      </x:c>
      <x:c r="K13" s="11" t="s">
        <x:v>26</x:v>
      </x:c>
      <x:c r="L13" s="12" t="str">
        <x:f xml:space="preserve">HYPERLINK("https://contrataciondelestado.es/wps/poc?uri=deeplink:detalle_licitacion&amp;idEvl=cZA8tZ1SEGp%2FR5QFTlaM4A%3D%3D","contrataciondelestado.es/wps/poc?uri=deeplink:detalle_licitacion&amp;idEvl=cZA8tZ1SEGp%2FR5QFTlaM4A%3D%3D")</x:f>
        <x:v>contrataciondelestado.es/wps/poc?uri=deeplink:detalle_licitacion&amp;idEvl=cZA8tZ1SEGp%2FR5QFTlaM4A%3D%3D</x:v>
      </x:c>
      <x:c r="M13" s="11" t="s">
        <x:v>27</x:v>
      </x:c>
      <x:c r="N13" s="13" t="s">
        <x:v>21</x:v>
      </x:c>
      <x:c r="O13" s="11" t="s">
        <x:v>96</x:v>
      </x:c>
      <x:c r="P13" s="11" t="s">
        <x:v>30</x:v>
      </x:c>
      <x:c r="Q13" s="14" t="str">
        <x:f xml:space="preserve">HYPERLINK("https://www.infonalia.es/licitaciones0126/2026009352.pdf","www.infonalia.es/licitaciones0126/2026009352.pdf")</x:f>
        <x:v>www.infonalia.es/licitaciones0126/2026009352.pdf</x:v>
      </x:c>
    </x:row>
    <x:row r="14">
      <x:c r="A14" s="6" t="s">
        <x:v>17</x:v>
      </x:c>
      <x:c r="B14" s="6" t="s">
        <x:v>18</x:v>
      </x:c>
      <x:c r="C14" s="7" t="s">
        <x:v>97</x:v>
      </x:c>
      <x:c r="D14" s="8" t="s">
        <x:v>98</x:v>
      </x:c>
      <x:c r="E14" s="9" t="s">
        <x:v>21</x:v>
      </x:c>
      <x:c r="F14" s="6" t="s">
        <x:v>99</x:v>
      </x:c>
      <x:c r="G14" s="6" t="s">
        <x:v>100</x:v>
      </x:c>
      <x:c r="H14" s="6" t="s">
        <x:v>101</x:v>
      </x:c>
      <x:c r="I14" s="10" t="n">
        <x:v>100000.00</x:v>
      </x:c>
      <x:c r="J14" s="11" t="s">
        <x:v>25</x:v>
      </x:c>
      <x:c r="K14" s="11" t="s">
        <x:v>26</x:v>
      </x:c>
      <x:c r="L14" s="12" t="str">
        <x:f xml:space="preserve">HYPERLINK("https://contrataciondelestado.es/wps/poc?uri=deeplink:detalle_licitacion&amp;idEvl=20J34M%2Bac835Rey58Yagpg%3D%3D","contrataciondelestado.es/wps/poc?uri=deeplink:detalle_licitacion&amp;idEvl=20J34M%2Bac835Rey58Yagpg%3D%3D")</x:f>
        <x:v>contrataciondelestado.es/wps/poc?uri=deeplink:detalle_licitacion&amp;idEvl=20J34M%2Bac835Rey58Yagpg%3D%3D</x:v>
      </x:c>
      <x:c r="M14" s="11" t="s">
        <x:v>27</x:v>
      </x:c>
      <x:c r="N14" s="13" t="s">
        <x:v>21</x:v>
      </x:c>
      <x:c r="O14" s="11" t="s">
        <x:v>102</x:v>
      </x:c>
      <x:c r="P14" s="11" t="s">
        <x:v>103</x:v>
      </x:c>
      <x:c r="Q14" s="14" t="str">
        <x:f xml:space="preserve">HYPERLINK("https://www.infonalia.es/licitaciones0126/2026009394.pdf","www.infonalia.es/licitaciones0126/2026009394.pdf")</x:f>
        <x:v>www.infonalia.es/licitaciones0126/2026009394.pdf</x:v>
      </x:c>
    </x:row>
  </x:sheetData>
  <x:autoFilter ref="A1:Q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Licitaciones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2</cp:revision>
  <dcterms:created xsi:type="dcterms:W3CDTF">2024-12-04T08:39:24Z</dcterms:created>
  <dcterms:modified xsi:type="dcterms:W3CDTF">2025-01-20T07:55:14Z</dcterms:modified>
  <dc:language>es-ES</dc:language>
</cp:coreProperties>
</file>