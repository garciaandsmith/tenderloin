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<x:sst xmlns:x="http://schemas.openxmlformats.org/spreadsheetml/2006/main" count="17" uniqueCount="17">
  <x:si>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</x:si>
  <x:si>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</x:si>
  <x:si>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</x:si>
  <x:si>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</x:si>
  <x:si>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</x:si>
  <x:si>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</x:si>
  <x:si>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</x:si>
  <x:si>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</x:si>
  <x:si>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</x:si>
  <x:si>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</x:si>
  <x:si>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</x:si>
  <x:si>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</x:si>
  <x:si>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</x:si>
  <x:si>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</x:si>
  <x:si>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</x:si>
  <x:si>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</x:si>
  <x:si>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</x:si>
  <x:si>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</x:si>
  <x:si>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</x:si>
  <x:si>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04/02/2026</x:t>
  </x:si>
  <x:si>
    <x:t>2026005585</x:t>
  </x:si>
  <x:si>
    <x:t>21/01/2026</x:t>
  </x:si>
  <x:si>
    <x:t>AYUNTAMIENTO DE SANT VICENÇ DE MONTALT (BARCELONA)</x:t>
  </x:si>
  <x:si>
    <x:t>Es objeto del Pliego la contratación de los servicios profesionales de gestión integral del boletín municipal, que comprenden: consultoría, y asesoramiento de contenidos, gestión, coordinación, redacción, maquetación e impresión, concretamente: • Servicio de consultoría • Asesoramiento de contenidos • Establecimiento y mantenimiento de dinámica interna para la producción y difusión de noticias municipales • Seguimiento y recopilación del material • Búsqueda de de espacios • Tratamiento y retoque de imágenes • Búsqueda de imágenes de recurso en su caso • Doble corrección ortográfica • Edición y maquetación de diversas pruebas • Edición del ejemplar en formato pdf • Edición del ejemplar por web en formato interactivo 3D virtual • Impresión formato 210 x 2 estucado volumen, 100 g 2 caras, 4+4 tintas, 2 grapas • Tirada 4.000 ejemplares de cada número • Puesto en el ayuntamiento</x:t>
  </x:si>
  <x:si>
    <x:t>2026/48</x:t>
  </x:si>
  <x:si>
    <x:t>Importe sin impuestos</x:t>
  </x:si>
  <x:si>
    <x:t/>
  </x:si>
  <x:si>
    <x:t>-----</x:t>
  </x:si>
  <x:si>
    <x:t>20/01/2026</x:t>
  </x:si>
  <x:si>
    <x:t/>
  </x:si>
  <x:si>
    <x:t>Barcelona</x:t>
  </x:si>
  <x:si>
    <x:t>03/02/2026</x:t>
  </x:si>
  <x:si>
    <x:t>2026005646</x:t>
  </x:si>
  <x:si>
    <x:t>CONSELL COMARCAL DEL BAIX EMPORDÀ (GIRONA)</x:t>
  </x:si>
  <x:si>
    <x:t>Servicio de grabación, producción y difusión a través de un medio de televisión digital terrestre de información de actualidad de ámbito comarcal (sesiones plenarias, agenda comarcal, entrevistas con el presidente y consejerías comarcales, eventos organizados por el consejo comarcal, emisión de notas de prensa, etc), mediante procedimiento abierto simplificado abreviado, con un solo criterio de adjudicación</x:t>
  </x:si>
  <x:si>
    <x:t>7997/2025</x:t>
  </x:si>
  <x:si>
    <x:t/>
  </x:si>
  <x:si>
    <x:t>Girona</x:t>
  </x:si>
  <x:si>
    <x:t>2026005785</x:t>
  </x:si>
  <x:si>
    <x:t>CONCEJALÍA DELEGADA DE CULTURA, MUSEOS E INDUSTRIAS CREATIVAS DEL AYUNTAMIENTO DE GIJÓN (ASTURIAS)</x:t>
  </x:si>
  <x:si>
    <x:t>Servicio de transporte de concentración y dispersión especializado de las piezas que formarán parte de la exposición "Convivium. Arqueología de la dieta mediterránea" en el Palacio Revillagigedo de Gijón/Xixón por procedimiento abierto simplificado abreviado</x:t>
  </x:si>
  <x:si>
    <x:t>52782Q/2025</x:t>
  </x:si>
  <x:si>
    <x:t/>
  </x:si>
  <x:si>
    <x:t>Asturias</x:t>
  </x:si>
  <x:si>
    <x:t>Catalunya - Plataforma de Contratación</x:t>
  </x:si>
  <x:si>
    <x:t>29/01/2026</x:t>
  </x:si>
  <x:si>
    <x:t>2026005808</x:t>
  </x:si>
  <x:si>
    <x:t>AYUNTAMIENTO DE VILADECANS (BARCELONA)</x:t>
  </x:si>
  <x:si>
    <x:t>Contratación de los servicios de organización técnica, producción y logística del círculo de pilotaje de la estrategia Viladecans 2030, financiado por el Ministerio de Derechos sociales, Consumo y Agenda 2030</x:t>
  </x:si>
  <x:si>
    <x:t>3/2026/CMSERV2</x:t>
  </x:si>
  <x:si>
    <x:t>IVA excluido</x:t>
  </x:si>
  <x:si>
    <x:t/>
  </x:si>
  <x:si>
    <x:t/>
  </x:si>
  <x:si>
    <x:t>Barcelona. Perfil del Contratante del Ayuntamiento</x:t>
  </x:si>
  <x:si>
    <x:t>27/01/2026</x:t>
  </x:si>
  <x:si>
    <x:t>2026005821</x:t>
  </x:si>
  <x:si>
    <x:t>INSTITUTO DE CULTURA DE BARCELONA</x:t>
  </x:si>
  <x:si>
    <x:t>Contratación de asistencia de soporte técnico en la planificación y ejecución de actividades organizadas por el ICUB en la edición de abril de 2026 de la 080 Barcelona Fashion.</x:t>
  </x:si>
  <x:si>
    <x:t>006_P2600047</x:t>
  </x:si>
  <x:si>
    <x:t/>
  </x:si>
  <x:si>
    <x:t/>
  </x:si>
  <x:si>
    <x:t>IFEMA - Institución Ferial de Madrid</x:t>
  </x:si>
  <x:si>
    <x:t>2026005855</x:t>
  </x:si>
  <x:si>
    <x:t>IFEMA - INSTITUCIÓN FERIAL DE MADRID</x:t>
  </x:si>
  <x:si>
    <x:t>Servicio de fotografía y vídeo de MBFWMadrid.</x:t>
  </x:si>
  <x:si>
    <x:t>26/006</x:t>
  </x:si>
  <x:si>
    <x:t/>
  </x:si>
  <x:si>
    <x:t/>
  </x:si>
  <x:si>
    <x:t>Madrid</x:t>
  </x:si>
  <x:si>
    <x:t>22/01/2026</x:t>
  </x:si>
  <x:si>
    <x:t>2026005920</x:t>
  </x:si>
  <x:si>
    <x:t>JUNTA DE GOBIERNO DEL AYUNTAMIENTO DE ALCOBENDAS (MADRID)</x:t>
  </x:si>
  <x:si>
    <x:t>Diseño, producción, impresión y reparto de material diverso para campañas de dinamización asociación "La Menina 2026"</x:t>
  </x:si>
  <x:si>
    <x:t>CM/2026/101/004</x:t>
  </x:si>
  <x:si>
    <x:t/>
  </x:si>
  <x:si>
    <x:t>15/04/2026</x:t>
  </x:si>
  <x:si>
    <x:t>2026005965</x:t>
  </x:si>
  <x:si>
    <x:t>PRESIDENCIA DE LA GERENCIA DE INFRAESTRUCTURAS Y EQUIPAMIENTOS DE CULTURA O.A</x:t>
  </x:si>
  <x:si>
    <x:t>Contrato mixto de Servicios y Suministro del diseño y ejecución del suministro de fabricación e instalación de la exposición permanente del Museo Nacional de Antropología</x:t>
  </x:si>
  <x:si>
    <x:t>25/227 SU</x:t>
  </x:si>
  <x:si>
    <x:t/>
  </x:si>
  <x:si>
    <x:t>BOCM - Boletín Oficial de la Comunidad de Madrid</x:t>
  </x:si>
  <x:si>
    <x:t>14/01/2026</x:t>
  </x:si>
  <x:si>
    <x:t>2026006051</x:t>
  </x:si>
  <x:si>
    <x:t>AYUNTAMIENTO DE LAS ROZAS DE MADRID (MADRID)</x:t>
  </x:si>
  <x:si>
    <x:t>Otorgamiento de autorización demanial en el Centro Multiusos de Las Rozas, del día 9 al 19 de abril de 2026 (montaje los días 6, 7 y 8 y desmontaje el 20 y 21 de abril) con el objeto de realizar el evento gastronómico “Paellarte”.</x:t>
  </x:si>
  <x:si>
    <x:t>No consta</x:t>
  </x:si>
  <x:si>
    <x:t/>
  </x:si>
  <x:si>
    <x:t>17</x:t>
  </x:si>
  <x:si>
    <x:t/>
  </x:si>
  <x:si>
    <x:t>2026006052</x:t>
  </x:si>
  <x:si>
    <x:t>Otorgamiento de autorización demanial, en la calle Real de Las Rozas de Madrid, para el desarrollo del evento Brandy be Market Las Rozas, del 8 de febrero al 31 de mayo de 2026 (2.o y 4.o domingos de cada mes).</x:t>
  </x:si>
  <x:si>
    <x:t/>
  </x:si>
  <x:si>
    <x:t/>
  </x:si>
  <x:si>
    <x:t>DOUE - Diario Oficial de la Unión Europea (S)</x:t>
  </x:si>
  <x:si>
    <x:t>2026006066</x:t>
  </x:si>
  <x:si>
    <x:t>AYUNTAMIENTO DE BARCELONA</x:t>
  </x:si>
  <x:si>
    <x:t>Acuerdo marco Produccion de jornadas y acontecimientos</x:t>
  </x:si>
  <x:si>
    <x:t>Anuncio de información previa</x:t>
  </x:si>
  <x:si>
    <x:t>13</x:t>
  </x:si>
  <x:si>
    <x:t/>
  </x:si>
  <x:si>
    <x:t>2026006075</x:t>
  </x:si>
  <x:si>
    <x:t>Dinamizacion de actividades lúdicas para personas con trastornos mentales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</x:si>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</x:sst>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44000.00</x:v>
      </x:c>
      <x:c r="J2" s="11" t="s">
        <x:v>25</x:v>
      </x:c>
      <x:c r="K2" s="11" t="s">
        <x:v>26</x:v>
      </x:c>
      <x:c r="L2" s="12" t="str">
        <x:f xml:space="preserve">HYPERLINK("https://contractaciopublica.cat/ca/detall-publicacio/e8f34d87-9078-488e-924b-eed395143964/300670110","contractaciopublica.cat/ca/detall-publicacio/e8f34d87-9078-488e-924b-eed395143964/300670110")</x:f>
        <x:v>contractaciopublica.cat/ca/detall-publicacio/e8f34d87-9078-488e-924b-eed395143964/300670110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HYPERLINK("https://www.infonalia.es/licitaciones0126/2026005585.pdf","www.infonalia.es/licitaciones0126/2026005585.pdf")</x:f>
        <x:v>www.infonalia.es/licitaciones0126/2026005585.pdf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27000.00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HYPERLINK("https://contractaciopublica.cat/ca/detall-publicacio/1d4c9f16-a7f7-47c8-9516-62652cfae33e/300668605","contractaciopublica.cat/ca/detall-publicacio/1d4c9f16-a7f7-47c8-9516-62652cfae33e/300668605")</x:f>
        <x:v>contractaciopublica.cat/ca/detall-publicacio/1d4c9f16-a7f7-47c8-9516-62652cfae33e/300668605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HYPERLINK("https://www.infonalia.es/licitaciones0126/2026005646.pdf","www.infonalia.es/licitaciones0126/2026005646.pdf")</x:f>
        <x:v>www.infonalia.es/licitaciones0126/2026005646.pdf</x:v>
      </x:c>
    </x:row>
    <x:row r="4">
      <x:c r="A4" s="6" t="s">
        <x:v>17</x:v>
      </x:c>
      <x:c r="B4" s="6" t="s">
        <x:v>18</x:v>
      </x:c>
      <x:c r="C4" s="7" t="s">
        <x:v>19</x:v>
      </x:c>
      <x:c r="D4" s="8" t="s">
        <x:v>38</x:v>
      </x:c>
      <x:c r="E4" s="9" t="s">
        <x:v>21</x:v>
      </x:c>
      <x:c r="F4" s="6" t="s">
        <x:v>39</x:v>
      </x:c>
      <x:c r="G4" s="6" t="s">
        <x:v>40</x:v>
      </x:c>
      <x:c r="H4" s="6" t="s">
        <x:v>41</x:v>
      </x:c>
      <x:c r="I4" s="10" t="n">
        <x:v>58859.89</x:v>
      </x:c>
      <x:c r="J4" s="11" t="s">
        <x:v>25</x:v>
      </x:c>
      <x:c r="K4" s="11" t="s">
        <x:v>26</x:v>
      </x:c>
      <x:c r="L4" s="12" t="str">
        <x:f xml:space="preserve">HYPERLINK("https://contrataciondelestado.es/wps/poc?uri=deeplink:detalle_licitacion&amp;idEvl=lSkPjjg4XXesNfRW6APEDw%3D%3D","contrataciondelestado.es/wps/poc?uri=deeplink:detalle_licitacion&amp;idEvl=lSkPjjg4XXesNfRW6APEDw%3D%3D")</x:f>
        <x:v>contrataciondelestado.es/wps/poc?uri=deeplink:detalle_licitacion&amp;idEvl=lSkPjjg4XXesNfRW6APEDw%3D%3D</x:v>
      </x:c>
      <x:c r="M4" s="11" t="s">
        <x:v>27</x:v>
      </x:c>
      <x:c r="N4" s="13" t="s">
        <x:v>28</x:v>
      </x:c>
      <x:c r="O4" s="11" t="s">
        <x:v>42</x:v>
      </x:c>
      <x:c r="P4" s="11" t="s">
        <x:v>43</x:v>
      </x:c>
      <x:c r="Q4" s="14" t="str">
        <x:f xml:space="preserve">HYPERLINK("https://www.infonalia.es/licitaciones0126/2026005785.pdf","www.infonalia.es/licitaciones0126/2026005785.pdf")</x:f>
        <x:v>www.infonalia.es/licitaciones0126/2026005785.pdf</x:v>
      </x:c>
    </x:row>
    <x:row r="5">
      <x:c r="A5" s="6" t="s">
        <x:v>17</x:v>
      </x:c>
      <x:c r="B5" s="6" t="s">
        <x:v>44</x:v>
      </x:c>
      <x:c r="C5" s="7" t="s">
        <x:v>45</x:v>
      </x:c>
      <x:c r="D5" s="8" t="s">
        <x:v>46</x:v>
      </x:c>
      <x:c r="E5" s="9" t="s">
        <x:v>21</x:v>
      </x:c>
      <x:c r="F5" s="6" t="s">
        <x:v>47</x:v>
      </x:c>
      <x:c r="G5" s="6" t="s">
        <x:v>48</x:v>
      </x:c>
      <x:c r="H5" s="6" t="s">
        <x:v>49</x:v>
      </x:c>
      <x:c r="I5" s="10" t="n">
        <x:v>6611.57</x:v>
      </x:c>
      <x:c r="J5" s="11" t="s">
        <x:v>50</x:v>
      </x:c>
      <x:c r="K5" s="11" t="s">
        <x:v>51</x:v>
      </x:c>
      <x:c r="L5" s="12" t="str">
        <x:f xml:space="preserve">HYPERLINK("https://contractaciopublica.cat/es/detall-publicacio/300670441","contractaciopublica.cat/es/detall-publicacio/300670441")</x:f>
        <x:v>contractaciopublica.cat/es/detall-publicacio/300670441</x:v>
      </x:c>
      <x:c r="M5" s="11" t="s">
        <x:v>27</x:v>
      </x:c>
      <x:c r="N5" s="13" t="s">
        <x:v>28</x:v>
      </x:c>
      <x:c r="O5" s="11" t="s">
        <x:v>52</x:v>
      </x:c>
      <x:c r="P5" s="11" t="s">
        <x:v>30</x:v>
      </x:c>
      <x:c r="Q5" s="14" t="str">
        <x:f xml:space="preserve">HYPERLINK("https://www.infonalia.es/licitaciones0126/2026005808.pdf","www.infonalia.es/licitaciones0126/2026005808.pdf")</x:f>
        <x:v>www.infonalia.es/licitaciones0126/2026005808.pdf</x:v>
      </x:c>
    </x:row>
    <x:row r="6">
      <x:c r="A6" s="6" t="s">
        <x:v>17</x:v>
      </x:c>
      <x:c r="B6" s="6" t="s">
        <x:v>53</x:v>
      </x:c>
      <x:c r="C6" s="7" t="s">
        <x:v>54</x:v>
      </x:c>
      <x:c r="D6" s="8" t="s">
        <x:v>55</x:v>
      </x:c>
      <x:c r="E6" s="9" t="s">
        <x:v>21</x:v>
      </x:c>
      <x:c r="F6" s="6" t="s">
        <x:v>56</x:v>
      </x:c>
      <x:c r="G6" s="6" t="s">
        <x:v>57</x:v>
      </x:c>
      <x:c r="H6" s="6" t="s">
        <x:v>58</x:v>
      </x:c>
      <x:c r="I6" s="10" t="n">
        <x:v>8000.00</x:v>
      </x:c>
      <x:c r="J6" s="11" t="s">
        <x:v>25</x:v>
      </x:c>
      <x:c r="K6" s="11" t="s">
        <x:v>59</x:v>
      </x:c>
      <x:c r="L6" s="12" t="str">
        <x:f xml:space="preserve">HYPERLINK("https://licitacions.bcn.cat/licitacion/licitaciones/detalle?id=14475465","licitacions.bcn.cat/licitacion/licitaciones/detalle?id=14475465")</x:f>
        <x:v>licitacions.bcn.cat/licitacion/licitaciones/detalle?id=14475465</x:v>
      </x:c>
      <x:c r="M6" s="11" t="s">
        <x:v>27</x:v>
      </x:c>
      <x:c r="N6" s="13" t="s">
        <x:v>28</x:v>
      </x:c>
      <x:c r="O6" s="11" t="s">
        <x:v>60</x:v>
      </x:c>
      <x:c r="P6" s="11" t="s">
        <x:v>30</x:v>
      </x:c>
      <x:c r="Q6" s="14" t="str">
        <x:f xml:space="preserve">HYPERLINK("https://www.infonalia.es/licitaciones0126/2026005821.pdf","www.infonalia.es/licitaciones0126/2026005821.pdf")</x:f>
        <x:v>www.infonalia.es/licitaciones0126/2026005821.pdf</x:v>
      </x:c>
    </x:row>
    <x:row r="7">
      <x:c r="A7" s="6" t="s">
        <x:v>17</x:v>
      </x:c>
      <x:c r="B7" s="6" t="s">
        <x:v>61</x:v>
      </x:c>
      <x:c r="C7" s="7" t="s">
        <x:v>19</x:v>
      </x:c>
      <x:c r="D7" s="8" t="s">
        <x:v>62</x:v>
      </x:c>
      <x:c r="E7" s="9" t="s">
        <x:v>21</x:v>
      </x:c>
      <x:c r="F7" s="6" t="s">
        <x:v>63</x:v>
      </x:c>
      <x:c r="G7" s="6" t="s">
        <x:v>64</x:v>
      </x:c>
      <x:c r="H7" s="6" t="s">
        <x:v>65</x:v>
      </x:c>
      <x:c r="I7" s="10" t="n">
        <x:v>15000.00</x:v>
      </x:c>
      <x:c r="J7" s="11" t="s">
        <x:v>25</x:v>
      </x:c>
      <x:c r="K7" s="11" t="s">
        <x:v>66</x:v>
      </x:c>
      <x:c r="L7" s="12" t="str">
        <x:f xml:space="preserve">HYPERLINK("https://licitaciones2.ifema.es/licitacion/licitaciones/detalle?id=3201169","licitaciones2.ifema.es/licitacion/licitaciones/detalle?id=3201169")</x:f>
        <x:v>licitaciones2.ifema.es/licitacion/licitaciones/detalle?id=3201169</x:v>
      </x:c>
      <x:c r="M7" s="11" t="s">
        <x:v>27</x:v>
      </x:c>
      <x:c r="N7" s="13" t="s">
        <x:v>28</x:v>
      </x:c>
      <x:c r="O7" s="11" t="s">
        <x:v>67</x:v>
      </x:c>
      <x:c r="P7" s="11" t="s">
        <x:v>68</x:v>
      </x:c>
      <x:c r="Q7" s="14" t="str">
        <x:f xml:space="preserve">HYPERLINK("https://www.infonalia.es/licitaciones0126/2026005855.pdf","www.infonalia.es/licitaciones0126/2026005855.pdf")</x:f>
        <x:v>www.infonalia.es/licitaciones0126/2026005855.pdf</x:v>
      </x:c>
    </x:row>
    <x:row r="8">
      <x:c r="A8" s="6" t="s">
        <x:v>17</x:v>
      </x:c>
      <x:c r="B8" s="6" t="s">
        <x:v>18</x:v>
      </x:c>
      <x:c r="C8" s="7" t="s">
        <x:v>69</x:v>
      </x:c>
      <x:c r="D8" s="8" t="s">
        <x:v>70</x:v>
      </x:c>
      <x:c r="E8" s="9" t="s">
        <x:v>21</x:v>
      </x:c>
      <x:c r="F8" s="6" t="s">
        <x:v>71</x:v>
      </x:c>
      <x:c r="G8" s="6" t="s">
        <x:v>72</x:v>
      </x:c>
      <x:c r="H8" s="6" t="s">
        <x:v>73</x:v>
      </x:c>
      <x:c r="I8" s="10" t="n">
        <x:v>4132.23</x:v>
      </x:c>
      <x:c r="J8" s="11" t="s">
        <x:v>25</x:v>
      </x:c>
      <x:c r="K8" s="11" t="s">
        <x:v>26</x:v>
      </x:c>
      <x:c r="L8" s="12" t="str">
        <x:f xml:space="preserve">HYPERLINK("https://contrataciondelestado.es/wps/poc?uri=deeplink:detalle_licitacion&amp;idEvl=Zsu0QUEMePfI8aL3PRS10Q%3D%3D","contrataciondelestado.es/wps/poc?uri=deeplink:detalle_licitacion&amp;idEvl=Zsu0QUEMePfI8aL3PRS10Q%3D%3D")</x:f>
        <x:v>contrataciondelestado.es/wps/poc?uri=deeplink:detalle_licitacion&amp;idEvl=Zsu0QUEMePfI8aL3PRS10Q%3D%3D</x:v>
      </x:c>
      <x:c r="M8" s="11" t="s">
        <x:v>27</x:v>
      </x:c>
      <x:c r="N8" s="13" t="s">
        <x:v>28</x:v>
      </x:c>
      <x:c r="O8" s="11" t="s">
        <x:v>74</x:v>
      </x:c>
      <x:c r="P8" s="11" t="s">
        <x:v>68</x:v>
      </x:c>
      <x:c r="Q8" s="14" t="str">
        <x:f xml:space="preserve">HYPERLINK("https://www.infonalia.es/licitaciones0126/2026005920.pdf","www.infonalia.es/licitaciones0126/2026005920.pdf")</x:f>
        <x:v>www.infonalia.es/licitaciones0126/2026005920.pdf</x:v>
      </x:c>
    </x:row>
    <x:row r="9">
      <x:c r="A9" s="6" t="s">
        <x:v>17</x:v>
      </x:c>
      <x:c r="B9" s="6" t="s">
        <x:v>18</x:v>
      </x:c>
      <x:c r="C9" s="7" t="s">
        <x:v>75</x:v>
      </x:c>
      <x:c r="D9" s="8" t="s">
        <x:v>76</x:v>
      </x:c>
      <x:c r="E9" s="9" t="s">
        <x:v>21</x:v>
      </x:c>
      <x:c r="F9" s="6" t="s">
        <x:v>77</x:v>
      </x:c>
      <x:c r="G9" s="6" t="s">
        <x:v>78</x:v>
      </x:c>
      <x:c r="H9" s="6" t="s">
        <x:v>79</x:v>
      </x:c>
      <x:c r="I9" s="10" t="n">
        <x:v>3663695.15</x:v>
      </x:c>
      <x:c r="J9" s="11" t="s">
        <x:v>25</x:v>
      </x:c>
      <x:c r="K9" s="11" t="s">
        <x:v>26</x:v>
      </x:c>
      <x:c r="L9" s="12" t="str">
        <x:f xml:space="preserve">HYPERLINK("https://contrataciondelestado.es/wps/poc?uri=deeplink:detalle_licitacion&amp;idEvl=xN943iQfhgH10HRJw8TEnQ%3D%3D","contrataciondelestado.es/wps/poc?uri=deeplink:detalle_licitacion&amp;idEvl=xN943iQfhgH10HRJw8TEnQ%3D%3D")</x:f>
        <x:v>contrataciondelestado.es/wps/poc?uri=deeplink:detalle_licitacion&amp;idEvl=xN943iQfhgH10HRJw8TEnQ%3D%3D</x:v>
      </x:c>
      <x:c r="M9" s="11" t="s">
        <x:v>27</x:v>
      </x:c>
      <x:c r="N9" s="13" t="s">
        <x:v>21</x:v>
      </x:c>
      <x:c r="O9" s="11" t="s">
        <x:v>80</x:v>
      </x:c>
      <x:c r="P9" s="11" t="s">
        <x:v>68</x:v>
      </x:c>
      <x:c r="Q9" s="14" t="str">
        <x:f xml:space="preserve">HYPERLINK("https://www.infonalia.es/licitaciones0126/2026005965.pdf","www.infonalia.es/licitaciones0126/2026005965.pdf")</x:f>
        <x:v>www.infonalia.es/licitaciones0126/2026005965.pdf</x:v>
      </x:c>
    </x:row>
    <x:row r="10">
      <x:c r="A10" s="6" t="s">
        <x:v>17</x:v>
      </x:c>
      <x:c r="B10" s="6" t="s">
        <x:v>81</x:v>
      </x:c>
      <x:c r="C10" s="7" t="s">
        <x:v>82</x:v>
      </x:c>
      <x:c r="D10" s="8" t="s">
        <x:v>83</x:v>
      </x:c>
      <x:c r="E10" s="9" t="s">
        <x:v>21</x:v>
      </x:c>
      <x:c r="F10" s="6" t="s">
        <x:v>84</x:v>
      </x:c>
      <x:c r="G10" s="6" t="s">
        <x:v>85</x:v>
      </x:c>
      <x:c r="H10" s="6" t="s">
        <x:v>86</x:v>
      </x:c>
      <x:c r="I10" s="10"/>
      <x:c r="J10" s="11" t="s">
        <x:v>86</x:v>
      </x:c>
      <x:c r="K10" s="11" t="s">
        <x:v>87</x:v>
      </x:c>
      <x:c r="L10" s="12" t="str">
        <x:f xml:space="preserve">HYPERLINK("https://","")</x:f>
        <x:v/>
      </x:c>
      <x:c r="M10" s="11" t="s">
        <x:v>88</x:v>
      </x:c>
      <x:c r="N10" s="13" t="s">
        <x:v>21</x:v>
      </x:c>
      <x:c r="O10" s="11" t="s">
        <x:v>89</x:v>
      </x:c>
      <x:c r="P10" s="11" t="s">
        <x:v>68</x:v>
      </x:c>
      <x:c r="Q10" s="14" t="str">
        <x:f xml:space="preserve">HYPERLINK("https://www.infonalia.es/licitaciones0126/2026006051.pdf","www.infonalia.es/licitaciones0126/2026006051.pdf")</x:f>
        <x:v>www.infonalia.es/licitaciones0126/2026006051.pdf</x:v>
      </x:c>
    </x:row>
    <x:row r="11">
      <x:c r="A11" s="6" t="s">
        <x:v>17</x:v>
      </x:c>
      <x:c r="B11" s="6" t="s">
        <x:v>81</x:v>
      </x:c>
      <x:c r="C11" s="7" t="s">
        <x:v>82</x:v>
      </x:c>
      <x:c r="D11" s="8" t="s">
        <x:v>90</x:v>
      </x:c>
      <x:c r="E11" s="9" t="s">
        <x:v>21</x:v>
      </x:c>
      <x:c r="F11" s="6" t="s">
        <x:v>84</x:v>
      </x:c>
      <x:c r="G11" s="6" t="s">
        <x:v>91</x:v>
      </x:c>
      <x:c r="H11" s="6" t="s">
        <x:v>86</x:v>
      </x:c>
      <x:c r="I11" s="10"/>
      <x:c r="J11" s="11" t="s">
        <x:v>86</x:v>
      </x:c>
      <x:c r="K11" s="11" t="s">
        <x:v>92</x:v>
      </x:c>
      <x:c r="L11" s="12" t="str">
        <x:f xml:space="preserve">HYPERLINK("https://","")</x:f>
        <x:v/>
      </x:c>
      <x:c r="M11" s="11" t="s">
        <x:v>88</x:v>
      </x:c>
      <x:c r="N11" s="13" t="s">
        <x:v>21</x:v>
      </x:c>
      <x:c r="O11" s="11" t="s">
        <x:v>93</x:v>
      </x:c>
      <x:c r="P11" s="11" t="s">
        <x:v>68</x:v>
      </x:c>
      <x:c r="Q11" s="14" t="str">
        <x:f xml:space="preserve">HYPERLINK("https://www.infonalia.es/licitaciones0126/2026006052.pdf","www.infonalia.es/licitaciones0126/2026006052.pdf")</x:f>
        <x:v>www.infonalia.es/licitaciones0126/2026006052.pdf</x:v>
      </x:c>
    </x:row>
    <x:row r="12">
      <x:c r="A12" s="6" t="s">
        <x:v>17</x:v>
      </x:c>
      <x:c r="B12" s="6" t="s">
        <x:v>94</x:v>
      </x:c>
      <x:c r="C12" s="7" t="s">
        <x:v>26</x:v>
      </x:c>
      <x:c r="D12" s="8" t="s">
        <x:v>95</x:v>
      </x:c>
      <x:c r="E12" s="9" t="s">
        <x:v>21</x:v>
      </x:c>
      <x:c r="F12" s="6" t="s">
        <x:v>96</x:v>
      </x:c>
      <x:c r="G12" s="6" t="s">
        <x:v>97</x:v>
      </x:c>
      <x:c r="H12" s="6" t="s">
        <x:v>98</x:v>
      </x:c>
      <x:c r="I12" s="10"/>
      <x:c r="J12" s="11" t="s">
        <x:v>86</x:v>
      </x:c>
      <x:c r="K12" s="11" t="s">
        <x:v>86</x:v>
      </x:c>
      <x:c r="L12" s="12" t="str">
        <x:f xml:space="preserve">HYPERLINK("https://","")</x:f>
        <x:v/>
      </x:c>
      <x:c r="M12" s="11" t="s">
        <x:v>99</x:v>
      </x:c>
      <x:c r="N12" s="13" t="s">
        <x:v>28</x:v>
      </x:c>
      <x:c r="O12" s="11" t="s">
        <x:v>100</x:v>
      </x:c>
      <x:c r="P12" s="11" t="s">
        <x:v>30</x:v>
      </x:c>
      <x:c r="Q12" s="14" t="str">
        <x:f xml:space="preserve">HYPERLINK("https://www.infonalia.es/licitaciones0126/2026006066.pdf","www.infonalia.es/licitaciones0126/2026006066.pdf")</x:f>
        <x:v>www.infonalia.es/licitaciones0126/2026006066.pdf</x:v>
      </x:c>
    </x:row>
    <x:row r="13">
      <x:c r="A13" s="6" t="s">
        <x:v>17</x:v>
      </x:c>
      <x:c r="B13" s="6" t="s">
        <x:v>94</x:v>
      </x:c>
      <x:c r="C13" s="7" t="s">
        <x:v>26</x:v>
      </x:c>
      <x:c r="D13" s="8" t="s">
        <x:v>101</x:v>
      </x:c>
      <x:c r="E13" s="9" t="s">
        <x:v>21</x:v>
      </x:c>
      <x:c r="F13" s="6" t="s">
        <x:v>96</x:v>
      </x:c>
      <x:c r="G13" s="6" t="s">
        <x:v>102</x:v>
      </x:c>
      <x:c r="H13" s="6" t="s">
        <x:v>98</x:v>
      </x:c>
      <x:c r="I13" s="10"/>
      <x:c r="J13" s="11" t="s">
        <x:v>86</x:v>
      </x:c>
      <x:c r="K13" s="11" t="s">
        <x:v>86</x:v>
      </x:c>
      <x:c r="L13" s="12" t="str">
        <x:f xml:space="preserve">HYPERLINK("https://","")</x:f>
        <x:v/>
      </x:c>
      <x:c r="M13" s="11" t="s">
        <x:v>99</x:v>
      </x:c>
      <x:c r="N13" s="13" t="s">
        <x:v>28</x:v>
      </x:c>
      <x:c r="O13" s="11" t="s">
        <x:v>103</x:v>
      </x:c>
      <x:c r="P13" s="11" t="s">
        <x:v>30</x:v>
      </x:c>
      <x:c r="Q13" s="14" t="str">
        <x:f xml:space="preserve">HYPERLINK("https://www.infonalia.es/licitaciones0126/2026006075.pdf","www.infonalia.es/licitaciones0126/2026006075.pdf")</x:f>
        <x:v>www.infonalia.es/licitaciones0126/2026006075.pdf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