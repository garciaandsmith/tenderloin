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Adjudicaciones" sheetId="1" r:id="rId1"/>
  </x:sheets>
  <x:definedNames>
    <x:definedName name="_xlnm._FilterDatabase" localSheetId="0" hidden="1">Adjudicaciones!$A$1:$K$1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<x:sst xmlns:x="http://schemas.openxmlformats.org/spreadsheetml/2006/main" count="11" uniqueCount="11">
  <x:si>
    <x:t>Tipo Adjudicacion</x:t>
  </x:si>
  <x:si>
    <x:t>Contratista</x:t>
  </x:si>
  <x:si>
    <x:t>Fecha</x:t>
  </x:si>
  <x:si>
    <x:t>Pdf Adjudicacion</x:t>
  </x:si>
  <x:si>
    <x:t>Referencia</x:t>
  </x:si>
  <x:si>
    <x:t>Organismo Convocante</x:t>
  </x:si>
  <x:si>
    <x:t>Objeto</x:t>
  </x:si>
  <x:si>
    <x:t>Nº Expediente</x:t>
  </x:si>
  <x:si>
    <x:t>Lugar Ejecucion</x:t>
  </x:si>
  <x:si>
    <x:t>Importe Adjudicacion</x:t>
  </x:si>
  <x:si>
    <x:t>Presupuesto Licitacion</x:t>
  </x:si>
  <x:si>
    <x:t>Adjudicado</x:t>
  </x:si>
  <x:si>
    <x:t>LOTE 2  BYRON BOOKS, SL</x:t>
  </x:si>
  <x:si>
    <x:t>03/02/2026 0:00:00</x:t>
  </x:si>
  <x:si>
    <x:t>26015540</x:t>
  </x:si>
  <x:si>
    <x:t>FUNDACIÓN DEL GRAN TEATRE DEL LICEU</x:t>
  </x:si>
  <x:si>
    <x:t>Servicio de diseño gráfico y maquetación para el desarrollo de materiales editoriales y comunicativos vinculados a la actividad del Gran Teatre del Liceu. Lote 1 Incluye la conceptualización y maquetación de los programas de mano para las actividades del teatro. Lote 2 Incluye la dirección de arte, diseño y maquetación del libro de temporada, así como todos los materiales relacionados con la programación y estilo de una temporada, reflejando la línea creativa y artística de cada temporada. Lote 3 Proporciona una bolsa de horas flexible para cubrir necesidades puntuales de diseño gráfico, branding, conceptualización creativa u otras tareas relacionadas con la comunicación y el diseño gráfico durante la temporada.</x:t>
  </x:si>
  <x:si>
    <x:t>043-T2425-DEF-SE</x:t>
  </x:si>
  <x:si>
    <x:t>Barcelona</x:t>
  </x:si>
  <x:si>
    <x:t>Ver detalle de la adjudicación</x:t>
  </x:si>
  <x:si>
    <x:t>CLICKSOUND SL</x:t>
  </x:si>
  <x:si>
    <x:t>26015543</x:t>
  </x:si>
  <x:si>
    <x:t>UNIVERSITAT DE GIRONA</x:t>
  </x:si>
  <x:si>
    <x:t>Servicio de producción de píndoles formativas y grabación online, organización y gestión de mesas redondas online y otros formatos audiovisuales presenciales - Expte. UdG-2025-0030.</x:t>
  </x:si>
  <x:si>
    <x:t>UdG-2025-0030</x:t>
  </x:si>
  <x:si>
    <x:t>Girona</x:t>
  </x:si>
  <x:si>
    <x:t>INVELON TECHNOLOGIES SL</x:t>
  </x:si>
  <x:si>
    <x:t>26015562</x:t>
  </x:si>
  <x:si>
    <x:t>ALCALDÍA DEL AYUNTAMIENTO DE CANGAS DEL NARCEA (ASTURIAS)</x:t>
  </x:si>
  <x:si>
    <x:t>Servicio de implantación de experiencias inmersivas para la estrategia de digitalización turística para la consecución de las actuaciones del PSTD "Plan de Transformación, Recuperación y Resiliencia Financiado por la Unión Europea Next Generation EU".</x:t>
  </x:si>
  <x:si>
    <x:t>CON/2025/101</x:t>
  </x:si>
  <x:si>
    <x:t>Asturias</x:t>
  </x:si>
  <x:si>
    <x:t>NYC PROYECTOS, S.L</x:t>
  </x:si>
  <x:si>
    <x:t>26015698</x:t>
  </x:si>
  <x:si>
    <x:t>MINISTERIO DE DEFENSA. SUBDIRECCIÓN GENERAL DE SERVICIOS ECONÓMICOS Y PAGADURÍAS</x:t>
  </x:si>
  <x:si>
    <x:t>Servicio de diseño, producción, transporte de materiales, montaje y desmontaje de stands en diversas ferias o eventos en apoyo a las acciones de información y captación para el reclutamiento para el año 2026</x:t>
  </x:si>
  <x:si>
    <x:t>2025/SP01010020/00001035E</x:t>
  </x:si>
  <x:si>
    <x:t>Madrid</x:t>
  </x:si>
  <x:si>
    <x:t>RAMBLA DE L'ART-CAMBRILS AIE</x:t>
  </x:si>
  <x:si>
    <x:t>26015808</x:t>
  </x:si>
  <x:si>
    <x:t>AYUNTAMIENTO DE BEGUR (GIRONA)</x:t>
  </x:si>
  <x:si>
    <x:t>Licitación para la adjudicación, mediante procedimiento abierto, del contrato de servicios de gestión y programación de la sala de Cine Casino Espai Cultural del municipio de Begur</x:t>
  </x:si>
  <x:si>
    <x:t>2025/2797</x:t>
  </x:si>
  <x:si>
    <x:t>LOTE 1 MEDIATALENT; LOTE 2 MEDIATALENT </x:t>
  </x:si>
  <x:si>
    <x:t>26015863</x:t>
  </x:si>
  <x:si>
    <x:t>RECTOR DE LA UNIVERSIDAD CARLOS III DE MADRID</x:t>
  </x:si>
  <x:si>
    <x:t>Servicio de campañas de publicidad de la oferta de grados (Lote 1) y formación permanente (Lote 2) de la Universidad Carlos III de Madrid.</x:t>
  </x:si>
  <x:si>
    <x:t>2025/0010007</x:t>
  </x:si>
  <x:si>
    <x:t>PRODUCTORA MULTIMEDIA FLASH SLL</x:t>
  </x:si>
  <x:si>
    <x:t>26015914</x:t>
  </x:si>
  <x:si>
    <x:t>ALCALDÍA DEL AYUNTAMIENTO DE BÉJAR (SALAMANCA)</x:t>
  </x:si>
  <x:si>
    <x:t>Servicio de diseño, montaje, desmontaje y actividades complementarias del stand del Ayuntamiento de Béjar en FITUR 2026</x:t>
  </x:si>
  <x:si>
    <x:t>4182/2025</x:t>
  </x:si>
  <x:si>
    <x:t>S.E. DE CARBUROS METÁLICOS SA</x:t>
  </x:si>
  <x:si>
    <x:t>26016093</x:t>
  </x:si>
  <x:si>
    <x:t>PATRONATO MUNICIPAL DE DEPORTES DE TARRAGONA</x:t>
  </x:si>
  <x:si>
    <x:t>Selección de empresas patrocinadoras de la 33ª edición de la Media Maratón + 10K "Ciutat de Tarragona"</x:t>
  </x:si>
  <x:si>
    <x:t>2024/1-EG676_1</x:t>
  </x:si>
  <x:si>
    <x:t>Tarragona</x:t>
  </x:si>
  <x:si>
    <x:t>26016095</x:t>
  </x:si>
  <x:si>
    <x:t>PATRONAT MUNICIPAL DE ESPORTS DE TARRAGONA</x:t>
  </x:si>
  <x:si>
    <x:t>Selección de empresas patrocinadoras de la 34ª edición de la Media Maratón + 10K "Ciutat de Tarragona".</x:t>
  </x:si>
  <x:si>
    <x:t>2025/2-EG676_1</x:t>
  </x:si>
  <x:si>
    <x:t>SOMETHING TO SAY, SL</x:t>
  </x:si>
  <x:si>
    <x:t>26016144</x:t>
  </x:si>
  <x:si>
    <x:t>AYUNTAMIENTO DE BARCELONA</x:t>
  </x:si>
  <x:si>
    <x:t>Servicio de conceptualización, dirección, coordinación y ejecución de un proyecto transmedia vinculado a la memoria colectiva del Distrito de Ciutat Vella.</x:t>
  </x:si>
  <x:si>
    <x:t>001_25003232</x:t>
  </x:si>
  <x:si>
    <x:t>LOTE 1 HOPSCOTCH NETWORK SPAIN, S.L.; LOTE 2 HOPSCOTCH NETWORK SPAIN, S.L. </x:t>
  </x:si>
  <x:si>
    <x:t>26016162</x:t>
  </x:si>
  <x:si>
    <x:t>DIRECCIÓN GENERAL DE EXTREMADURA AVANTE S.L.U</x:t>
  </x:si>
  <x:si>
    <x:t>Contratación del Servicio de Asistencia Técnica para la Ejecución del Proyecto Extremely European 2026-2028 UK/JP, por lotes. Lote 1 Reino Unido. Lote 2 Japón.
</x:t>
  </x:si>
  <x:si>
    <x:t>EA25 011</x:t>
  </x:si>
  <x:si>
    <x:t>Ver pliegos</x:t>
  </x:si>
  <x:si>
    <x:t>ELVIRA TORRES BENITO</x:t>
  </x:si>
  <x:si>
    <x:t>26016232</x:t>
  </x:si>
  <x:si>
    <x:t>SUBSECRETARÍA DEL MINISTERIO DE TRABAJO Y ECONOMÍA SOCIAL</x:t>
  </x:si>
  <x:si>
    <x:t>Grabación y edición de videos para redes sociales Bélgica</x:t>
  </x:si>
  <x:si>
    <x:t>2025/541</x:t>
  </x:si>
  <x:si>
    <x:t>Bélgica</x:t>
  </x:si>
</x:sst>
</file>

<file path=xl/styles.xml><?xml version="1.0" encoding="utf-8"?>
<styleSheet xmlns="http://schemas.openxmlformats.org/spreadsheetml/2006/main">
  <numFmts count="1">
    <numFmt numFmtId="164" formatCode="#,##0.00&quot; €&quot;;[Red]\-#,##0.00&quot; €&quot;"/>
  </numFmts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family val="2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4" fillId="0" borderId="1" xfId="1" applyFont="1" applyBorder="1" applyAlignment="1" applyProtection="1">
      <alignment vertical="center" wrapText="1"/>
    </xf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K2"/>
  <x:sheetViews>
    <x:sheetView showGridLines="0" tabSelected="1" zoomScaleNormal="100" workbookViewId="0">
      <x:selection sqref="A1:XFD1"/>
    </x:sheetView>
  </x:sheetViews>
  <x:sheetFormatPr baseColWidth="10" defaultColWidth="16" defaultRowHeight="12.75"/>
  <x:cols>
    <x:col min="1" max="1" width="14.42578125" style="1" customWidth="1"/>
    <x:col min="2" max="2" width="19.85546875" style="1" customWidth="1"/>
    <x:col min="3" max="3" width="11.5703125" style="1" hidden="1" customWidth="1"/>
    <x:col min="4" max="4" width="20.140625" style="1" customWidth="1"/>
    <x:col min="5" max="5" width="11.140625" style="2" customWidth="1"/>
    <x:col min="6" max="6" width="26.7109375" style="1" customWidth="1"/>
    <x:col min="7" max="7" width="47.28515625" style="1" customWidth="1"/>
    <x:col min="8" max="8" width="15.7109375" style="1" customWidth="1"/>
    <x:col min="9" max="9" width="13.42578125" style="1" customWidth="1"/>
    <x:col min="10" max="10" width="17.28515625" style="1" customWidth="1"/>
    <x:col min="11" max="11" width="18" style="1" customWidth="1"/>
    <x:col min="12" max="16384" width="16" style="1"/>
  </x:cols>
  <x:sheetData>
    <x:row r="1" spans="1:11" s="5" customForma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4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</x:row>
    <x:row r="2" spans="1:11">
      <x:c r="A2" s="6" t="s">
        <x:v>11</x:v>
      </x:c>
      <x:c r="B2" s="6" t="s">
        <x:v>12</x:v>
      </x:c>
      <x:c r="C2" s="6" t="s">
        <x:v>13</x:v>
      </x:c>
      <x:c r="D2" s="7" t="str">
        <x:f xml:space="preserve">HYPERLINK("https://www.infonalia.es/adjudicaciones0226/26015540.pdf","www.infonalia.es/adjudicaciones0226/26015540.pdf")</x:f>
        <x:v>www.infonalia.es/adjudicaciones0226/26015540.pdf</x:v>
      </x:c>
      <x:c r="E2" s="8" t="s">
        <x:v>14</x:v>
      </x:c>
      <x:c r="F2" s="6" t="s">
        <x:v>15</x:v>
      </x:c>
      <x:c r="G2" s="6" t="s">
        <x:v>16</x:v>
      </x:c>
      <x:c r="H2" s="6" t="s">
        <x:v>17</x:v>
      </x:c>
      <x:c r="I2" s="6" t="s">
        <x:v>18</x:v>
      </x:c>
      <x:c r="J2" s="9" t="s">
        <x:v>19</x:v>
      </x:c>
      <x:c r="K2" s="9" t="n">
        <x:v>77900.00</x:v>
      </x:c>
    </x:row>
    <x:row r="3">
      <x:c r="A3" s="6" t="s">
        <x:v>11</x:v>
      </x:c>
      <x:c r="B3" s="6" t="s">
        <x:v>20</x:v>
      </x:c>
      <x:c r="C3" s="6" t="s">
        <x:v>13</x:v>
      </x:c>
      <x:c r="D3" s="7" t="str">
        <x:f xml:space="preserve">HYPERLINK("https://www.infonalia.es/adjudicaciones0226/26015543.pdf","www.infonalia.es/adjudicaciones0226/26015543.pdf")</x:f>
        <x:v>www.infonalia.es/adjudicaciones0226/26015543.pdf</x:v>
      </x:c>
      <x:c r="E3" s="8" t="s">
        <x:v>21</x:v>
      </x:c>
      <x:c r="F3" s="6" t="s">
        <x:v>22</x:v>
      </x:c>
      <x:c r="G3" s="6" t="s">
        <x:v>23</x:v>
      </x:c>
      <x:c r="H3" s="6" t="s">
        <x:v>24</x:v>
      </x:c>
      <x:c r="I3" s="6" t="s">
        <x:v>25</x:v>
      </x:c>
      <x:c r="J3" s="9" t="n">
        <x:v>19900.00</x:v>
      </x:c>
      <x:c r="K3" s="9" t="n">
        <x:v>19900.00</x:v>
      </x:c>
    </x:row>
    <x:row r="4">
      <x:c r="A4" s="6" t="s">
        <x:v>11</x:v>
      </x:c>
      <x:c r="B4" s="6" t="s">
        <x:v>26</x:v>
      </x:c>
      <x:c r="C4" s="6" t="s">
        <x:v>13</x:v>
      </x:c>
      <x:c r="D4" s="7" t="str">
        <x:f xml:space="preserve">HYPERLINK("https://www.infonalia.es/adjudicaciones0226/26015562.pdf","www.infonalia.es/adjudicaciones0226/26015562.pdf")</x:f>
        <x:v>www.infonalia.es/adjudicaciones0226/26015562.pdf</x:v>
      </x:c>
      <x:c r="E4" s="8" t="s">
        <x:v>27</x:v>
      </x:c>
      <x:c r="F4" s="6" t="s">
        <x:v>28</x:v>
      </x:c>
      <x:c r="G4" s="6" t="s">
        <x:v>29</x:v>
      </x:c>
      <x:c r="H4" s="6" t="s">
        <x:v>30</x:v>
      </x:c>
      <x:c r="I4" s="6" t="s">
        <x:v>31</x:v>
      </x:c>
      <x:c r="J4" s="9" t="n">
        <x:v>46500.00</x:v>
      </x:c>
      <x:c r="K4" s="9" t="n">
        <x:v>62116.00</x:v>
      </x:c>
    </x:row>
    <x:row r="5">
      <x:c r="A5" s="6" t="s">
        <x:v>11</x:v>
      </x:c>
      <x:c r="B5" s="6" t="s">
        <x:v>32</x:v>
      </x:c>
      <x:c r="C5" s="6" t="s">
        <x:v>13</x:v>
      </x:c>
      <x:c r="D5" s="7" t="str">
        <x:f xml:space="preserve">HYPERLINK("https://www.infonalia.es/adjudicaciones0226/26015698.pdf","www.infonalia.es/adjudicaciones0226/26015698.pdf")</x:f>
        <x:v>www.infonalia.es/adjudicaciones0226/26015698.pdf</x:v>
      </x:c>
      <x:c r="E5" s="8" t="s">
        <x:v>33</x:v>
      </x:c>
      <x:c r="F5" s="6" t="s">
        <x:v>34</x:v>
      </x:c>
      <x:c r="G5" s="6" t="s">
        <x:v>35</x:v>
      </x:c>
      <x:c r="H5" s="6" t="s">
        <x:v>36</x:v>
      </x:c>
      <x:c r="I5" s="6" t="s">
        <x:v>37</x:v>
      </x:c>
      <x:c r="J5" s="9" t="n">
        <x:v>97750.00</x:v>
      </x:c>
      <x:c r="K5" s="9" t="n">
        <x:v>115000.00</x:v>
      </x:c>
    </x:row>
    <x:row r="6">
      <x:c r="A6" s="6" t="s">
        <x:v>11</x:v>
      </x:c>
      <x:c r="B6" s="6" t="s">
        <x:v>38</x:v>
      </x:c>
      <x:c r="C6" s="6" t="s">
        <x:v>13</x:v>
      </x:c>
      <x:c r="D6" s="7" t="str">
        <x:f xml:space="preserve">HYPERLINK("https://www.infonalia.es/adjudicaciones0226/26015808.pdf","www.infonalia.es/adjudicaciones0226/26015808.pdf")</x:f>
        <x:v>www.infonalia.es/adjudicaciones0226/26015808.pdf</x:v>
      </x:c>
      <x:c r="E6" s="8" t="s">
        <x:v>39</x:v>
      </x:c>
      <x:c r="F6" s="6" t="s">
        <x:v>40</x:v>
      </x:c>
      <x:c r="G6" s="6" t="s">
        <x:v>41</x:v>
      </x:c>
      <x:c r="H6" s="6" t="s">
        <x:v>42</x:v>
      </x:c>
      <x:c r="I6" s="6" t="s">
        <x:v>25</x:v>
      </x:c>
      <x:c r="J6" s="9" t="n">
        <x:v>28528.92</x:v>
      </x:c>
      <x:c r="K6" s="9" t="n">
        <x:v>28528.93</x:v>
      </x:c>
    </x:row>
    <x:row r="7">
      <x:c r="A7" s="6" t="s">
        <x:v>11</x:v>
      </x:c>
      <x:c r="B7" s="6" t="s">
        <x:v>43</x:v>
      </x:c>
      <x:c r="C7" s="6" t="s">
        <x:v>13</x:v>
      </x:c>
      <x:c r="D7" s="7" t="str">
        <x:f xml:space="preserve">HYPERLINK("https://www.infonalia.es/adjudicaciones0226/26015863.pdf","www.infonalia.es/adjudicaciones0226/26015863.pdf")</x:f>
        <x:v>www.infonalia.es/adjudicaciones0226/26015863.pdf</x:v>
      </x:c>
      <x:c r="E7" s="8" t="s">
        <x:v>44</x:v>
      </x:c>
      <x:c r="F7" s="6" t="s">
        <x:v>45</x:v>
      </x:c>
      <x:c r="G7" s="6" t="s">
        <x:v>46</x:v>
      </x:c>
      <x:c r="H7" s="6" t="s">
        <x:v>47</x:v>
      </x:c>
      <x:c r="I7" s="6" t="s">
        <x:v>37</x:v>
      </x:c>
      <x:c r="J7" s="9" t="s">
        <x:v>19</x:v>
      </x:c>
      <x:c r="K7" s="9" t="n">
        <x:v>58240.00</x:v>
      </x:c>
    </x:row>
    <x:row r="8">
      <x:c r="A8" s="6" t="s">
        <x:v>11</x:v>
      </x:c>
      <x:c r="B8" s="6" t="s">
        <x:v>48</x:v>
      </x:c>
      <x:c r="C8" s="6" t="s">
        <x:v>13</x:v>
      </x:c>
      <x:c r="D8" s="7" t="str">
        <x:f xml:space="preserve">HYPERLINK("https://www.infonalia.es/adjudicaciones0226/26015914.pdf","www.infonalia.es/adjudicaciones0226/26015914.pdf")</x:f>
        <x:v>www.infonalia.es/adjudicaciones0226/26015914.pdf</x:v>
      </x:c>
      <x:c r="E8" s="8" t="s">
        <x:v>49</x:v>
      </x:c>
      <x:c r="F8" s="6" t="s">
        <x:v>50</x:v>
      </x:c>
      <x:c r="G8" s="6" t="s">
        <x:v>51</x:v>
      </x:c>
      <x:c r="H8" s="6" t="s">
        <x:v>52</x:v>
      </x:c>
      <x:c r="I8" s="6" t="s">
        <x:v>37</x:v>
      </x:c>
      <x:c r="J8" s="9" t="n">
        <x:v>15700.00</x:v>
      </x:c>
      <x:c r="K8" s="9" t="n">
        <x:v>15702.48</x:v>
      </x:c>
    </x:row>
    <x:row r="9">
      <x:c r="A9" s="6" t="s">
        <x:v>11</x:v>
      </x:c>
      <x:c r="B9" s="6" t="s">
        <x:v>53</x:v>
      </x:c>
      <x:c r="C9" s="6" t="s">
        <x:v>13</x:v>
      </x:c>
      <x:c r="D9" s="7" t="str">
        <x:f xml:space="preserve">HYPERLINK("https://www.infonalia.es/adjudicaciones0226/26016093.pdf","www.infonalia.es/adjudicaciones0226/26016093.pdf")</x:f>
        <x:v>www.infonalia.es/adjudicaciones0226/26016093.pdf</x:v>
      </x:c>
      <x:c r="E9" s="8" t="s">
        <x:v>54</x:v>
      </x:c>
      <x:c r="F9" s="6" t="s">
        <x:v>55</x:v>
      </x:c>
      <x:c r="G9" s="6" t="s">
        <x:v>56</x:v>
      </x:c>
      <x:c r="H9" s="6" t="s">
        <x:v>57</x:v>
      </x:c>
      <x:c r="I9" s="6" t="s">
        <x:v>58</x:v>
      </x:c>
      <x:c r="J9" s="9" t="n">
        <x:v>0.00</x:v>
      </x:c>
      <x:c r="K9" s="9" t="n">
        <x:v>0.00</x:v>
      </x:c>
    </x:row>
    <x:row r="10">
      <x:c r="A10" s="6" t="s">
        <x:v>11</x:v>
      </x:c>
      <x:c r="B10" s="6" t="s">
        <x:v>53</x:v>
      </x:c>
      <x:c r="C10" s="6" t="s">
        <x:v>13</x:v>
      </x:c>
      <x:c r="D10" s="7" t="str">
        <x:f xml:space="preserve">HYPERLINK("https://www.infonalia.es/adjudicaciones0226/26016095.pdf","www.infonalia.es/adjudicaciones0226/26016095.pdf")</x:f>
        <x:v>www.infonalia.es/adjudicaciones0226/26016095.pdf</x:v>
      </x:c>
      <x:c r="E10" s="8" t="s">
        <x:v>59</x:v>
      </x:c>
      <x:c r="F10" s="6" t="s">
        <x:v>60</x:v>
      </x:c>
      <x:c r="G10" s="6" t="s">
        <x:v>61</x:v>
      </x:c>
      <x:c r="H10" s="6" t="s">
        <x:v>62</x:v>
      </x:c>
      <x:c r="I10" s="6" t="s">
        <x:v>58</x:v>
      </x:c>
      <x:c r="J10" s="9" t="n">
        <x:v>0.00</x:v>
      </x:c>
      <x:c r="K10" s="9" t="n">
        <x:v>0.00</x:v>
      </x:c>
    </x:row>
    <x:row r="11">
      <x:c r="A11" s="6" t="s">
        <x:v>11</x:v>
      </x:c>
      <x:c r="B11" s="6" t="s">
        <x:v>63</x:v>
      </x:c>
      <x:c r="C11" s="6" t="s">
        <x:v>13</x:v>
      </x:c>
      <x:c r="D11" s="7" t="str">
        <x:f xml:space="preserve">HYPERLINK("https://www.infonalia.es/adjudicaciones0226/26016144.pdf","www.infonalia.es/adjudicaciones0226/26016144.pdf")</x:f>
        <x:v>www.infonalia.es/adjudicaciones0226/26016144.pdf</x:v>
      </x:c>
      <x:c r="E11" s="8" t="s">
        <x:v>64</x:v>
      </x:c>
      <x:c r="F11" s="6" t="s">
        <x:v>65</x:v>
      </x:c>
      <x:c r="G11" s="6" t="s">
        <x:v>66</x:v>
      </x:c>
      <x:c r="H11" s="6" t="s">
        <x:v>67</x:v>
      </x:c>
      <x:c r="I11" s="6" t="s">
        <x:v>18</x:v>
      </x:c>
      <x:c r="J11" s="9" t="n">
        <x:v>114100.00</x:v>
      </x:c>
      <x:c r="K11" s="9" t="n">
        <x:v>138978.00</x:v>
      </x:c>
    </x:row>
    <x:row r="12">
      <x:c r="A12" s="6" t="s">
        <x:v>11</x:v>
      </x:c>
      <x:c r="B12" s="6" t="s">
        <x:v>68</x:v>
      </x:c>
      <x:c r="C12" s="6" t="s">
        <x:v>13</x:v>
      </x:c>
      <x:c r="D12" s="7" t="str">
        <x:f xml:space="preserve">HYPERLINK("https://www.infonalia.es/adjudicaciones0226/26016162.pdf","www.infonalia.es/adjudicaciones0226/26016162.pdf")</x:f>
        <x:v>www.infonalia.es/adjudicaciones0226/26016162.pdf</x:v>
      </x:c>
      <x:c r="E12" s="8" t="s">
        <x:v>69</x:v>
      </x:c>
      <x:c r="F12" s="6" t="s">
        <x:v>70</x:v>
      </x:c>
      <x:c r="G12" s="6" t="s">
        <x:v>71</x:v>
      </x:c>
      <x:c r="H12" s="6" t="s">
        <x:v>72</x:v>
      </x:c>
      <x:c r="I12" s="6" t="s">
        <x:v>73</x:v>
      </x:c>
      <x:c r="J12" s="9" t="s">
        <x:v>19</x:v>
      </x:c>
      <x:c r="K12" s="9" t="n">
        <x:v>1158663.00</x:v>
      </x:c>
    </x:row>
    <x:row r="13">
      <x:c r="A13" s="6" t="s">
        <x:v>11</x:v>
      </x:c>
      <x:c r="B13" s="6" t="s">
        <x:v>74</x:v>
      </x:c>
      <x:c r="C13" s="6" t="s">
        <x:v>13</x:v>
      </x:c>
      <x:c r="D13" s="7" t="str">
        <x:f xml:space="preserve">HYPERLINK("https://www.infonalia.es/adjudicaciones0226/26016232.pdf","www.infonalia.es/adjudicaciones0226/26016232.pdf")</x:f>
        <x:v>www.infonalia.es/adjudicaciones0226/26016232.pdf</x:v>
      </x:c>
      <x:c r="E13" s="8" t="s">
        <x:v>75</x:v>
      </x:c>
      <x:c r="F13" s="6" t="s">
        <x:v>76</x:v>
      </x:c>
      <x:c r="G13" s="6" t="s">
        <x:v>77</x:v>
      </x:c>
      <x:c r="H13" s="6" t="s">
        <x:v>78</x:v>
      </x:c>
      <x:c r="I13" s="6" t="s">
        <x:v>79</x:v>
      </x:c>
      <x:c r="J13" s="9" t="n">
        <x:v>2371.60</x:v>
      </x:c>
      <x:c r="K13" s="9" t="n">
        <x:v>2371.60</x:v>
      </x:c>
    </x:row>
  </x:sheetData>
  <x:autoFilter ref="A1:K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Adjudicaciones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1</cp:revision>
  <dcterms:created xsi:type="dcterms:W3CDTF">2024-12-04T08:58:32Z</dcterms:created>
  <dcterms:modified xsi:type="dcterms:W3CDTF">2025-01-20T07:55:24Z</dcterms:modified>
  <dc:language>es-ES</dc:language>
</cp:coreProperties>
</file>