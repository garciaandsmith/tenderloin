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<x:sst xmlns:x="http://schemas.openxmlformats.org/spreadsheetml/2006/main" count="11" uniqueCount="11">
  <x:si>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</x:si>
  <x:si>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</x:si>
  <x:si>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</x:si>
  <x:si>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</x:si>
  <x:si>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</x:si>
  <x:si>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</x:si>
  <x:si>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</x:si>
  <x:si>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</x:si>
  <x:si>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</x:si>
  <x:si>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</x:si>
  <x:si>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</x:si>
  <x:si>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</x:si>
  <x:si>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CARAT ESPAÑA, SAU</x:t>
  </x:si>
  <x:si>
    <x:t>26/01/2026 0:00:00</x:t>
  </x:si>
  <x:si>
    <x:t>26010347</x:t>
  </x:si>
  <x:si>
    <x:t>INSTITUTO CATALÁN DE LAS EMPRESAS CULTURALES</x:t>
  </x:si>
  <x:si>
    <x:t>Servicio de inserción de publicidad institucional en ICAT para la difusión de la participación catalana en el festival ESNS 2026 (Eurosonic Noorderslag)</x:t>
  </x:si>
  <x:si>
    <x:t>ICEC-2026-51</x:t>
  </x:si>
  <x:si>
    <x:t>Catalunya</x:t>
  </x:si>
  <x:si>
    <x:t>ESTUDI FERRAN SENDRA, S.L</x:t>
  </x:si>
  <x:si>
    <x:t>26010398</x:t>
  </x:si>
  <x:si>
    <x:t>GENERALITAT DE CATALUNYA. DEPARTAMENTO DE INVESTIGACIÓN Y UNIVERSIDADES</x:t>
  </x:si>
  <x:si>
    <x:t>Servicios de diseño, construcción, transporte, montaje y desmontaje de un stand del Consejo Interuniversitario de Cataluña para su participación en la feria de educación Saló de Aula Madrid para la edición de 2026</x:t>
  </x:si>
  <x:si>
    <x:t>UR-2026-16</x:t>
  </x:si>
  <x:si>
    <x:t>Madrid</x:t>
  </x:si>
  <x:si>
    <x:t>MAGDALENA ADAMCZYK</x:t>
  </x:si>
  <x:si>
    <x:t>26010405</x:t>
  </x:si>
  <x:si>
    <x:t>CABILDO INSULARDE GRAN CANARIA (LAS PALMAS). PRESIDENCIA DE TURISMO DE GRAN CANARIA</x:t>
  </x:si>
  <x:si>
    <x:t>Promoción de la Oferta Turística de Gran Canaria en el mercado de Polonia.</x:t>
  </x:si>
  <x:si>
    <x:t>133/2025</x:t>
  </x:si>
  <x:si>
    <x:t>Polonia</x:t>
  </x:si>
  <x:si>
    <x:t>EUROSTAR MEDIAGROUP, S.L</x:t>
  </x:si>
  <x:si>
    <x:t>26010461</x:t>
  </x:si>
  <x:si>
    <x:t>MINISTERIO PARA LA TRANSICIÓN ECOLÓGICA Y EL RETO DEMOGRÁFICO. PRESIDENCIA DE LA CONFEDERACIÓN HIDROGRÁFICA DEL CANTÁBRICO</x:t>
  </x:si>
  <x:si>
    <x:t>Servicio de actuaciones de comunicación y divulgación de la Confederación Hidrográfica del Cantábrico, O.A. Período: 2026-2028</x:t>
  </x:si>
  <x:si>
    <x:t>N1.908.026/8811</x:t>
  </x:si>
  <x:si>
    <x:t>Asturias</x:t>
  </x:si>
  <x:si>
    <x:t>MULTICRITERI - MCRIT AIE</x:t>
  </x:si>
  <x:si>
    <x:t>26010483</x:t>
  </x:si>
  <x:si>
    <x:t>AEROPORTS PÚBLICS DE CATALUNYA, SLU</x:t>
  </x:si>
  <x:si>
    <x:t>Asistencia técnica para la realización de acciones de comunicación y diseminación en el marco del proyecto Aero2hub 2025-2026</x:t>
  </x:si>
  <x:si>
    <x:t>2025 LEDA CPUB SER 008</x:t>
  </x:si>
  <x:si>
    <x:t>D'ALEPH INICIATIVAS Y ORGANIZACIÓN, S.A</x:t>
  </x:si>
  <x:si>
    <x:t>26010492</x:t>
  </x:si>
  <x:si>
    <x:t>PROMOCIÓ ECONÒMICA DE SABADELL, SL</x:t>
  </x:si>
  <x:si>
    <x:t>Descripción: El contrato tiene por objeto la contratación de servicios de consultoría para la elaboración del Plan director de los polígonos de actividad económica (PAE's) de Sabadell, que deberá contener al menos la siguiente información: • Análisis del posicionamiento de los PAE's de Sabadell versus los del Vallès Occidental. • Análisis del peso económico de los PAE's de Sabadell sobre el total de la actividad económica de la ciudad. • Análisis de elementos de mejora de competitividad de los PAE's de Sabadell en relación a los PAE's del Vallès Occidental. • Estrategia y líneas de acción a implantar a través del Plan Director. El plan debe diagnosticar la situación actual de los polígonos industriales existentes, identificar necesidades y oportunidades de mejora, y proponer una estrategia de desarrollo y plan de acción priorizado con estimaciones de costes a medio y largo plazo, todo ello desde una perspectiva del conjunto de Sabadell y al mismo tiempo una visión concreta y específica por polígono</x:t>
  </x:si>
  <x:si>
    <x:t>JIA/2025/258</x:t>
  </x:si>
  <x:si>
    <x:t>Barcelona</x:t>
  </x:si>
  <x:si>
    <x:t>NUCOAM GESTION DE EVENTOS SL</x:t>
  </x:si>
  <x:si>
    <x:t>26010729</x:t>
  </x:si>
  <x:si>
    <x:t>CONSEJERA DELEGADA DE LA EMPRESA PÚBLICA DE PROMOCIÓN DEL TURISMO Y LA ARTESANÍA DE CASTILLA-LA MANCHA (ETURIA), S.A.</x:t>
  </x:si>
  <x:si>
    <x:t>Construcción, montaje, desmontaje, puesta en funcionamiento y mantenimiento del stand de la Junta de Comunidades de Castilla-La Mancha en Madrid Fusión- Alimentos de España 2026</x:t>
  </x:si>
  <x:si>
    <x:t>2025/018380</x:t>
  </x:si>
  <x:si>
    <x:t>INSTITUCION FERIAL DE MADRID</x:t>
  </x:si>
  <x:si>
    <x:t>26010921</x:t>
  </x:si>
  <x:si>
    <x:t>EMPRESA PÚBLICA PARA LA GESTIÓN DEL TURISMO Y EL DEPORTE DE ANDALUCÍA, S.A</x:t>
  </x:si>
  <x:si>
    <x:t>Espacio para la participación de andalucía en la feria Fitur 2026</x:t>
  </x:si>
  <x:si>
    <x:t>C2N07-06MC-0825-0212</x:t>
  </x:si>
  <x:si>
    <x:t>EDATALIA DATA SOLUTIONS S.L</x:t>
  </x:si>
  <x:si>
    <x:t>26010979</x:t>
  </x:si>
  <x:si>
    <x:t>DIRECCIÓN DEL SERVICIO DE GESTIÓN ECONÓMICA DE LA AGENCIA ESTATAL DE LA ADMINISTRACIÓN TRIBUTARIA</x:t>
  </x:si>
  <x:si>
    <x:t>Actualización de la Licencia Corporativa para la Integración de la Firma con Datos Biométricos en los Documentos, Ecosignature, con destino a la AEAT</x:t>
  </x:si>
  <x:si>
    <x:t>25840090600</x:t>
  </x:si>
  <x:si>
    <x:t>----------</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</x:si>
</x:sst>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HYPERLINK("https://www.infonalia.es/adjudicaciones0126/26010347.pdf","www.infonalia.es/adjudicaciones0126/26010347.pdf")</x:f>
        <x:v>www.infonalia.es/adjudicaciones0126/26010347.pdf</x:v>
      </x:c>
      <x:c r="E2" s="8" t="s">
        <x:v>14</x:v>
      </x:c>
      <x:c r="F2" s="6" t="s">
        <x:v>15</x:v>
      </x:c>
      <x:c r="G2" s="6" t="s">
        <x:v>16</x:v>
      </x:c>
      <x:c r="H2" s="6" t="s">
        <x:v>17</x:v>
      </x:c>
      <x:c r="I2" s="6" t="s">
        <x:v>18</x:v>
      </x:c>
      <x:c r="J2" s="9" t="n">
        <x:v>990.90</x:v>
      </x:c>
      <x:c r="K2" s="9" t="n">
        <x:v>991.74</x:v>
      </x:c>
    </x:row>
    <x:row r="3">
      <x:c r="A3" s="6" t="s">
        <x:v>11</x:v>
      </x:c>
      <x:c r="B3" s="6" t="s">
        <x:v>19</x:v>
      </x:c>
      <x:c r="C3" s="6" t="s">
        <x:v>13</x:v>
      </x:c>
      <x:c r="D3" s="7" t="str">
        <x:f xml:space="preserve">HYPERLINK("https://www.infonalia.es/adjudicaciones0126/26010398.pdf","www.infonalia.es/adjudicaciones0126/26010398.pdf")</x:f>
        <x:v>www.infonalia.es/adjudicaciones0126/26010398.pdf</x:v>
      </x:c>
      <x:c r="E3" s="8" t="s">
        <x:v>20</x:v>
      </x:c>
      <x:c r="F3" s="6" t="s">
        <x:v>21</x:v>
      </x:c>
      <x:c r="G3" s="6" t="s">
        <x:v>22</x:v>
      </x:c>
      <x:c r="H3" s="6" t="s">
        <x:v>23</x:v>
      </x:c>
      <x:c r="I3" s="6" t="s">
        <x:v>24</x:v>
      </x:c>
      <x:c r="J3" s="9" t="n">
        <x:v>35192.46</x:v>
      </x:c>
      <x:c r="K3" s="9" t="n">
        <x:v>37044.70</x:v>
      </x:c>
    </x:row>
    <x:row r="4">
      <x:c r="A4" s="6" t="s">
        <x:v>11</x:v>
      </x:c>
      <x:c r="B4" s="6" t="s">
        <x:v>25</x:v>
      </x:c>
      <x:c r="C4" s="6" t="s">
        <x:v>13</x:v>
      </x:c>
      <x:c r="D4" s="7" t="str">
        <x:f xml:space="preserve">HYPERLINK("https://www.infonalia.es/adjudicaciones0126/26010405.pdf","www.infonalia.es/adjudicaciones0126/26010405.pdf")</x:f>
        <x:v>www.infonalia.es/adjudicaciones0126/26010405.pdf</x:v>
      </x:c>
      <x:c r="E4" s="8" t="s">
        <x:v>26</x:v>
      </x:c>
      <x:c r="F4" s="6" t="s">
        <x:v>27</x:v>
      </x:c>
      <x:c r="G4" s="6" t="s">
        <x:v>28</x:v>
      </x:c>
      <x:c r="H4" s="6" t="s">
        <x:v>29</x:v>
      </x:c>
      <x:c r="I4" s="6" t="s">
        <x:v>30</x:v>
      </x:c>
      <x:c r="J4" s="9" t="n">
        <x:v>46800.00</x:v>
      </x:c>
      <x:c r="K4" s="9" t="n">
        <x:v>47000.00</x:v>
      </x:c>
    </x:row>
    <x:row r="5">
      <x:c r="A5" s="6" t="s">
        <x:v>11</x:v>
      </x:c>
      <x:c r="B5" s="6" t="s">
        <x:v>31</x:v>
      </x:c>
      <x:c r="C5" s="6" t="s">
        <x:v>13</x:v>
      </x:c>
      <x:c r="D5" s="7" t="str">
        <x:f xml:space="preserve">HYPERLINK("https://www.infonalia.es/adjudicaciones0126/26010461.pdf","www.infonalia.es/adjudicaciones0126/26010461.pdf")</x:f>
        <x:v>www.infonalia.es/adjudicaciones0126/26010461.pdf</x:v>
      </x:c>
      <x:c r="E5" s="8" t="s">
        <x:v>32</x:v>
      </x:c>
      <x:c r="F5" s="6" t="s">
        <x:v>33</x:v>
      </x:c>
      <x:c r="G5" s="6" t="s">
        <x:v>34</x:v>
      </x:c>
      <x:c r="H5" s="6" t="s">
        <x:v>35</x:v>
      </x:c>
      <x:c r="I5" s="6" t="s">
        <x:v>36</x:v>
      </x:c>
      <x:c r="J5" s="9" t="n">
        <x:v>162899.75</x:v>
      </x:c>
      <x:c r="K5" s="9" t="n">
        <x:v>229695.08</x:v>
      </x:c>
    </x:row>
    <x:row r="6">
      <x:c r="A6" s="6" t="s">
        <x:v>11</x:v>
      </x:c>
      <x:c r="B6" s="6" t="s">
        <x:v>37</x:v>
      </x:c>
      <x:c r="C6" s="6" t="s">
        <x:v>13</x:v>
      </x:c>
      <x:c r="D6" s="7" t="str">
        <x:f xml:space="preserve">HYPERLINK("https://www.infonalia.es/adjudicaciones0126/26010483.pdf","www.infonalia.es/adjudicaciones0126/26010483.pdf")</x:f>
        <x:v>www.infonalia.es/adjudicaciones0126/26010483.pdf</x:v>
      </x:c>
      <x:c r="E6" s="8" t="s">
        <x:v>38</x:v>
      </x:c>
      <x:c r="F6" s="6" t="s">
        <x:v>39</x:v>
      </x:c>
      <x:c r="G6" s="6" t="s">
        <x:v>40</x:v>
      </x:c>
      <x:c r="H6" s="6" t="s">
        <x:v>41</x:v>
      </x:c>
      <x:c r="I6" s="6" t="s">
        <x:v>18</x:v>
      </x:c>
      <x:c r="J6" s="9" t="n">
        <x:v>49608.00</x:v>
      </x:c>
      <x:c r="K6" s="9" t="n">
        <x:v>62400.00</x:v>
      </x:c>
    </x:row>
    <x:row r="7">
      <x:c r="A7" s="6" t="s">
        <x:v>11</x:v>
      </x:c>
      <x:c r="B7" s="6" t="s">
        <x:v>42</x:v>
      </x:c>
      <x:c r="C7" s="6" t="s">
        <x:v>13</x:v>
      </x:c>
      <x:c r="D7" s="7" t="str">
        <x:f xml:space="preserve">HYPERLINK("https://www.infonalia.es/adjudicaciones0126/26010492.pdf","www.infonalia.es/adjudicaciones0126/26010492.pdf")</x:f>
        <x:v>www.infonalia.es/adjudicaciones0126/26010492.pdf</x:v>
      </x:c>
      <x:c r="E7" s="8" t="s">
        <x:v>43</x:v>
      </x:c>
      <x:c r="F7" s="6" t="s">
        <x:v>44</x:v>
      </x:c>
      <x:c r="G7" s="6" t="s">
        <x:v>45</x:v>
      </x:c>
      <x:c r="H7" s="6" t="s">
        <x:v>46</x:v>
      </x:c>
      <x:c r="I7" s="6" t="s">
        <x:v>47</x:v>
      </x:c>
      <x:c r="J7" s="9" t="n">
        <x:v>26475.00</x:v>
      </x:c>
      <x:c r="K7" s="9" t="n">
        <x:v>31000.00</x:v>
      </x:c>
    </x:row>
    <x:row r="8">
      <x:c r="A8" s="6" t="s">
        <x:v>11</x:v>
      </x:c>
      <x:c r="B8" s="6" t="s">
        <x:v>48</x:v>
      </x:c>
      <x:c r="C8" s="6" t="s">
        <x:v>13</x:v>
      </x:c>
      <x:c r="D8" s="7" t="str">
        <x:f xml:space="preserve">HYPERLINK("https://www.infonalia.es/adjudicaciones0126/26010729.pdf","www.infonalia.es/adjudicaciones0126/26010729.pdf")</x:f>
        <x:v>www.infonalia.es/adjudicaciones0126/26010729.pdf</x:v>
      </x:c>
      <x:c r="E8" s="8" t="s">
        <x:v>49</x:v>
      </x:c>
      <x:c r="F8" s="6" t="s">
        <x:v>50</x:v>
      </x:c>
      <x:c r="G8" s="6" t="s">
        <x:v>51</x:v>
      </x:c>
      <x:c r="H8" s="6" t="s">
        <x:v>52</x:v>
      </x:c>
      <x:c r="I8" s="6" t="s">
        <x:v>24</x:v>
      </x:c>
      <x:c r="J8" s="9" t="n">
        <x:v>72995.00</x:v>
      </x:c>
      <x:c r="K8" s="9" t="n">
        <x:v>74380.17</x:v>
      </x:c>
    </x:row>
    <x:row r="9">
      <x:c r="A9" s="6" t="s">
        <x:v>11</x:v>
      </x:c>
      <x:c r="B9" s="6" t="s">
        <x:v>53</x:v>
      </x:c>
      <x:c r="C9" s="6" t="s">
        <x:v>13</x:v>
      </x:c>
      <x:c r="D9" s="7" t="str">
        <x:f xml:space="preserve">HYPERLINK("https://www.infonalia.es/adjudicaciones0126/26010921.pdf","www.infonalia.es/adjudicaciones0126/26010921.pdf")</x:f>
        <x:v>www.infonalia.es/adjudicaciones0126/26010921.pdf</x:v>
      </x:c>
      <x:c r="E9" s="8" t="s">
        <x:v>54</x:v>
      </x:c>
      <x:c r="F9" s="6" t="s">
        <x:v>55</x:v>
      </x:c>
      <x:c r="G9" s="6" t="s">
        <x:v>56</x:v>
      </x:c>
      <x:c r="H9" s="6" t="s">
        <x:v>57</x:v>
      </x:c>
      <x:c r="I9" s="6" t="s">
        <x:v>24</x:v>
      </x:c>
      <x:c r="J9" s="9" t="n">
        <x:v>1544689.08</x:v>
      </x:c>
      <x:c r="K9" s="9" t="n">
        <x:v>1544689.08</x:v>
      </x:c>
    </x:row>
    <x:row r="10">
      <x:c r="A10" s="6" t="s">
        <x:v>11</x:v>
      </x:c>
      <x:c r="B10" s="6" t="s">
        <x:v>58</x:v>
      </x:c>
      <x:c r="C10" s="6" t="s">
        <x:v>13</x:v>
      </x:c>
      <x:c r="D10" s="7" t="str">
        <x:f xml:space="preserve">HYPERLINK("https://www.infonalia.es/adjudicaciones0126/26010979.pdf","www.infonalia.es/adjudicaciones0126/26010979.pdf")</x:f>
        <x:v>www.infonalia.es/adjudicaciones0126/26010979.pdf</x:v>
      </x:c>
      <x:c r="E10" s="8" t="s">
        <x:v>59</x:v>
      </x:c>
      <x:c r="F10" s="6" t="s">
        <x:v>60</x:v>
      </x:c>
      <x:c r="G10" s="6" t="s">
        <x:v>61</x:v>
      </x:c>
      <x:c r="H10" s="6" t="s">
        <x:v>62</x:v>
      </x:c>
      <x:c r="I10" s="6" t="s">
        <x:v>63</x:v>
      </x:c>
      <x:c r="J10" s="9" t="n">
        <x:v>16080.00</x:v>
      </x:c>
      <x:c r="K10" s="9" t="n">
        <x:v>16700.00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