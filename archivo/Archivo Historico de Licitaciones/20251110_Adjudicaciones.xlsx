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<x:sst xmlns:x="http://schemas.openxmlformats.org/spreadsheetml/2006/main" count="11" uniqueCount="11">
  <x:si>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</x:si>
  <x:si>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</x:si>
  <x:si>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</x:si>
  <x:si>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</x:si>
  <x:si>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</x:si>
  <x:si>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</x:si>
  <x:si>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</x:si>
  <x:si>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</x:si>
  <x:si>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</x:si>
  <x:si>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</x:si>
  <x:si>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</x:si>
  <x:si>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</x:si>
  <x:si>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PRODUCCIONS GRAU PEIRÓ, SL</x:t>
  </x:si>
  <x:si>
    <x:t>10/11/2025 0:00:00</x:t>
  </x:si>
  <x:si>
    <x:t>25219415</x:t>
  </x:si>
  <x:si>
    <x:t>FUNDACIÓ PER A LA UNIVERSITAT OBERTA DE CATALUNYA</x:t>
  </x:si>
  <x:si>
    <x:t>Provisión del servicio de gestión y logística integral de las pruebas presenciales ECLA, la preparación del resto de pruebas presenciales y virtuales y el servicio de gestión de trámites y actividades de evaluación de la UOC. Para llevarlo a cabo es necesario contratar el operativo logístico correspondiente para el correcto desarrollo de las pruebas encargándose de la reserva de espacios, la contratación del alquiler, el control del transporte de documentación, de personal de organización, el montaje de las sedes de pruebas y la gestión de los servicios y coordinación y logística de todo el servicio.</x:t>
  </x:si>
  <x:si>
    <x:t>OSE00030/2025</x:t>
  </x:si>
  <x:si>
    <x:t>Catalunya</x:t>
  </x:si>
  <x:si>
    <x:t>Ver detalle de la adjudicación</x:t>
  </x:si>
  <x:si>
    <x:t>Formalización</x:t>
  </x:si>
  <x:si>
    <x:t>ROOTS FOR SUSTAINABILITY, SL</x:t>
  </x:si>
  <x:si>
    <x:t>25219433</x:t>
  </x:si>
  <x:si>
    <x:t>AGÈNCIA PER A LA COMPETITIVITAT DE L'EMPRESA, ACCIÓ</x:t>
  </x:si>
  <x:si>
    <x:t>El objeto de este contrato es la contratación de los servicios especializados en valor compartido para desarrollar: Lote 1. Diez sesiones de capacitación de crecer con propósito para CEO's de empresas en proceso de crecimiento. Lote 2. Un proyecto metodológico para monetizar el impacto social de las compañías siguiendo el valor social integrado</x:t>
  </x:si>
  <x:si>
    <x:t>ACCIO-2025-49</x:t>
  </x:si>
  <x:si>
    <x:t>Barcelona</x:t>
  </x:si>
  <x:si>
    <x:t>MIRA LO QUE TE DIGO SLU</x:t>
  </x:si>
  <x:si>
    <x:t>25219485</x:t>
  </x:si>
  <x:si>
    <x:t>SECRETARIO GENERAL DE LA FEDERACIÓN DE ORGANISMOS O ENTIDADES DE RADIO Y TELEVISIÓN AUTONÓMICOS - FORTA</x:t>
  </x:si>
  <x:si>
    <x:t>Acuerdo Marco para la prestación del servicio de audiodescripción en castellano en diferido</x:t>
  </x:si>
  <x:si>
    <x:t>S-0011-25(M)-AB</x:t>
  </x:si>
  <x:si>
    <x:t>Madrid</x:t>
  </x:si>
  <x:si>
    <x:t>MEDIA CIRCUS SLU</x:t>
  </x:si>
  <x:si>
    <x:t>25219539</x:t>
  </x:si>
  <x:si>
    <x:t>GENERALITAT DE CATALUNYA. DEPARTAMENTO DE LA PRESIDENCIA</x:t>
  </x:si>
  <x:si>
    <x:t>Servicio de fotografía y vídeo para dar cobertura a los actos institucionales y otros eventos del consejero del Departamento la Presidencia en todo el territorio de Cataluña, y la edición de estos contenidos para sus redes sociales.</x:t>
  </x:si>
  <x:si>
    <x:t>PR-2025-397</x:t>
  </x:si>
  <x:si>
    <x:t>VALLINA EVENTOS S.L</x:t>
  </x:si>
  <x:si>
    <x:t>25219546</x:t>
  </x:si>
  <x:si>
    <x:t>JUNTA DE GOBIERNO DEL AYUNTAMIENTO DE OVIEDO (ASTURIAS)</x:t>
  </x:si>
  <x:si>
    <x:t>Servicios de asistencia técnica para la organización, diseño y ejecución del evento Fiesta del Comercio de Oviedo</x:t>
  </x:si>
  <x:si>
    <x:t>CC2025/229</x:t>
  </x:si>
  <x:si>
    <x:t>Asturias</x:t>
  </x:si>
  <x:si>
    <x:t>ASSOCIACIÓ CULTURAL ANIMA'T</x:t>
  </x:si>
  <x:si>
    <x:t>25219555</x:t>
  </x:si>
  <x:si>
    <x:t>UNIVERSITAT ROVIRA I VIRGILI</x:t>
  </x:si>
  <x:si>
    <x:t>Servicio de coordinación y producción de los actos de la fiesta mayor de la Universidad Rovira i Virgili. SE 13/26</x:t>
  </x:si>
  <x:si>
    <x:t>13/26</x:t>
  </x:si>
  <x:si>
    <x:t>Tarragona</x:t>
  </x:si>
  <x:si>
    <x:t>PKF ATTEST ITC, S.L</x:t>
  </x:si>
  <x:si>
    <x:t>25219724</x:t>
  </x:si>
  <x:si>
    <x:t>MADRID DESTINO CULTURA TURISMO Y NEGOCIO, S.A.</x:t>
  </x:si>
  <x:si>
    <x:t>Suministro para la contratación del BREP de Navision 2009 R2, para Madrid Destino.</x:t>
  </x:si>
  <x:si>
    <x:t>SP25-00489</x:t>
  </x:si>
  <x:si>
    <x:t>LOTE 3 TECNOPERPAL S.L. </x:t>
  </x:si>
  <x:si>
    <x:t>25219815</x:t>
  </x:si>
  <x:si>
    <x:t>AYUNTAMIENTO DEL VENDRELL (TARRAGONA)</x:t>
  </x:si>
  <x:si>
    <x:t>El objeto de este contrato es el servicio de: creación del “branding” de la nueva marca turística de El Vendrell, y diseño, maquetación, traducción e impresión de nuevos materiales divulgativos para realizar un marketing innovador y eficaz [LOT 1]; guionización, diseño, edición y realización y producción de materiales audiovisuales promocionales [LOT 2]; suministro e instalación de pantalla LED, su hardware de control y software de visualización [LOT 3]; y evolución y mejora del portal turístico “www.elvendrellturistic.com” [LOTE 4]</x:t>
  </x:si>
  <x:si>
    <x:t>GCON2025000018</x:t>
  </x:si>
  <x:si>
    <x:t>FUNDACIO PAU CASALS</x:t>
  </x:si>
  <x:si>
    <x:t>25220261</x:t>
  </x:si>
  <x:si>
    <x:t>PRESIDENCIA DE LA AUTORIDAD PORTUARIA DE TARRAGONA</x:t>
  </x:si>
  <x:si>
    <x:t>Servicio de Patrocinio de la Fundacio Pau Casals.</x:t>
  </x:si>
  <x:si>
    <x:t>2025_042SE</x:t>
  </x:si>
  <x:si>
    <x:t>TEATRO CERVANTES DE MÁLAGA E INICIATIVAS AUDIOVISUALES</x:t>
  </x:si>
  <x:si>
    <x:t>25220351</x:t>
  </x:si>
  <x:si>
    <x:t>MINISTERIO DE AGRICULTURA, PESCA Y ALIMENTACIÓN. DIRECCIÓN GENERAL DE LA INDUSTRIA ALIMENTARIA</x:t>
  </x:si>
  <x:si>
    <x:t>Participación del Ministerio de Agricultura, Pesca y Alimentación y de los Alimentos de España en la 29 y 30 edición del Festival de Málaga de Cine, 2026 y 2027</x:t>
  </x:si>
  <x:si>
    <x:t>202505100637</x:t>
  </x:si>
  <x:si>
    <x:t>------</x:t>
  </x:si>
  <x:si>
    <x:t>BOVE FERNANDEZ XAVIER MIQUEL</x:t>
  </x:si>
  <x:si>
    <x:t>25220357</x:t>
  </x:si>
  <x:si>
    <x:t>INSTITUTO DE CULTURA DE BARCELONA</x:t>
  </x:si>
  <x:si>
    <x:t>Creación, diseño y exhibición de la instalación audiovisual de vídeo mapping de Navidad de la Pl. de Santiago</x:t>
  </x:si>
  <x:si>
    <x:t>006_25001912</x:t>
  </x:si>
  <x:si>
    <x:t>CRUISESNEWS MEDIA GROUP</x:t>
  </x:si>
  <x:si>
    <x:t>25220379</x:t>
  </x:si>
  <x:si>
    <x:t>MINISTERIO DE TRANSPORTES Y MOVILIDAD SOSTENIBLE. PRESIDENCIA DEL CONSEJO DE ADMINISTRACIÓN DE LA AUTORIDAD PORTUARIA DE BARCELONA (PORT DE BARCELONA)</x:t>
  </x:si>
  <x:si>
    <x:t>Patrocinio publicitario con motivo de la participación en el International Cruise Summit 2025. que se celebrará los dias 18 y 19 de noviembre, Clave de expediente: 2025C280007</x:t>
  </x:si>
  <x:si>
    <x:t>2025-00371</x:t>
  </x:si>
  <x:si>
    <x:t>CONSORCI ZF INTERNACIONAL, S.A.U</x:t>
  </x:si>
  <x:si>
    <x:t>25220434</x:t>
  </x:si>
  <x:si>
    <x:t>MINISTERIO DE HACIENDA. JEFATURA DE UNIDAD DE MEDIOS INTERNOS -ÁREA DE COMPRAS DE LA COMPAÑÍA ESPAÑOLA DE SEGUROS DE CRÉDITO A LA EXPORTACIÓN S.A., S.M.E. (CESCE)</x:t>
  </x:si>
  <x:si>
    <x:t>Reserva de espacio Feria SIL 2026</x:t>
  </x:si>
  <x:si>
    <x:t>155-2025</x:t>
  </x:si>
  <x:si>
    <x:t>CAMARA DE COMERCIO BRASIL-ESPANA</x:t>
  </x:si>
  <x:si>
    <x:t>25220463</x:t>
  </x:si>
  <x:si>
    <x:t>Patrocinio regulado en el artículo 26.1 c) de la ley 9/2017 de 8 de noviembre. Premios Brasil 2025</x:t>
  </x:si>
  <x:si>
    <x:t>154-2025</x:t>
  </x:si>
  <x:si>
    <x:t>FIRA INTERNACIONAL DE BARCELONA</x:t>
  </x:si>
  <x:si>
    <x:t>25220464</x:t>
  </x:si>
  <x:si>
    <x:t>Reserva de Espacio Feria alimentaria 2026</x:t>
  </x:si>
  <x:si>
    <x:t>153-2025</x:t>
  </x:si>
  <x:si>
    <x:t>LOTE 3 EVENTUAL SERVICES PRODUCCIÓN Y EVENTOS, S.L.</x:t>
  </x:si>
  <x:si>
    <x:t>25220579</x:t>
  </x:si>
  <x:si>
    <x:t>CONSEJO DE GOBIERNO DEL INSTITUTO MUNICIPAL EMPLEO Y PROMOCIÓN ECONÓMICA DE ALCORCÓN (IMEPE)</x:t>
  </x:si>
  <x:si>
    <x:t>Actividades de dinamización del comercio de Alcorcón. Lote 1: Feria de Comercio. Lote 2: Pasarela de Comercio. Lote 3: Mercadillo Navideño</x:t>
  </x:si>
  <x:si>
    <x:t>I.17.25.C</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</x:si>
</x:sst>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HYPERLINK("https://www.infonalia.es/adjudicaciones1125/25219415.pdf","www.infonalia.es/adjudicaciones1125/25219415.pdf")</x:f>
        <x:v>www.infonalia.es/adjudicaciones1125/25219415.pdf</x:v>
      </x:c>
      <x:c r="E2" s="8" t="s">
        <x:v>14</x:v>
      </x:c>
      <x:c r="F2" s="6" t="s">
        <x:v>15</x:v>
      </x:c>
      <x:c r="G2" s="6" t="s">
        <x:v>16</x:v>
      </x:c>
      <x:c r="H2" s="6" t="s">
        <x:v>17</x:v>
      </x:c>
      <x:c r="I2" s="6" t="s">
        <x:v>18</x:v>
      </x:c>
      <x:c r="J2" s="9" t="s">
        <x:v>19</x:v>
      </x:c>
      <x:c r="K2" s="9" t="n">
        <x:v>59742.00</x:v>
      </x:c>
    </x:row>
    <x:row r="3">
      <x:c r="A3" s="6" t="s">
        <x:v>20</x:v>
      </x:c>
      <x:c r="B3" s="6" t="s">
        <x:v>21</x:v>
      </x:c>
      <x:c r="C3" s="6" t="s">
        <x:v>13</x:v>
      </x:c>
      <x:c r="D3" s="7" t="str">
        <x:f xml:space="preserve">HYPERLINK("https://www.infonalia.es/adjudicaciones1125/25219433.pdf","www.infonalia.es/adjudicaciones1125/25219433.pdf")</x:f>
        <x:v>www.infonalia.es/adjudicaciones1125/25219433.pdf</x:v>
      </x:c>
      <x:c r="E3" s="8" t="s">
        <x:v>22</x:v>
      </x:c>
      <x:c r="F3" s="6" t="s">
        <x:v>23</x:v>
      </x:c>
      <x:c r="G3" s="6" t="s">
        <x:v>24</x:v>
      </x:c>
      <x:c r="H3" s="6" t="s">
        <x:v>25</x:v>
      </x:c>
      <x:c r="I3" s="6" t="s">
        <x:v>26</x:v>
      </x:c>
      <x:c r="J3" s="9" t="s">
        <x:v>19</x:v>
      </x:c>
      <x:c r="K3" s="9" t="n">
        <x:v>67194.21</x:v>
      </x:c>
    </x:row>
    <x:row r="4">
      <x:c r="A4" s="6" t="s">
        <x:v>11</x:v>
      </x:c>
      <x:c r="B4" s="6" t="s">
        <x:v>27</x:v>
      </x:c>
      <x:c r="C4" s="6" t="s">
        <x:v>13</x:v>
      </x:c>
      <x:c r="D4" s="7" t="str">
        <x:f xml:space="preserve">HYPERLINK("https://www.infonalia.es/adjudicaciones1125/25219485.pdf","www.infonalia.es/adjudicaciones1125/25219485.pdf")</x:f>
        <x:v>www.infonalia.es/adjudicaciones1125/25219485.pdf</x:v>
      </x:c>
      <x:c r="E4" s="8" t="s">
        <x:v>28</x:v>
      </x:c>
      <x:c r="F4" s="6" t="s">
        <x:v>29</x:v>
      </x:c>
      <x:c r="G4" s="6" t="s">
        <x:v>30</x:v>
      </x:c>
      <x:c r="H4" s="6" t="s">
        <x:v>31</x:v>
      </x:c>
      <x:c r="I4" s="6" t="s">
        <x:v>32</x:v>
      </x:c>
      <x:c r="J4" s="9" t="n">
        <x:v>0.00</x:v>
      </x:c>
      <x:c r="K4" s="9" t="n">
        <x:v>249000.00</x:v>
      </x:c>
    </x:row>
    <x:row r="5">
      <x:c r="A5" s="6" t="s">
        <x:v>11</x:v>
      </x:c>
      <x:c r="B5" s="6" t="s">
        <x:v>33</x:v>
      </x:c>
      <x:c r="C5" s="6" t="s">
        <x:v>13</x:v>
      </x:c>
      <x:c r="D5" s="7" t="str">
        <x:f xml:space="preserve">HYPERLINK("https://www.infonalia.es/adjudicaciones1125/25219539.pdf","www.infonalia.es/adjudicaciones1125/25219539.pdf")</x:f>
        <x:v>www.infonalia.es/adjudicaciones1125/25219539.pdf</x:v>
      </x:c>
      <x:c r="E5" s="8" t="s">
        <x:v>34</x:v>
      </x:c>
      <x:c r="F5" s="6" t="s">
        <x:v>35</x:v>
      </x:c>
      <x:c r="G5" s="6" t="s">
        <x:v>36</x:v>
      </x:c>
      <x:c r="H5" s="6" t="s">
        <x:v>37</x:v>
      </x:c>
      <x:c r="I5" s="6" t="s">
        <x:v>18</x:v>
      </x:c>
      <x:c r="J5" s="9" t="s">
        <x:v>19</x:v>
      </x:c>
      <x:c r="K5" s="9" t="n">
        <x:v>26680.00</x:v>
      </x:c>
    </x:row>
    <x:row r="6">
      <x:c r="A6" s="6" t="s">
        <x:v>11</x:v>
      </x:c>
      <x:c r="B6" s="6" t="s">
        <x:v>38</x:v>
      </x:c>
      <x:c r="C6" s="6" t="s">
        <x:v>13</x:v>
      </x:c>
      <x:c r="D6" s="7" t="str">
        <x:f xml:space="preserve">HYPERLINK("https://www.infonalia.es/adjudicaciones1125/25219546.pdf","www.infonalia.es/adjudicaciones1125/25219546.pdf")</x:f>
        <x:v>www.infonalia.es/adjudicaciones1125/25219546.pdf</x:v>
      </x:c>
      <x:c r="E6" s="8" t="s">
        <x:v>39</x:v>
      </x:c>
      <x:c r="F6" s="6" t="s">
        <x:v>40</x:v>
      </x:c>
      <x:c r="G6" s="6" t="s">
        <x:v>41</x:v>
      </x:c>
      <x:c r="H6" s="6" t="s">
        <x:v>42</x:v>
      </x:c>
      <x:c r="I6" s="6" t="s">
        <x:v>43</x:v>
      </x:c>
      <x:c r="J6" s="9" t="n">
        <x:v>38500.00</x:v>
      </x:c>
      <x:c r="K6" s="9" t="n">
        <x:v>45000.00</x:v>
      </x:c>
    </x:row>
    <x:row r="7">
      <x:c r="A7" s="6" t="s">
        <x:v>11</x:v>
      </x:c>
      <x:c r="B7" s="6" t="s">
        <x:v>44</x:v>
      </x:c>
      <x:c r="C7" s="6" t="s">
        <x:v>13</x:v>
      </x:c>
      <x:c r="D7" s="7" t="str">
        <x:f xml:space="preserve">HYPERLINK("https://www.infonalia.es/adjudicaciones1125/25219555.pdf","www.infonalia.es/adjudicaciones1125/25219555.pdf")</x:f>
        <x:v>www.infonalia.es/adjudicaciones1125/25219555.pdf</x:v>
      </x:c>
      <x:c r="E7" s="8" t="s">
        <x:v>45</x:v>
      </x:c>
      <x:c r="F7" s="6" t="s">
        <x:v>46</x:v>
      </x:c>
      <x:c r="G7" s="6" t="s">
        <x:v>47</x:v>
      </x:c>
      <x:c r="H7" s="6" t="s">
        <x:v>48</x:v>
      </x:c>
      <x:c r="I7" s="6" t="s">
        <x:v>49</x:v>
      </x:c>
      <x:c r="J7" s="9" t="s">
        <x:v>19</x:v>
      </x:c>
      <x:c r="K7" s="9" t="n">
        <x:v>109045.05</x:v>
      </x:c>
    </x:row>
    <x:row r="8">
      <x:c r="A8" s="6" t="s">
        <x:v>11</x:v>
      </x:c>
      <x:c r="B8" s="6" t="s">
        <x:v>50</x:v>
      </x:c>
      <x:c r="C8" s="6" t="s">
        <x:v>13</x:v>
      </x:c>
      <x:c r="D8" s="7" t="str">
        <x:f xml:space="preserve">HYPERLINK("https://www.infonalia.es/adjudicaciones1125/25219724.pdf","www.infonalia.es/adjudicaciones1125/25219724.pdf")</x:f>
        <x:v>www.infonalia.es/adjudicaciones1125/25219724.pdf</x:v>
      </x:c>
      <x:c r="E8" s="8" t="s">
        <x:v>51</x:v>
      </x:c>
      <x:c r="F8" s="6" t="s">
        <x:v>52</x:v>
      </x:c>
      <x:c r="G8" s="6" t="s">
        <x:v>53</x:v>
      </x:c>
      <x:c r="H8" s="6" t="s">
        <x:v>54</x:v>
      </x:c>
      <x:c r="I8" s="6" t="s">
        <x:v>32</x:v>
      </x:c>
      <x:c r="J8" s="9" t="n">
        <x:v>51000.00</x:v>
      </x:c>
      <x:c r="K8" s="9" t="n">
        <x:v>56076.00</x:v>
      </x:c>
    </x:row>
    <x:row r="9">
      <x:c r="A9" s="6" t="s">
        <x:v>11</x:v>
      </x:c>
      <x:c r="B9" s="6" t="s">
        <x:v>55</x:v>
      </x:c>
      <x:c r="C9" s="6" t="s">
        <x:v>13</x:v>
      </x:c>
      <x:c r="D9" s="7" t="str">
        <x:f xml:space="preserve">HYPERLINK("https://www.infonalia.es/adjudicaciones1125/25219815.pdf","www.infonalia.es/adjudicaciones1125/25219815.pdf")</x:f>
        <x:v>www.infonalia.es/adjudicaciones1125/25219815.pdf</x:v>
      </x:c>
      <x:c r="E9" s="8" t="s">
        <x:v>56</x:v>
      </x:c>
      <x:c r="F9" s="6" t="s">
        <x:v>57</x:v>
      </x:c>
      <x:c r="G9" s="6" t="s">
        <x:v>58</x:v>
      </x:c>
      <x:c r="H9" s="6" t="s">
        <x:v>59</x:v>
      </x:c>
      <x:c r="I9" s="6" t="s">
        <x:v>49</x:v>
      </x:c>
      <x:c r="J9" s="9" t="n">
        <x:v>18860.00</x:v>
      </x:c>
      <x:c r="K9" s="9" t="n">
        <x:v>103747.27</x:v>
      </x:c>
    </x:row>
    <x:row r="10">
      <x:c r="A10" s="6" t="s">
        <x:v>11</x:v>
      </x:c>
      <x:c r="B10" s="6" t="s">
        <x:v>60</x:v>
      </x:c>
      <x:c r="C10" s="6" t="s">
        <x:v>13</x:v>
      </x:c>
      <x:c r="D10" s="7" t="str">
        <x:f xml:space="preserve">HYPERLINK("https://www.infonalia.es/adjudicaciones1125/25220261.pdf","www.infonalia.es/adjudicaciones1125/25220261.pdf")</x:f>
        <x:v>www.infonalia.es/adjudicaciones1125/25220261.pdf</x:v>
      </x:c>
      <x:c r="E10" s="8" t="s">
        <x:v>61</x:v>
      </x:c>
      <x:c r="F10" s="6" t="s">
        <x:v>62</x:v>
      </x:c>
      <x:c r="G10" s="6" t="s">
        <x:v>63</x:v>
      </x:c>
      <x:c r="H10" s="6" t="s">
        <x:v>64</x:v>
      </x:c>
      <x:c r="I10" s="6" t="s">
        <x:v>49</x:v>
      </x:c>
      <x:c r="J10" s="9" t="s">
        <x:v>19</x:v>
      </x:c>
      <x:c r="K10" s="9" t="n">
        <x:v>24000.00</x:v>
      </x:c>
    </x:row>
    <x:row r="11">
      <x:c r="A11" s="6" t="s">
        <x:v>11</x:v>
      </x:c>
      <x:c r="B11" s="6" t="s">
        <x:v>65</x:v>
      </x:c>
      <x:c r="C11" s="6" t="s">
        <x:v>13</x:v>
      </x:c>
      <x:c r="D11" s="7" t="str">
        <x:f xml:space="preserve">HYPERLINK("https://www.infonalia.es/adjudicaciones1125/25220351.pdf","www.infonalia.es/adjudicaciones1125/25220351.pdf")</x:f>
        <x:v>www.infonalia.es/adjudicaciones1125/25220351.pdf</x:v>
      </x:c>
      <x:c r="E11" s="8" t="s">
        <x:v>66</x:v>
      </x:c>
      <x:c r="F11" s="6" t="s">
        <x:v>67</x:v>
      </x:c>
      <x:c r="G11" s="6" t="s">
        <x:v>68</x:v>
      </x:c>
      <x:c r="H11" s="6" t="s">
        <x:v>69</x:v>
      </x:c>
      <x:c r="I11" s="6" t="s">
        <x:v>70</x:v>
      </x:c>
      <x:c r="J11" s="9" t="n">
        <x:v>250000.00</x:v>
      </x:c>
      <x:c r="K11" s="9" t="n">
        <x:v>250000.00</x:v>
      </x:c>
    </x:row>
    <x:row r="12">
      <x:c r="A12" s="6" t="s">
        <x:v>11</x:v>
      </x:c>
      <x:c r="B12" s="6" t="s">
        <x:v>71</x:v>
      </x:c>
      <x:c r="C12" s="6" t="s">
        <x:v>13</x:v>
      </x:c>
      <x:c r="D12" s="7" t="str">
        <x:f xml:space="preserve">HYPERLINK("https://www.infonalia.es/adjudicaciones1125/25220357.pdf","www.infonalia.es/adjudicaciones1125/25220357.pdf")</x:f>
        <x:v>www.infonalia.es/adjudicaciones1125/25220357.pdf</x:v>
      </x:c>
      <x:c r="E12" s="8" t="s">
        <x:v>72</x:v>
      </x:c>
      <x:c r="F12" s="6" t="s">
        <x:v>73</x:v>
      </x:c>
      <x:c r="G12" s="6" t="s">
        <x:v>74</x:v>
      </x:c>
      <x:c r="H12" s="6" t="s">
        <x:v>75</x:v>
      </x:c>
      <x:c r="I12" s="6" t="s">
        <x:v>26</x:v>
      </x:c>
      <x:c r="J12" s="9" t="s">
        <x:v>19</x:v>
      </x:c>
      <x:c r="K12" s="9" t="n">
        <x:v>182109.04</x:v>
      </x:c>
    </x:row>
    <x:row r="13">
      <x:c r="A13" s="6" t="s">
        <x:v>11</x:v>
      </x:c>
      <x:c r="B13" s="6" t="s">
        <x:v>76</x:v>
      </x:c>
      <x:c r="C13" s="6" t="s">
        <x:v>13</x:v>
      </x:c>
      <x:c r="D13" s="7" t="str">
        <x:f xml:space="preserve">HYPERLINK("https://www.infonalia.es/adjudicaciones1125/25220379.pdf","www.infonalia.es/adjudicaciones1125/25220379.pdf")</x:f>
        <x:v>www.infonalia.es/adjudicaciones1125/25220379.pdf</x:v>
      </x:c>
      <x:c r="E13" s="8" t="s">
        <x:v>77</x:v>
      </x:c>
      <x:c r="F13" s="6" t="s">
        <x:v>78</x:v>
      </x:c>
      <x:c r="G13" s="6" t="s">
        <x:v>79</x:v>
      </x:c>
      <x:c r="H13" s="6" t="s">
        <x:v>80</x:v>
      </x:c>
      <x:c r="I13" s="6" t="s">
        <x:v>26</x:v>
      </x:c>
      <x:c r="J13" s="9" t="n">
        <x:v>6000.00</x:v>
      </x:c>
      <x:c r="K13" s="9" t="n">
        <x:v>6000.00</x:v>
      </x:c>
    </x:row>
    <x:row r="14">
      <x:c r="A14" s="6" t="s">
        <x:v>11</x:v>
      </x:c>
      <x:c r="B14" s="6" t="s">
        <x:v>81</x:v>
      </x:c>
      <x:c r="C14" s="6" t="s">
        <x:v>13</x:v>
      </x:c>
      <x:c r="D14" s="7" t="str">
        <x:f xml:space="preserve">HYPERLINK("https://www.infonalia.es/adjudicaciones1125/25220434.pdf","www.infonalia.es/adjudicaciones1125/25220434.pdf")</x:f>
        <x:v>www.infonalia.es/adjudicaciones1125/25220434.pdf</x:v>
      </x:c>
      <x:c r="E14" s="8" t="s">
        <x:v>82</x:v>
      </x:c>
      <x:c r="F14" s="6" t="s">
        <x:v>83</x:v>
      </x:c>
      <x:c r="G14" s="6" t="s">
        <x:v>84</x:v>
      </x:c>
      <x:c r="H14" s="6" t="s">
        <x:v>85</x:v>
      </x:c>
      <x:c r="I14" s="6" t="s">
        <x:v>32</x:v>
      </x:c>
      <x:c r="J14" s="9" t="n">
        <x:v>7910.28</x:v>
      </x:c>
      <x:c r="K14" s="9" t="n">
        <x:v>7910.28</x:v>
      </x:c>
    </x:row>
    <x:row r="15">
      <x:c r="A15" s="6" t="s">
        <x:v>11</x:v>
      </x:c>
      <x:c r="B15" s="6" t="s">
        <x:v>86</x:v>
      </x:c>
      <x:c r="C15" s="6" t="s">
        <x:v>13</x:v>
      </x:c>
      <x:c r="D15" s="7" t="str">
        <x:f xml:space="preserve">HYPERLINK("https://www.infonalia.es/adjudicaciones1125/25220463.pdf","www.infonalia.es/adjudicaciones1125/25220463.pdf")</x:f>
        <x:v>www.infonalia.es/adjudicaciones1125/25220463.pdf</x:v>
      </x:c>
      <x:c r="E15" s="8" t="s">
        <x:v>87</x:v>
      </x:c>
      <x:c r="F15" s="6" t="s">
        <x:v>83</x:v>
      </x:c>
      <x:c r="G15" s="6" t="s">
        <x:v>88</x:v>
      </x:c>
      <x:c r="H15" s="6" t="s">
        <x:v>89</x:v>
      </x:c>
      <x:c r="I15" s="6" t="s">
        <x:v>32</x:v>
      </x:c>
      <x:c r="J15" s="9" t="n">
        <x:v>2000.00</x:v>
      </x:c>
      <x:c r="K15" s="9" t="n">
        <x:v>2000.00</x:v>
      </x:c>
    </x:row>
    <x:row r="16">
      <x:c r="A16" s="6" t="s">
        <x:v>11</x:v>
      </x:c>
      <x:c r="B16" s="6" t="s">
        <x:v>90</x:v>
      </x:c>
      <x:c r="C16" s="6" t="s">
        <x:v>13</x:v>
      </x:c>
      <x:c r="D16" s="7" t="str">
        <x:f xml:space="preserve">HYPERLINK("https://www.infonalia.es/adjudicaciones1125/25220464.pdf","www.infonalia.es/adjudicaciones1125/25220464.pdf")</x:f>
        <x:v>www.infonalia.es/adjudicaciones1125/25220464.pdf</x:v>
      </x:c>
      <x:c r="E16" s="8" t="s">
        <x:v>91</x:v>
      </x:c>
      <x:c r="F16" s="6" t="s">
        <x:v>83</x:v>
      </x:c>
      <x:c r="G16" s="6" t="s">
        <x:v>92</x:v>
      </x:c>
      <x:c r="H16" s="6" t="s">
        <x:v>93</x:v>
      </x:c>
      <x:c r="I16" s="6" t="s">
        <x:v>32</x:v>
      </x:c>
      <x:c r="J16" s="9" t="n">
        <x:v>14000.00</x:v>
      </x:c>
      <x:c r="K16" s="9" t="n">
        <x:v>14000.00</x:v>
      </x:c>
    </x:row>
    <x:row r="17">
      <x:c r="A17" s="6" t="s">
        <x:v>11</x:v>
      </x:c>
      <x:c r="B17" s="6" t="s">
        <x:v>94</x:v>
      </x:c>
      <x:c r="C17" s="6" t="s">
        <x:v>13</x:v>
      </x:c>
      <x:c r="D17" s="7" t="str">
        <x:f xml:space="preserve">HYPERLINK("https://www.infonalia.es/adjudicaciones1125/25220579.pdf","www.infonalia.es/adjudicaciones1125/25220579.pdf")</x:f>
        <x:v>www.infonalia.es/adjudicaciones1125/25220579.pdf</x:v>
      </x:c>
      <x:c r="E17" s="8" t="s">
        <x:v>95</x:v>
      </x:c>
      <x:c r="F17" s="6" t="s">
        <x:v>96</x:v>
      </x:c>
      <x:c r="G17" s="6" t="s">
        <x:v>97</x:v>
      </x:c>
      <x:c r="H17" s="6" t="s">
        <x:v>98</x:v>
      </x:c>
      <x:c r="I17" s="6" t="s">
        <x:v>32</x:v>
      </x:c>
      <x:c r="J17" s="9" t="n">
        <x:v>26462.00</x:v>
      </x:c>
      <x:c r="K17" s="9" t="n">
        <x:v>30044.00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