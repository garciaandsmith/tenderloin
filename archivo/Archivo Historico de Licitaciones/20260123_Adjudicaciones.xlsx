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loext="http://schemas.libreoffice.org/" xmlns:r="http://schemas.openxmlformats.org/officeDocument/2006/relationships" xmlns:x="http://schemas.openxmlformats.org/spreadsheetml/2006/main">
  <x:fileVersion appName="xl" lastEdited="4" lowestEdited="4" rupBuild="4506"/>
  <x:workbookPr/>
  <x:bookViews>
    <x:workbookView xWindow="0" yWindow="0" windowWidth="16380" windowHeight="8190" tabRatio="500"/>
  </x:bookViews>
  <x:sheets>
    <x:sheet name="Adjudicaciones" sheetId="1" r:id="rId1"/>
  </x:sheets>
  <x:definedNames>
    <x:definedName name="_xlnm._FilterDatabase" localSheetId="0" hidden="1">Adjudicaciones!$A$1:$K$1</x:definedName>
  </x:definedNames>
  <x:calcPr calcId="125725" iterateDelta="1E-4"/>
  <x:extLst>
    <x:ext xmlns:loext="http://schemas.libreoffice.org/" uri="{7626C862-2A13-11E5-B345-FEFF819CDC9F}">
      <loext:extCalcPr stringRefSyntax="CalcA1ExcelA1"/>
    </x:ext>
  </x:extLst>
</x:workbook>
</file>

<file path=xl/sharedStrings.xml><?xml version="1.0" encoding="utf-8"?>
<x:sst xmlns:x="http://schemas.openxmlformats.org/spreadsheetml/2006/main" count="11" uniqueCount="11">
  <x:si>
    <x:t>Tipo Adjudicacion</x:t>
  </x:si>
  <x:si>
    <x:t>Contratista</x:t>
  </x:si>
  <x:si>
    <x:t>Fecha</x:t>
  </x:si>
  <x:si>
    <x:t>Pdf Adjudicacion</x:t>
  </x:si>
  <x:si>
    <x:t>Referencia</x:t>
  </x:si>
  <x:si>
    <x:t>Organismo Convocante</x:t>
  </x:si>
  <x:si>
    <x:t>Objeto</x:t>
  </x:si>
  <x:si>
    <x:t>Nº Expediente</x:t>
  </x:si>
  <x:si>
    <x:t>Lugar Ejecucion</x:t>
  </x:si>
  <x:si>
    <x:t>Importe Adjudicacion</x:t>
  </x:si>
  <x:si>
    <x:t>Presupuesto Licitacion</x:t>
  </x:si>
  <x:si>
    <x:t>Adjudicado</x:t>
  </x:si>
  <x:si>
    <x:t>EMPATH DESIGN FACTORY</x:t>
  </x:si>
  <x:si>
    <x:t>23/01/2026 0:00:00</x:t>
  </x:si>
  <x:si>
    <x:t>26009766</x:t>
  </x:si>
  <x:si>
    <x:t>RECTORADO DE LA UNIVERSIDAD NACIONAL DE EDUCACIÓN A DISTANCIA</x:t>
  </x:si>
  <x:si>
    <x:t>Servicio para la realización de un estudio sobre el análisis de la reputación de marca en modelos de lenguaje de sistemas conversacionales.</x:t>
  </x:si>
  <x:si>
    <x:t>AM 42/2025</x:t>
  </x:si>
  <x:si>
    <x:t>Madrid</x:t>
  </x:si>
  <x:si>
    <x:t>INSTITUCIÓN FERIAL DE MADRID (IFEMA MADRID)</x:t>
  </x:si>
  <x:si>
    <x:t>26009929</x:t>
  </x:si>
  <x:si>
    <x:t>JUNTA DE GOBIERNO DEL AYUNTAMIENTO DE MÁLAGA</x:t>
  </x:si>
  <x:si>
    <x:t>Arrendamiento patrimonial de los espacios de la Institución Ferial de Madrid (IFEMA) con motivo de la instalación del stand del ayuntamiento de Málaga en la Feria Internacional de Turismo 2026 (FITUR)</x:t>
  </x:si>
  <x:si>
    <x:t>151/25</x:t>
  </x:si>
  <x:si>
    <x:t>INSTITUCIÓN FERIAL DE MADRID</x:t>
  </x:si>
  <x:si>
    <x:t>26009948</x:t>
  </x:si>
  <x:si>
    <x:t>CONCEJAL DE CONTRATACIÓN DEL AYUNTAMIENTO DE TORREJÓN DE ARDOZ</x:t>
  </x:si>
  <x:si>
    <x:t>Contratación de un espacio, stand fitur 2026 de 30 m2 con servicio de energía eléctrica, seguro multiferia y responsabilidad civil y plan expositor conecta, para exponer en la feria fitur</x:t>
  </x:si>
  <x:si>
    <x:t>PNSP 25/2025</x:t>
  </x:si>
  <x:si>
    <x:t>FUNDACIÓ PERE TARRÉS</x:t>
  </x:si>
  <x:si>
    <x:t>26010080</x:t>
  </x:si>
  <x:si>
    <x:t>AYUNTAMIENTO DE BARCELONA</x:t>
  </x:si>
  <x:si>
    <x:t>Servicio de dinamización y promoción de la actividad y funcionamiento del Consejo Municipal de Bienestar Social (CMBS) (lote 1) y de la producción de los premios Montserrat Roig de periodismo y comunicación social de Barcelona (Lote 2).</x:t>
  </x:si>
  <x:si>
    <x:t>001_25000849</x:t>
  </x:si>
  <x:si>
    <x:t>Barcelona</x:t>
  </x:si>
  <x:si>
    <x:t>Ver detalle de la adjudicación</x:t>
  </x:si>
  <x:si>
    <x:t>COL·LEGI DE GRADUATS SOCIALS DE BARCELONA</x:t>
  </x:si>
  <x:si>
    <x:t>26010132</x:t>
  </x:si>
  <x:si>
    <x:t>MUTUA UNIVERSAL MUGENAT, MUTUA COLABORADORA CON LA SEGURIDAD SOCIAL Nº 10</x:t>
  </x:si>
  <x:si>
    <x:t>Servicio de boletín diario con la recopilación de las novedades y modificaciones legislativas publicadas en los diferentes Boletines Oficiales, a nivel nacional, autonómico y provincial, así como boletín semanal con noticias de actualidad de interés para el colectivo de Asesores Laborales.</x:t>
  </x:si>
  <x:si>
    <x:t>026-2025-0410</x:t>
  </x:si>
  <x:si>
    <x:t>Ver pliegos</x:t>
  </x:si>
  <x:si>
    <x:t>XAVIER BASORA ROCA</x:t>
  </x:si>
  <x:si>
    <x:t>26010163</x:t>
  </x:si>
  <x:si>
    <x:t>FORESTAL CATALANA, SA</x:t>
  </x:si>
  <x:si>
    <x:t>El objeto de este contrato es la contratación del servicio de dinamización de los grupos de trabajo vinculados a los grandes carnívoros y los Perros Protección Rebaños (GPR), para la coordinación interadministrativa para la gestión de los grandes carnívoros y otras acciones de comunicación sobre grandes carnívoros de Cataluña durante el año 2026</x:t>
  </x:si>
  <x:si>
    <x:t>GA42-25</x:t>
  </x:si>
  <x:si>
    <x:t>Catalunya</x:t>
  </x:si>
  <x:si>
    <x:t>TOT TURISME PROMOTOR RECEPTOR I AGENT TURISTIC DEL PRE PIRINEU, S.L</x:t>
  </x:si>
  <x:si>
    <x:t>26010172</x:t>
  </x:si>
  <x:si>
    <x:t>PARQUE GEOLÓGICO Y MINERO DE LA CATALUNYA CENTRAL</x:t>
  </x:si>
  <x:si>
    <x:t>El presente contrato tiene por objeto la prestación del servicio de gestión de la contratación de las acciones comerciales para dinamizar el centro de visitados del geoparque</x:t>
  </x:si>
  <x:si>
    <x:t>2025_31</x:t>
  </x:si>
</x:sst>
</file>

<file path=xl/styles.xml><?xml version="1.0" encoding="utf-8"?>
<styleSheet xmlns="http://schemas.openxmlformats.org/spreadsheetml/2006/main">
  <numFmts count="1">
    <numFmt numFmtId="164" formatCode="#,##0.00&quot; €&quot;;[Red]\-#,##0.00&quot; €&quot;"/>
  </numFmts>
  <fonts count="5">
    <font>
      <sz val="11"/>
      <name val="Calibri"/>
      <charset val="1"/>
    </font>
    <font>
      <sz val="10"/>
      <name val="Calibri"/>
      <family val="2"/>
      <charset val="1"/>
    </font>
    <font>
      <b/>
      <sz val="10"/>
      <color theme="0"/>
      <name val="Calibri"/>
      <family val="2"/>
      <charset val="1"/>
    </font>
    <font>
      <u/>
      <sz val="11"/>
      <color theme="10"/>
      <name val="Calibri"/>
      <family val="2"/>
      <charset val="1"/>
    </font>
    <font>
      <u/>
      <sz val="10"/>
      <color theme="10"/>
      <name val="Calibri"/>
      <family val="2"/>
      <charset val="1"/>
    </font>
  </fonts>
  <fills count="3">
    <fill>
      <patternFill patternType="none"/>
    </fill>
    <fill>
      <patternFill patternType="gray125"/>
    </fill>
    <fill>
      <patternFill patternType="solid">
        <fgColor theme="3"/>
        <bgColor rgb="FF003366"/>
      </patternFill>
    </fill>
  </fills>
  <borders count="2">
    <border>
      <left/>
      <right/>
      <top/>
      <bottom/>
      <diagonal/>
    </border>
    <border>
      <left/>
      <right/>
      <top/>
      <bottom style="thin">
        <color auto="1"/>
      </bottom>
      <diagonal/>
    </border>
  </borders>
  <cellStyleXfs count="2">
    <xf numFmtId="0" fontId="0" fillId="0" borderId="0"/>
    <xf numFmtId="0" fontId="3" fillId="0" borderId="0" applyBorder="0" applyProtection="0"/>
  </cellStyleXfs>
  <cellXfs count="10">
    <xf numFmtId="0" fontId="0" fillId="0" borderId="0" xfId="0"/>
    <xf numFmtId="0" fontId="1" fillId="0" borderId="0" xfId="0" applyFont="1" applyAlignment="1">
      <alignment vertical="center" wrapText="1"/>
    </xf>
    <xf numFmtId="0" fontId="1" fillId="0" borderId="0" xfId="0" applyFont="1" applyAlignment="1">
      <alignment horizontal="center" vertical="center" wrapText="1"/>
    </xf>
    <xf numFmtId="0" fontId="2" fillId="2" borderId="0" xfId="0" applyFont="1" applyFill="1" applyAlignment="1">
      <alignment vertical="center"/>
    </xf>
    <xf numFmtId="0" fontId="2" fillId="2" borderId="0" xfId="0" applyFont="1" applyFill="1" applyAlignment="1">
      <alignment horizontal="center" vertical="center"/>
    </xf>
    <xf numFmtId="0" fontId="1" fillId="0" borderId="0" xfId="0" applyFont="1" applyAlignment="1">
      <alignment vertical="center"/>
    </xf>
    <xf numFmtId="0" fontId="1" fillId="0" borderId="1" xfId="0" applyFont="1" applyBorder="1" applyAlignment="1">
      <alignment vertical="center" wrapText="1"/>
    </xf>
    <xf numFmtId="0" fontId="4" fillId="0" borderId="1" xfId="1" applyFont="1" applyBorder="1" applyAlignment="1" applyProtection="1">
      <alignment vertical="center" wrapText="1"/>
    </xf>
    <xf numFmtId="0" fontId="1" fillId="0" borderId="1" xfId="0" applyFont="1" applyBorder="1" applyAlignment="1">
      <alignment horizontal="center" vertical="center" wrapText="1"/>
    </xf>
    <xf numFmtId="164" fontId="1" fillId="0" borderId="1" xfId="0" applyNumberFormat="1" applyFont="1" applyBorder="1" applyAlignment="1">
      <alignment vertical="center" wrapText="1"/>
    </xf>
  </cellXfs>
  <cellStyles count="2">
    <cellStyle name="Hipervínculo" xfId="1" builtinId="8"/>
    <cellStyle name="Normal"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333333"/>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dimension ref="A1:K2"/>
  <x:sheetViews>
    <x:sheetView showGridLines="0" tabSelected="1" zoomScaleNormal="100" workbookViewId="0">
      <x:selection sqref="A1:XFD1"/>
    </x:sheetView>
  </x:sheetViews>
  <x:sheetFormatPr baseColWidth="10" defaultColWidth="16" defaultRowHeight="12.75"/>
  <x:cols>
    <x:col min="1" max="1" width="14.42578125" style="1" customWidth="1"/>
    <x:col min="2" max="2" width="19.85546875" style="1" customWidth="1"/>
    <x:col min="3" max="3" width="11.5703125" style="1" hidden="1" customWidth="1"/>
    <x:col min="4" max="4" width="20.140625" style="1" customWidth="1"/>
    <x:col min="5" max="5" width="11.140625" style="2" customWidth="1"/>
    <x:col min="6" max="6" width="26.7109375" style="1" customWidth="1"/>
    <x:col min="7" max="7" width="47.28515625" style="1" customWidth="1"/>
    <x:col min="8" max="8" width="15.7109375" style="1" customWidth="1"/>
    <x:col min="9" max="9" width="13.42578125" style="1" customWidth="1"/>
    <x:col min="10" max="10" width="17.28515625" style="1" customWidth="1"/>
    <x:col min="11" max="11" width="18" style="1" customWidth="1"/>
    <x:col min="12" max="16384" width="16" style="1"/>
  </x:cols>
  <x:sheetData>
    <x:row r="1" spans="1:11" s="5" customFormat="1">
      <x:c r="A1" s="3" t="s">
        <x:v>0</x:v>
      </x:c>
      <x:c r="B1" s="3" t="s">
        <x:v>1</x:v>
      </x:c>
      <x:c r="C1" s="3" t="s">
        <x:v>2</x:v>
      </x:c>
      <x:c r="D1" s="3" t="s">
        <x:v>3</x:v>
      </x:c>
      <x:c r="E1" s="4" t="s">
        <x:v>4</x:v>
      </x:c>
      <x:c r="F1" s="3" t="s">
        <x:v>5</x:v>
      </x:c>
      <x:c r="G1" s="3" t="s">
        <x:v>6</x:v>
      </x:c>
      <x:c r="H1" s="3" t="s">
        <x:v>7</x:v>
      </x:c>
      <x:c r="I1" s="3" t="s">
        <x:v>8</x:v>
      </x:c>
      <x:c r="J1" s="3" t="s">
        <x:v>9</x:v>
      </x:c>
      <x:c r="K1" s="3" t="s">
        <x:v>10</x:v>
      </x:c>
    </x:row>
    <x:row r="2" spans="1:11">
      <x:c r="A2" s="6" t="s">
        <x:v>11</x:v>
      </x:c>
      <x:c r="B2" s="6" t="s">
        <x:v>12</x:v>
      </x:c>
      <x:c r="C2" s="6" t="s">
        <x:v>13</x:v>
      </x:c>
      <x:c r="D2" s="7" t="str">
        <x:f xml:space="preserve">HYPERLINK("https://www.infonalia.es/adjudicaciones0126/26009766.pdf","www.infonalia.es/adjudicaciones0126/26009766.pdf")</x:f>
        <x:v>www.infonalia.es/adjudicaciones0126/26009766.pdf</x:v>
      </x:c>
      <x:c r="E2" s="8" t="s">
        <x:v>14</x:v>
      </x:c>
      <x:c r="F2" s="6" t="s">
        <x:v>15</x:v>
      </x:c>
      <x:c r="G2" s="6" t="s">
        <x:v>16</x:v>
      </x:c>
      <x:c r="H2" s="6" t="s">
        <x:v>17</x:v>
      </x:c>
      <x:c r="I2" s="6" t="s">
        <x:v>18</x:v>
      </x:c>
      <x:c r="J2" s="9" t="n">
        <x:v>38563.48</x:v>
      </x:c>
      <x:c r="K2" s="9" t="n">
        <x:v>74116.00</x:v>
      </x:c>
    </x:row>
    <x:row r="3">
      <x:c r="A3" s="6" t="s">
        <x:v>11</x:v>
      </x:c>
      <x:c r="B3" s="6" t="s">
        <x:v>19</x:v>
      </x:c>
      <x:c r="C3" s="6" t="s">
        <x:v>13</x:v>
      </x:c>
      <x:c r="D3" s="7" t="str">
        <x:f xml:space="preserve">HYPERLINK("https://www.infonalia.es/adjudicaciones0126/26009929.pdf","www.infonalia.es/adjudicaciones0126/26009929.pdf")</x:f>
        <x:v>www.infonalia.es/adjudicaciones0126/26009929.pdf</x:v>
      </x:c>
      <x:c r="E3" s="8" t="s">
        <x:v>20</x:v>
      </x:c>
      <x:c r="F3" s="6" t="s">
        <x:v>21</x:v>
      </x:c>
      <x:c r="G3" s="6" t="s">
        <x:v>22</x:v>
      </x:c>
      <x:c r="H3" s="6" t="s">
        <x:v>23</x:v>
      </x:c>
      <x:c r="I3" s="6" t="s">
        <x:v>18</x:v>
      </x:c>
      <x:c r="J3" s="9" t="n">
        <x:v>62863.29</x:v>
      </x:c>
      <x:c r="K3" s="9" t="n">
        <x:v>62863.29</x:v>
      </x:c>
    </x:row>
    <x:row r="4">
      <x:c r="A4" s="6" t="s">
        <x:v>11</x:v>
      </x:c>
      <x:c r="B4" s="6" t="s">
        <x:v>24</x:v>
      </x:c>
      <x:c r="C4" s="6" t="s">
        <x:v>13</x:v>
      </x:c>
      <x:c r="D4" s="7" t="str">
        <x:f xml:space="preserve">HYPERLINK("https://www.infonalia.es/adjudicaciones0126/26009948.pdf","www.infonalia.es/adjudicaciones0126/26009948.pdf")</x:f>
        <x:v>www.infonalia.es/adjudicaciones0126/26009948.pdf</x:v>
      </x:c>
      <x:c r="E4" s="8" t="s">
        <x:v>25</x:v>
      </x:c>
      <x:c r="F4" s="6" t="s">
        <x:v>26</x:v>
      </x:c>
      <x:c r="G4" s="6" t="s">
        <x:v>27</x:v>
      </x:c>
      <x:c r="H4" s="6" t="s">
        <x:v>28</x:v>
      </x:c>
      <x:c r="I4" s="6" t="s">
        <x:v>18</x:v>
      </x:c>
      <x:c r="J4" s="9" t="n">
        <x:v>6102.30</x:v>
      </x:c>
      <x:c r="K4" s="9" t="n">
        <x:v>6102.30</x:v>
      </x:c>
    </x:row>
    <x:row r="5">
      <x:c r="A5" s="6" t="s">
        <x:v>11</x:v>
      </x:c>
      <x:c r="B5" s="6" t="s">
        <x:v>29</x:v>
      </x:c>
      <x:c r="C5" s="6" t="s">
        <x:v>13</x:v>
      </x:c>
      <x:c r="D5" s="7" t="str">
        <x:f xml:space="preserve">HYPERLINK("https://www.infonalia.es/adjudicaciones0126/26010080.pdf","www.infonalia.es/adjudicaciones0126/26010080.pdf")</x:f>
        <x:v>www.infonalia.es/adjudicaciones0126/26010080.pdf</x:v>
      </x:c>
      <x:c r="E5" s="8" t="s">
        <x:v>30</x:v>
      </x:c>
      <x:c r="F5" s="6" t="s">
        <x:v>31</x:v>
      </x:c>
      <x:c r="G5" s="6" t="s">
        <x:v>32</x:v>
      </x:c>
      <x:c r="H5" s="6" t="s">
        <x:v>33</x:v>
      </x:c>
      <x:c r="I5" s="6" t="s">
        <x:v>34</x:v>
      </x:c>
      <x:c r="J5" s="9" t="s">
        <x:v>35</x:v>
      </x:c>
      <x:c r="K5" s="9" t="n">
        <x:v>149573.30</x:v>
      </x:c>
    </x:row>
    <x:row r="6">
      <x:c r="A6" s="6" t="s">
        <x:v>11</x:v>
      </x:c>
      <x:c r="B6" s="6" t="s">
        <x:v>36</x:v>
      </x:c>
      <x:c r="C6" s="6" t="s">
        <x:v>13</x:v>
      </x:c>
      <x:c r="D6" s="7" t="str">
        <x:f xml:space="preserve">HYPERLINK("https://www.infonalia.es/adjudicaciones0126/26010132.pdf","www.infonalia.es/adjudicaciones0126/26010132.pdf")</x:f>
        <x:v>www.infonalia.es/adjudicaciones0126/26010132.pdf</x:v>
      </x:c>
      <x:c r="E6" s="8" t="s">
        <x:v>37</x:v>
      </x:c>
      <x:c r="F6" s="6" t="s">
        <x:v>38</x:v>
      </x:c>
      <x:c r="G6" s="6" t="s">
        <x:v>39</x:v>
      </x:c>
      <x:c r="H6" s="6" t="s">
        <x:v>40</x:v>
      </x:c>
      <x:c r="I6" s="6" t="s">
        <x:v>41</x:v>
      </x:c>
      <x:c r="J6" s="9" t="n">
        <x:v>12700.00</x:v>
      </x:c>
      <x:c r="K6" s="9" t="n">
        <x:v>12700.00</x:v>
      </x:c>
    </x:row>
    <x:row r="7">
      <x:c r="A7" s="6" t="s">
        <x:v>11</x:v>
      </x:c>
      <x:c r="B7" s="6" t="s">
        <x:v>42</x:v>
      </x:c>
      <x:c r="C7" s="6" t="s">
        <x:v>13</x:v>
      </x:c>
      <x:c r="D7" s="7" t="str">
        <x:f xml:space="preserve">HYPERLINK("https://www.infonalia.es/adjudicaciones0126/26010163.pdf","www.infonalia.es/adjudicaciones0126/26010163.pdf")</x:f>
        <x:v>www.infonalia.es/adjudicaciones0126/26010163.pdf</x:v>
      </x:c>
      <x:c r="E7" s="8" t="s">
        <x:v>43</x:v>
      </x:c>
      <x:c r="F7" s="6" t="s">
        <x:v>44</x:v>
      </x:c>
      <x:c r="G7" s="6" t="s">
        <x:v>45</x:v>
      </x:c>
      <x:c r="H7" s="6" t="s">
        <x:v>46</x:v>
      </x:c>
      <x:c r="I7" s="6" t="s">
        <x:v>47</x:v>
      </x:c>
      <x:c r="J7" s="9" t="n">
        <x:v>19100.00</x:v>
      </x:c>
      <x:c r="K7" s="9" t="n">
        <x:v>23525.00</x:v>
      </x:c>
    </x:row>
    <x:row r="8">
      <x:c r="A8" s="6" t="s">
        <x:v>11</x:v>
      </x:c>
      <x:c r="B8" s="6" t="s">
        <x:v>48</x:v>
      </x:c>
      <x:c r="C8" s="6" t="s">
        <x:v>13</x:v>
      </x:c>
      <x:c r="D8" s="7" t="str">
        <x:f xml:space="preserve">HYPERLINK("https://www.infonalia.es/adjudicaciones0126/26010172.pdf","www.infonalia.es/adjudicaciones0126/26010172.pdf")</x:f>
        <x:v>www.infonalia.es/adjudicaciones0126/26010172.pdf</x:v>
      </x:c>
      <x:c r="E8" s="8" t="s">
        <x:v>49</x:v>
      </x:c>
      <x:c r="F8" s="6" t="s">
        <x:v>50</x:v>
      </x:c>
      <x:c r="G8" s="6" t="s">
        <x:v>51</x:v>
      </x:c>
      <x:c r="H8" s="6" t="s">
        <x:v>52</x:v>
      </x:c>
      <x:c r="I8" s="6" t="s">
        <x:v>34</x:v>
      </x:c>
      <x:c r="J8" s="9" t="n">
        <x:v>19281.58</x:v>
      </x:c>
      <x:c r="K8" s="9" t="n">
        <x:v>19281.58</x:v>
      </x:c>
    </x:row>
  </x:sheetData>
  <x:autoFilter ref="A1:K1"/>
  <x:pageMargins left="0.7" right="0.7" top="0.75" bottom="0.75" header="0.511811023622047" footer="0.511811023622047"/>
  <x:pageSetup paperSize="9" orientation="portrait" horizontalDpi="300" verticalDpi="300"/>
</x: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Adjudicaciones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direc</dc:creator>
  <dc:description/>
  <cp:lastModifiedBy>.</cp:lastModifiedBy>
  <cp:revision>1</cp:revision>
  <dcterms:created xsi:type="dcterms:W3CDTF">2024-12-04T08:58:32Z</dcterms:created>
  <dcterms:modified xsi:type="dcterms:W3CDTF">2025-01-20T07:55:24Z</dcterms:modified>
  <dc:language>es-ES</dc:language>
</cp:coreProperties>
</file>