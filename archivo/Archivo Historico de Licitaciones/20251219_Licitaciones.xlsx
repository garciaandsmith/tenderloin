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<x:sst xmlns:x="http://schemas.openxmlformats.org/spreadsheetml/2006/main" count="17" uniqueCount="17">
  <x:si>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</x:si>
  <x:si>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</x:si>
  <x:si>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</x:si>
  <x:si>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</x:si>
  <x:si>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</x:si>
  <x:si>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</x:si>
  <x:si>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</x:si>
  <x:si>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</x:si>
  <x:si>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</x:si>
  <x:si>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</x:si>
  <x:si>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</x:si>
  <x:si>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</x:si>
  <x:si>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</x:si>
  <x:si>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</x:si>
  <x:si>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</x:si>
  <x:si>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</x:si>
  <x:si>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</x:si>
  <x:si>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</x:si>
  <x:si>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</x:si>
  <x:si>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15/01/2026</x:t>
  </x:si>
  <x:si>
    <x:t>2025179689</x:t>
  </x:si>
  <x:si>
    <x:t>19/12/2025</x:t>
  </x:si>
  <x:si>
    <x:t>AGÈNCIA DE RESIDUS DE CATALUNYA</x:t>
  </x:si>
  <x:si>
    <x:t>Contratación del servicio de diseño y organización de eventos de la Semana Internacional del Compuesto. Lote 1 Organización de dos eventos notorios en Cataluña. Lote 2 Producción y reparto de kits del compost: Organización de puntos informativos y de autoservicio del compost.</x:t>
  </x:si>
  <x:si>
    <x:t>ARC-2026-89</x:t>
  </x:si>
  <x:si>
    <x:t>Importe sin impuestos</x:t>
  </x:si>
  <x:si>
    <x:t/>
  </x:si>
  <x:si>
    <x:t>-----</x:t>
  </x:si>
  <x:si>
    <x:t>18/12/2025</x:t>
  </x:si>
  <x:si>
    <x:t/>
  </x:si>
  <x:si>
    <x:t>Catalunya</x:t>
  </x:si>
  <x:si>
    <x:t>07/01/2026</x:t>
  </x:si>
  <x:si>
    <x:t>2025179697</x:t>
  </x:si>
  <x:si>
    <x:t>AYUNTAMIENTO DE BARCELONA</x:t>
  </x:si>
  <x:si>
    <x:t>Servicios de dirección y coordinación de contenidos y dirección y producción técnica para la realización de actos y eventos que tienen como objetivo promocionar la agenda económica de Barcelona, durante el primer semestre de 2026, en los espacios del Ayuntamiento y en el resto de espacios donde se lleven a cabo, que estarán circunscritos al ámbito territorial de Barcelona y su área metropolitana, con medidas</x:t>
  </x:si>
  <x:si>
    <x:t>001_25003104</x:t>
  </x:si>
  <x:si>
    <x:t/>
  </x:si>
  <x:si>
    <x:t>Barcelona</x:t>
  </x:si>
  <x:si>
    <x:t>19/01/2026</x:t>
  </x:si>
  <x:si>
    <x:t>2025179760</x:t>
  </x:si>
  <x:si>
    <x:t>JUNTA DE GOBIERNO DEL AYUNTAMIENTO DE GIJÓN (ASTURIAS)</x:t>
  </x:si>
  <x:si>
    <x:t>Concurso para la selección de proyectos artísticos para la realización de dos esculturas urbanas en la ciudad de Gijón/Xixón. Lote 1: presentación de proyectos para la escultura alusiva a la figura de Arturo Fernández. Lote 2: presentación de proyectos para la escultura alusiva a una mujer pescadera de Cimadevilla.</x:t>
  </x:si>
  <x:si>
    <x:t>172569Y/2025</x:t>
  </x:si>
  <x:si>
    <x:t>Valor estimado</x:t>
  </x:si>
  <x:si>
    <x:t/>
  </x:si>
  <x:si>
    <x:t>Asturias</x:t>
  </x:si>
  <x:si>
    <x:t>2025179780</x:t>
  </x:si>
  <x:si>
    <x:t>MINISTERIO DE ECONOMÍA, COMERCIO Y EMPRESA. CONSEJO DE ADMINISTRACIÓN DE ICEX ESPAÑA EXPORTACIÓN E INVERSIONES, E.P.E</x:t>
  </x:si>
  <x:si>
    <x:t>Consultoría para la conceptualización de una estrategia para reposicionar la marca país España. Diseño de las creatividades y adaptación de las mismas a diferentes mercados y sectores. Y ejecución de las campañas de comunicación/marketing/PR que se determinen en la estrategia para al menos seis mercados, siendo uno de ellos obligatoriamente EE.UU</x:t>
  </x:si>
  <x:si>
    <x:t>183/2025</x:t>
  </x:si>
  <x:si>
    <x:t/>
  </x:si>
  <x:si>
    <x:t>Madrid</x:t>
  </x:si>
  <x:si>
    <x:t>14/01/2026</x:t>
  </x:si>
  <x:si>
    <x:t>2025179783</x:t>
  </x:si>
  <x:si>
    <x:t>ENUSA INDUSTRIAS AVANZADAS S.A., S.M.E.</x:t>
  </x:si>
  <x:si>
    <x:t>Servicios de diseño, maquetación, elaboración de vídeo y traducción de la Memoria Anual del año 2025 del Grupo Enusa</x:t>
  </x:si>
  <x:si>
    <x:t>PLI-02027</x:t>
  </x:si>
  <x:si>
    <x:t/>
  </x:si>
  <x:si>
    <x:t>09/01/2026</x:t>
  </x:si>
  <x:si>
    <x:t>2025179816</x:t>
  </x:si>
  <x:si>
    <x:t>MINISTERIO DE HACIENDA. PRESIDENCIA EJECUTIVA DE LA AGENCIA E.F.E. S.A.U., S.M.E.</x:t>
  </x:si>
  <x:si>
    <x:t>Servicio de cobertura de eventos. LOTE I: Realización Audiovisual de un Programa en Directo en la Sede Central de la Agencia EFE. LOTE II: Realización Audiovisual de un Programa en Directo a Tres Cámaras en Diferentes Localizaciones de la Comunidad de Madrid.</x:t>
  </x:si>
  <x:si>
    <x:t>S-25100152</x:t>
  </x:si>
  <x:si>
    <x:t/>
  </x:si>
  <x:si>
    <x:t>2025179874</x:t>
  </x:si>
  <x:si>
    <x:t>AYUNTAMIENTO DE VILADECANS (BARCELONA)</x:t>
  </x:si>
  <x:si>
    <x:t>Prestación de un servicio de asistencia técnica integral para la dinamización de la Oficina de Gestión Integral de Proyectos Tractores (OGIPT), que junto con el resto de las oficinas de asistencia técnica, ofrece soporte a los órganos de Gobierno en el despliegue del plan de trabajo de la Red Innpulso</x:t>
  </x:si>
  <x:si>
    <x:t>05/2025</x:t>
  </x:si>
  <x:si>
    <x:t/>
  </x:si>
  <x:si>
    <x:t>02/01/2026</x:t>
  </x:si>
  <x:si>
    <x:t>2025179879</x:t>
  </x:si>
  <x:si>
    <x:t>NEÀPOLIS</x:t>
  </x:si>
  <x:si>
    <x:t>Creación y difusión de contenidos digitales de las webs y las redes sociales del EPEL Neàpolis</x:t>
  </x:si>
  <x:si>
    <x:t>002/2025</x:t>
  </x:si>
  <x:si>
    <x:t/>
  </x:si>
  <x:si>
    <x:t>05/01/2026</x:t>
  </x:si>
  <x:si>
    <x:t>2025179886</x:t>
  </x:si>
  <x:si>
    <x:t>INSTITUTO DE CULTURA DE BARCELONA</x:t>
  </x:si>
  <x:si>
    <x:t>Producción, suministro, montaje, mantenimiento y desmontaje de la museografía de la exposición temporal Cordura y arrebato. 150 años de arquitectura catalana</x:t>
  </x:si>
  <x:si>
    <x:t>006_250001955</x:t>
  </x:si>
  <x:si>
    <x:t/>
  </x:si>
  <x:si>
    <x:t>2025179894</x:t>
  </x:si>
  <x:si>
    <x:t>ÀREA METROPOLITANA DE BARCELONA</x:t>
  </x:si>
  <x:si>
    <x:t>Contrato administrativo de servicio consistente en la asistencia técnica por la organización y dinamización del proceso participativo del proyecto europeo Commit2Green. El objeto de este contrato está previsto el proyecto Horizon Europe Innovation Action Commit2Green [C2G] que está financiado por el programa Horizon Europe de la Unión Europea. El 100% del coste de este contrato está subvencionado por la UE</x:t>
  </x:si>
  <x:si>
    <x:t>902963/25</x:t>
  </x:si>
  <x:si>
    <x:t/>
  </x:si>
  <x:si>
    <x:t>Barcelona. Perfil del Contratante del Ayuntamiento</x:t>
  </x:si>
  <x:si>
    <x:t>30/12/2025</x:t>
  </x:si>
  <x:si>
    <x:t>2025179917</x:t>
  </x:si>
  <x:si>
    <x:t>AYUNTAMIENTO DE BARCELONA. CONSORCI MERCAT DE LES FLORS</x:t>
  </x:si>
  <x:si>
    <x:t>Contrato para la ejecución de la producción y distribución de elementos publicitarios del mercado de las flores para el periodo enero-junio 2026.</x:t>
  </x:si>
  <x:si>
    <x:t>077/F250000455</x:t>
  </x:si>
  <x:si>
    <x:t>Valor estimado (sin impuestos)</x:t>
  </x:si>
  <x:si>
    <x:t/>
  </x:si>
  <x:si>
    <x:t/>
  </x:si>
  <x:si>
    <x:t>Community.Vortal</x:t>
  </x:si>
  <x:si>
    <x:t>2025179925</x:t>
  </x:si>
  <x:si>
    <x:t>AGENCIA EFE</x:t>
  </x:si>
  <x:si>
    <x:t>Plataforma online de publicación de directos y contribuciones</x:t>
  </x:si>
  <x:si>
    <x:t>S-25110161</x:t>
  </x:si>
  <x:si>
    <x:t/>
  </x:si>
  <x:si>
    <x:t/>
  </x:si>
  <x:si>
    <x:t>2025179946</x:t>
  </x:si>
  <x:si>
    <x:t>PRESIDENCIA EJECUTIVA DE LA AGENCIA E.F.E. S.A.U., S.M.E</x:t>
  </x:si>
  <x:si>
    <x:t>S-25110161 ANUNCIO PREVIO</x:t>
  </x:si>
  <x:si>
    <x:t/>
  </x:si>
  <x:si>
    <x:t>23/12/2025</x:t>
  </x:si>
  <x:si>
    <x:t>2025179960</x:t>
  </x:si>
  <x:si>
    <x:t>COMISIÓN DELEGADA DEL PATRONATO DE LA FUNDACIÓN PARA LA INVESTIGACIÓN BIOMÉDICA DEL HOSPITAL GREGORIO MARAÑÓN</x:t>
  </x:si>
  <x:si>
    <x:t>Apoyo técnico para realización de fotovoz</x:t>
  </x:si>
  <x:si>
    <x:t>CM 896-2025</x:t>
  </x:si>
  <x:si>
    <x:t/>
  </x:si>
  <x:si>
    <x:t>Museo del Prado</x:t>
  </x:si>
  <x:si>
    <x:t>29/12/2025</x:t>
  </x:si>
  <x:si>
    <x:t>2025179986</x:t>
  </x:si>
  <x:si>
    <x:t>MUSEO DEL PRADO</x:t>
  </x:si>
  <x:si>
    <x:t>Solicitud de presupuesto para la maquetación de imágenes para tienda online.</x:t>
  </x:si>
  <x:si>
    <x:t>0611</x:t>
  </x:si>
  <x:si>
    <x:t>Ver pliegos</x:t>
  </x:si>
  <x:si>
    <x:t/>
  </x:si>
  <x:si>
    <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</x:si>
</x:sst>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91300.00</x:v>
      </x:c>
      <x:c r="J2" s="11" t="s">
        <x:v>25</x:v>
      </x:c>
      <x:c r="K2" s="11" t="s">
        <x:v>26</x:v>
      </x:c>
      <x:c r="L2" s="12" t="str">
        <x:f xml:space="preserve">HYPERLINK("https://contractaciopublica.cat/ca/detall-publicacio/1b5c65dc-b385-44e6-8212-50dabcebac4c/300649462","contractaciopublica.cat/ca/detall-publicacio/1b5c65dc-b385-44e6-8212-50dabcebac4c/300649462")</x:f>
        <x:v>contractaciopublica.cat/ca/detall-publicacio/1b5c65dc-b385-44e6-8212-50dabcebac4c/300649462</x:v>
      </x:c>
      <x:c r="M2" s="11" t="s">
        <x:v>27</x:v>
      </x:c>
      <x:c r="N2" s="13" t="s">
        <x:v>28</x:v>
      </x:c>
      <x:c r="O2" s="11" t="s">
        <x:v>29</x:v>
      </x:c>
      <x:c r="P2" s="11" t="s">
        <x:v>30</x:v>
      </x:c>
      <x:c r="Q2" s="14" t="str">
        <x:f xml:space="preserve">HYPERLINK("https://www.infonalia.es/licitaciones1225/2025179689.pdf","www.infonalia.es/licitaciones1225/2025179689.pdf")</x:f>
        <x:v>www.infonalia.es/licitaciones1225/2025179689.pdf</x:v>
      </x:c>
    </x:row>
    <x:row r="3">
      <x:c r="A3" s="6" t="s">
        <x:v>17</x:v>
      </x:c>
      <x:c r="B3" s="6" t="s">
        <x:v>18</x:v>
      </x:c>
      <x:c r="C3" s="7" t="s">
        <x:v>31</x:v>
      </x:c>
      <x:c r="D3" s="8" t="s">
        <x:v>32</x:v>
      </x:c>
      <x:c r="E3" s="9" t="s">
        <x:v>21</x:v>
      </x:c>
      <x:c r="F3" s="6" t="s">
        <x:v>33</x:v>
      </x:c>
      <x:c r="G3" s="6" t="s">
        <x:v>34</x:v>
      </x:c>
      <x:c r="H3" s="6" t="s">
        <x:v>35</x:v>
      </x:c>
      <x:c r="I3" s="10" t="n">
        <x:v>59750.00</x:v>
      </x:c>
      <x:c r="J3" s="11" t="s">
        <x:v>25</x:v>
      </x:c>
      <x:c r="K3" s="11" t="s">
        <x:v>26</x:v>
      </x:c>
      <x:c r="L3" s="12" t="str">
        <x:f xml:space="preserve">HYPERLINK("https://contractaciopublica.cat/ca/detall-publicacio/0f750a71-aee3-460a-ab79-0979c0d8d7d0/300648546","contractaciopublica.cat/ca/detall-publicacio/0f750a71-aee3-460a-ab79-0979c0d8d7d0/300648546")</x:f>
        <x:v>contractaciopublica.cat/ca/detall-publicacio/0f750a71-aee3-460a-ab79-0979c0d8d7d0/300648546</x:v>
      </x:c>
      <x:c r="M3" s="11" t="s">
        <x:v>27</x:v>
      </x:c>
      <x:c r="N3" s="13" t="s">
        <x:v>28</x:v>
      </x:c>
      <x:c r="O3" s="11" t="s">
        <x:v>36</x:v>
      </x:c>
      <x:c r="P3" s="11" t="s">
        <x:v>37</x:v>
      </x:c>
      <x:c r="Q3" s="14" t="str">
        <x:f xml:space="preserve">HYPERLINK("https://www.infonalia.es/licitaciones1225/2025179697.pdf","www.infonalia.es/licitaciones1225/2025179697.pdf")</x:f>
        <x:v>www.infonalia.es/licitaciones1225/2025179697.pdf</x:v>
      </x:c>
    </x:row>
    <x:row r="4">
      <x:c r="A4" s="6" t="s">
        <x:v>17</x:v>
      </x:c>
      <x:c r="B4" s="6" t="s">
        <x:v>18</x:v>
      </x:c>
      <x:c r="C4" s="7" t="s">
        <x:v>38</x:v>
      </x:c>
      <x:c r="D4" s="8" t="s">
        <x:v>39</x:v>
      </x:c>
      <x:c r="E4" s="9" t="s">
        <x:v>21</x:v>
      </x:c>
      <x:c r="F4" s="6" t="s">
        <x:v>40</x:v>
      </x:c>
      <x:c r="G4" s="6" t="s">
        <x:v>41</x:v>
      </x:c>
      <x:c r="H4" s="6" t="s">
        <x:v>42</x:v>
      </x:c>
      <x:c r="I4" s="10" t="n">
        <x:v>109090.90</x:v>
      </x:c>
      <x:c r="J4" s="11" t="s">
        <x:v>43</x:v>
      </x:c>
      <x:c r="K4" s="11" t="s">
        <x:v>26</x:v>
      </x:c>
      <x:c r="L4" s="12" t="str">
        <x:f xml:space="preserve">HYPERLINK("https://contrataciondelestado.es/wps/poc?uri=deeplink:detalle_licitacion&amp;idEvl=y8P%2FFNBw1Cv%2B3JAijKO%2Bkg%3D%3D","contrataciondelestado.es/wps/poc?uri=deeplink:detalle_licitacion&amp;idEvl=y8P%2FFNBw1Cv%2B3JAijKO%2Bkg%3D%3D")</x:f>
        <x:v>contrataciondelestado.es/wps/poc?uri=deeplink:detalle_licitacion&amp;idEvl=y8P%2FFNBw1Cv%2B3JAijKO%2Bkg%3D%3D</x:v>
      </x:c>
      <x:c r="M4" s="11" t="s">
        <x:v>27</x:v>
      </x:c>
      <x:c r="N4" s="13" t="s">
        <x:v>28</x:v>
      </x:c>
      <x:c r="O4" s="11" t="s">
        <x:v>44</x:v>
      </x:c>
      <x:c r="P4" s="11" t="s">
        <x:v>45</x:v>
      </x:c>
      <x:c r="Q4" s="14" t="str">
        <x:f xml:space="preserve">HYPERLINK("https://www.infonalia.es/licitaciones1225/2025179760.pdf","www.infonalia.es/licitaciones1225/2025179760.pdf")</x:f>
        <x:v>www.infonalia.es/licitaciones1225/2025179760.pdf</x:v>
      </x:c>
    </x:row>
    <x:row r="5">
      <x:c r="A5" s="6" t="s">
        <x:v>17</x:v>
      </x:c>
      <x:c r="B5" s="6" t="s">
        <x:v>18</x:v>
      </x:c>
      <x:c r="C5" s="7" t="s">
        <x:v>38</x:v>
      </x:c>
      <x:c r="D5" s="8" t="s">
        <x:v>46</x:v>
      </x:c>
      <x:c r="E5" s="9" t="s">
        <x:v>21</x:v>
      </x:c>
      <x:c r="F5" s="6" t="s">
        <x:v>47</x:v>
      </x:c>
      <x:c r="G5" s="6" t="s">
        <x:v>48</x:v>
      </x:c>
      <x:c r="H5" s="6" t="s">
        <x:v>49</x:v>
      </x:c>
      <x:c r="I5" s="10" t="n">
        <x:v>10000000.00</x:v>
      </x:c>
      <x:c r="J5" s="11" t="s">
        <x:v>25</x:v>
      </x:c>
      <x:c r="K5" s="11" t="s">
        <x:v>26</x:v>
      </x:c>
      <x:c r="L5" s="12" t="str">
        <x:f xml:space="preserve">HYPERLINK("https://contrataciondelestado.es/wps/poc?uri=deeplink:detalle_licitacion&amp;idEvl=QBs5RYM1ibbua%2Fi14w%2FPLA%3D%3D","contrataciondelestado.es/wps/poc?uri=deeplink:detalle_licitacion&amp;idEvl=QBs5RYM1ibbua%2Fi14w%2FPLA%3D%3D")</x:f>
        <x:v>contrataciondelestado.es/wps/poc?uri=deeplink:detalle_licitacion&amp;idEvl=QBs5RYM1ibbua%2Fi14w%2FPLA%3D%3D</x:v>
      </x:c>
      <x:c r="M5" s="11" t="s">
        <x:v>27</x:v>
      </x:c>
      <x:c r="N5" s="13" t="s">
        <x:v>28</x:v>
      </x:c>
      <x:c r="O5" s="11" t="s">
        <x:v>50</x:v>
      </x:c>
      <x:c r="P5" s="11" t="s">
        <x:v>51</x:v>
      </x:c>
      <x:c r="Q5" s="14" t="str">
        <x:f xml:space="preserve">HYPERLINK("https://www.infonalia.es/licitaciones1225/2025179780.pdf","www.infonalia.es/licitaciones1225/2025179780.pdf")</x:f>
        <x:v>www.infonalia.es/licitaciones1225/2025179780.pdf</x:v>
      </x:c>
    </x:row>
    <x:row r="6">
      <x:c r="A6" s="6" t="s">
        <x:v>17</x:v>
      </x:c>
      <x:c r="B6" s="6" t="s">
        <x:v>18</x:v>
      </x:c>
      <x:c r="C6" s="7" t="s">
        <x:v>52</x:v>
      </x:c>
      <x:c r="D6" s="8" t="s">
        <x:v>53</x:v>
      </x:c>
      <x:c r="E6" s="9" t="s">
        <x:v>21</x:v>
      </x:c>
      <x:c r="F6" s="6" t="s">
        <x:v>54</x:v>
      </x:c>
      <x:c r="G6" s="6" t="s">
        <x:v>55</x:v>
      </x:c>
      <x:c r="H6" s="6" t="s">
        <x:v>56</x:v>
      </x:c>
      <x:c r="I6" s="10" t="n">
        <x:v>14000.00</x:v>
      </x:c>
      <x:c r="J6" s="11" t="s">
        <x:v>25</x:v>
      </x:c>
      <x:c r="K6" s="11" t="s">
        <x:v>26</x:v>
      </x:c>
      <x:c r="L6" s="12" t="str">
        <x:f xml:space="preserve">HYPERLINK("https://contrataciondelestado.es/wps/poc?uri=deeplink:detalle_licitacion&amp;idEvl=zBuhrGefWXbE6P%2FuLemXRw%3D%3D","contrataciondelestado.es/wps/poc?uri=deeplink:detalle_licitacion&amp;idEvl=zBuhrGefWXbE6P%2FuLemXRw%3D%3D")</x:f>
        <x:v>contrataciondelestado.es/wps/poc?uri=deeplink:detalle_licitacion&amp;idEvl=zBuhrGefWXbE6P%2FuLemXRw%3D%3D</x:v>
      </x:c>
      <x:c r="M6" s="11" t="s">
        <x:v>27</x:v>
      </x:c>
      <x:c r="N6" s="13" t="s">
        <x:v>28</x:v>
      </x:c>
      <x:c r="O6" s="11" t="s">
        <x:v>57</x:v>
      </x:c>
      <x:c r="P6" s="11" t="s">
        <x:v>51</x:v>
      </x:c>
      <x:c r="Q6" s="14" t="str">
        <x:f xml:space="preserve">HYPERLINK("https://www.infonalia.es/licitaciones1225/2025179783.pdf","www.infonalia.es/licitaciones1225/2025179783.pdf")</x:f>
        <x:v>www.infonalia.es/licitaciones1225/2025179783.pdf</x:v>
      </x:c>
    </x:row>
    <x:row r="7">
      <x:c r="A7" s="6" t="s">
        <x:v>17</x:v>
      </x:c>
      <x:c r="B7" s="6" t="s">
        <x:v>18</x:v>
      </x:c>
      <x:c r="C7" s="7" t="s">
        <x:v>58</x:v>
      </x:c>
      <x:c r="D7" s="8" t="s">
        <x:v>59</x:v>
      </x:c>
      <x:c r="E7" s="9" t="s">
        <x:v>21</x:v>
      </x:c>
      <x:c r="F7" s="6" t="s">
        <x:v>60</x:v>
      </x:c>
      <x:c r="G7" s="6" t="s">
        <x:v>61</x:v>
      </x:c>
      <x:c r="H7" s="6" t="s">
        <x:v>62</x:v>
      </x:c>
      <x:c r="I7" s="10" t="n">
        <x:v>60731.40</x:v>
      </x:c>
      <x:c r="J7" s="11" t="s">
        <x:v>25</x:v>
      </x:c>
      <x:c r="K7" s="11" t="s">
        <x:v>26</x:v>
      </x:c>
      <x:c r="L7" s="12" t="str">
        <x:f xml:space="preserve">HYPERLINK("https://contrataciondelestado.es/wps/poc?uri=deeplink:detalle_licitacion&amp;idEvl=2BwyWoAQm2iKeVWTb9Scog%3D%3D","contrataciondelestado.es/wps/poc?uri=deeplink:detalle_licitacion&amp;idEvl=2BwyWoAQm2iKeVWTb9Scog%3D%3D")</x:f>
        <x:v>contrataciondelestado.es/wps/poc?uri=deeplink:detalle_licitacion&amp;idEvl=2BwyWoAQm2iKeVWTb9Scog%3D%3D</x:v>
      </x:c>
      <x:c r="M7" s="11" t="s">
        <x:v>27</x:v>
      </x:c>
      <x:c r="N7" s="13" t="s">
        <x:v>28</x:v>
      </x:c>
      <x:c r="O7" s="11" t="s">
        <x:v>63</x:v>
      </x:c>
      <x:c r="P7" s="11" t="s">
        <x:v>51</x:v>
      </x:c>
      <x:c r="Q7" s="14" t="str">
        <x:f xml:space="preserve">HYPERLINK("https://www.infonalia.es/licitaciones1225/2025179816.pdf","www.infonalia.es/licitaciones1225/2025179816.pdf")</x:f>
        <x:v>www.infonalia.es/licitaciones1225/2025179816.pdf</x:v>
      </x:c>
    </x:row>
    <x:row r="8">
      <x:c r="A8" s="6" t="s">
        <x:v>17</x:v>
      </x:c>
      <x:c r="B8" s="6" t="s">
        <x:v>18</x:v>
      </x:c>
      <x:c r="C8" s="7" t="s">
        <x:v>52</x:v>
      </x:c>
      <x:c r="D8" s="8" t="s">
        <x:v>64</x:v>
      </x:c>
      <x:c r="E8" s="9" t="s">
        <x:v>21</x:v>
      </x:c>
      <x:c r="F8" s="6" t="s">
        <x:v>65</x:v>
      </x:c>
      <x:c r="G8" s="6" t="s">
        <x:v>66</x:v>
      </x:c>
      <x:c r="H8" s="6" t="s">
        <x:v>67</x:v>
      </x:c>
      <x:c r="I8" s="10" t="n">
        <x:v>120000.00</x:v>
      </x:c>
      <x:c r="J8" s="11" t="s">
        <x:v>25</x:v>
      </x:c>
      <x:c r="K8" s="11" t="s">
        <x:v>26</x:v>
      </x:c>
      <x:c r="L8" s="12" t="str">
        <x:f xml:space="preserve">HYPERLINK("https://contractaciopublica.cat/es/detall-publicacio/e8693ff0-1b84-4428-a296-61b32b584a53/300649817","contractaciopublica.cat/es/detall-publicacio/e8693ff0-1b84-4428-a296-61b32b584a53/300649817")</x:f>
        <x:v>contractaciopublica.cat/es/detall-publicacio/e8693ff0-1b84-4428-a296-61b32b584a53/300649817</x:v>
      </x:c>
      <x:c r="M8" s="11" t="s">
        <x:v>27</x:v>
      </x:c>
      <x:c r="N8" s="13" t="s">
        <x:v>28</x:v>
      </x:c>
      <x:c r="O8" s="11" t="s">
        <x:v>68</x:v>
      </x:c>
      <x:c r="P8" s="11" t="s">
        <x:v>37</x:v>
      </x:c>
      <x:c r="Q8" s="14" t="str">
        <x:f xml:space="preserve">HYPERLINK("https://www.infonalia.es/licitaciones1225/2025179874.pdf","www.infonalia.es/licitaciones1225/2025179874.pdf")</x:f>
        <x:v>www.infonalia.es/licitaciones1225/2025179874.pdf</x:v>
      </x:c>
    </x:row>
    <x:row r="9">
      <x:c r="A9" s="6" t="s">
        <x:v>17</x:v>
      </x:c>
      <x:c r="B9" s="6" t="s">
        <x:v>18</x:v>
      </x:c>
      <x:c r="C9" s="7" t="s">
        <x:v>69</x:v>
      </x:c>
      <x:c r="D9" s="8" t="s">
        <x:v>70</x:v>
      </x:c>
      <x:c r="E9" s="9" t="s">
        <x:v>21</x:v>
      </x:c>
      <x:c r="F9" s="6" t="s">
        <x:v>71</x:v>
      </x:c>
      <x:c r="G9" s="6" t="s">
        <x:v>72</x:v>
      </x:c>
      <x:c r="H9" s="6" t="s">
        <x:v>73</x:v>
      </x:c>
      <x:c r="I9" s="10" t="n">
        <x:v>9500.00</x:v>
      </x:c>
      <x:c r="J9" s="11" t="s">
        <x:v>25</x:v>
      </x:c>
      <x:c r="K9" s="11" t="s">
        <x:v>26</x:v>
      </x:c>
      <x:c r="L9" s="12" t="str">
        <x:f xml:space="preserve">HYPERLINK("https://contractaciopublica.cat/ca/detall-publicacio/f3c57774-3b89-4970-ac01-5774b1b3b7db/300608049","contractaciopublica.cat/ca/detall-publicacio/f3c57774-3b89-4970-ac01-5774b1b3b7db/300608049")</x:f>
        <x:v>contractaciopublica.cat/ca/detall-publicacio/f3c57774-3b89-4970-ac01-5774b1b3b7db/300608049</x:v>
      </x:c>
      <x:c r="M9" s="11" t="s">
        <x:v>27</x:v>
      </x:c>
      <x:c r="N9" s="13" t="s">
        <x:v>28</x:v>
      </x:c>
      <x:c r="O9" s="11" t="s">
        <x:v>74</x:v>
      </x:c>
      <x:c r="P9" s="11" t="s">
        <x:v>37</x:v>
      </x:c>
      <x:c r="Q9" s="14" t="str">
        <x:f xml:space="preserve">HYPERLINK("https://www.infonalia.es/licitaciones1225/2025179879.pdf","www.infonalia.es/licitaciones1225/2025179879.pdf")</x:f>
        <x:v>www.infonalia.es/licitaciones1225/2025179879.pdf</x:v>
      </x:c>
    </x:row>
    <x:row r="10">
      <x:c r="A10" s="6" t="s">
        <x:v>17</x:v>
      </x:c>
      <x:c r="B10" s="6" t="s">
        <x:v>18</x:v>
      </x:c>
      <x:c r="C10" s="7" t="s">
        <x:v>75</x:v>
      </x:c>
      <x:c r="D10" s="8" t="s">
        <x:v>76</x:v>
      </x:c>
      <x:c r="E10" s="9" t="s">
        <x:v>21</x:v>
      </x:c>
      <x:c r="F10" s="6" t="s">
        <x:v>77</x:v>
      </x:c>
      <x:c r="G10" s="6" t="s">
        <x:v>78</x:v>
      </x:c>
      <x:c r="H10" s="6" t="s">
        <x:v>79</x:v>
      </x:c>
      <x:c r="I10" s="10" t="n">
        <x:v>171322.31</x:v>
      </x:c>
      <x:c r="J10" s="11" t="s">
        <x:v>25</x:v>
      </x:c>
      <x:c r="K10" s="11" t="s">
        <x:v>26</x:v>
      </x:c>
      <x:c r="L10" s="12" t="str">
        <x:f xml:space="preserve">HYPERLINK("https://contractaciopublica.cat/ca/detall-publicacio/031521e0-1622-4a67-ba8c-60db973a5aa3/300649686","contractaciopublica.cat/ca/detall-publicacio/031521e0-1622-4a67-ba8c-60db973a5aa3/300649686")</x:f>
        <x:v>contractaciopublica.cat/ca/detall-publicacio/031521e0-1622-4a67-ba8c-60db973a5aa3/300649686</x:v>
      </x:c>
      <x:c r="M10" s="11" t="s">
        <x:v>27</x:v>
      </x:c>
      <x:c r="N10" s="13" t="s">
        <x:v>28</x:v>
      </x:c>
      <x:c r="O10" s="11" t="s">
        <x:v>80</x:v>
      </x:c>
      <x:c r="P10" s="11" t="s">
        <x:v>37</x:v>
      </x:c>
      <x:c r="Q10" s="14" t="str">
        <x:f xml:space="preserve">HYPERLINK("https://www.infonalia.es/licitaciones1225/2025179886.pdf","www.infonalia.es/licitaciones1225/2025179886.pdf")</x:f>
        <x:v>www.infonalia.es/licitaciones1225/2025179886.pdf</x:v>
      </x:c>
    </x:row>
    <x:row r="11">
      <x:c r="A11" s="6" t="s">
        <x:v>17</x:v>
      </x:c>
      <x:c r="B11" s="6" t="s">
        <x:v>18</x:v>
      </x:c>
      <x:c r="C11" s="7" t="s">
        <x:v>58</x:v>
      </x:c>
      <x:c r="D11" s="8" t="s">
        <x:v>81</x:v>
      </x:c>
      <x:c r="E11" s="9" t="s">
        <x:v>21</x:v>
      </x:c>
      <x:c r="F11" s="6" t="s">
        <x:v>82</x:v>
      </x:c>
      <x:c r="G11" s="6" t="s">
        <x:v>83</x:v>
      </x:c>
      <x:c r="H11" s="6" t="s">
        <x:v>84</x:v>
      </x:c>
      <x:c r="I11" s="10" t="n">
        <x:v>40326.17</x:v>
      </x:c>
      <x:c r="J11" s="11" t="s">
        <x:v>25</x:v>
      </x:c>
      <x:c r="K11" s="11" t="s">
        <x:v>26</x:v>
      </x:c>
      <x:c r="L11" s="12" t="str">
        <x:f xml:space="preserve">HYPERLINK("https://contractaciopublica.cat/ca/detall-publicacio/ce418a4d-b877-482b-a1a7-38915dfa2b45/300645367","contractaciopublica.cat/ca/detall-publicacio/ce418a4d-b877-482b-a1a7-38915dfa2b45/300645367")</x:f>
        <x:v>contractaciopublica.cat/ca/detall-publicacio/ce418a4d-b877-482b-a1a7-38915dfa2b45/300645367</x:v>
      </x:c>
      <x:c r="M11" s="11" t="s">
        <x:v>27</x:v>
      </x:c>
      <x:c r="N11" s="13" t="s">
        <x:v>28</x:v>
      </x:c>
      <x:c r="O11" s="11" t="s">
        <x:v>85</x:v>
      </x:c>
      <x:c r="P11" s="11" t="s">
        <x:v>37</x:v>
      </x:c>
      <x:c r="Q11" s="14" t="str">
        <x:f xml:space="preserve">HYPERLINK("https://www.infonalia.es/licitaciones1225/2025179894.pdf","www.infonalia.es/licitaciones1225/2025179894.pdf")</x:f>
        <x:v>www.infonalia.es/licitaciones1225/2025179894.pdf</x:v>
      </x:c>
    </x:row>
    <x:row r="12">
      <x:c r="A12" s="6" t="s">
        <x:v>17</x:v>
      </x:c>
      <x:c r="B12" s="6" t="s">
        <x:v>86</x:v>
      </x:c>
      <x:c r="C12" s="7" t="s">
        <x:v>87</x:v>
      </x:c>
      <x:c r="D12" s="8" t="s">
        <x:v>88</x:v>
      </x:c>
      <x:c r="E12" s="9" t="s">
        <x:v>21</x:v>
      </x:c>
      <x:c r="F12" s="6" t="s">
        <x:v>89</x:v>
      </x:c>
      <x:c r="G12" s="6" t="s">
        <x:v>90</x:v>
      </x:c>
      <x:c r="H12" s="6" t="s">
        <x:v>91</x:v>
      </x:c>
      <x:c r="I12" s="10" t="n">
        <x:v>14810.00</x:v>
      </x:c>
      <x:c r="J12" s="11" t="s">
        <x:v>92</x:v>
      </x:c>
      <x:c r="K12" s="11" t="s">
        <x:v>93</x:v>
      </x:c>
      <x:c r="L12" s="12" t="str">
        <x:f xml:space="preserve">HYPERLINK("https://licitacions.bcn.cat/licitacion/licitaciones/detalle?id=14107762","licitacions.bcn.cat/licitacion/licitaciones/detalle?id=14107762")</x:f>
        <x:v>licitacions.bcn.cat/licitacion/licitaciones/detalle?id=14107762</x:v>
      </x:c>
      <x:c r="M12" s="11" t="s">
        <x:v>27</x:v>
      </x:c>
      <x:c r="N12" s="13" t="s">
        <x:v>28</x:v>
      </x:c>
      <x:c r="O12" s="11" t="s">
        <x:v>94</x:v>
      </x:c>
      <x:c r="P12" s="11" t="s">
        <x:v>37</x:v>
      </x:c>
      <x:c r="Q12" s="14" t="str">
        <x:f xml:space="preserve">HYPERLINK("https://www.infonalia.es/licitaciones1225/2025179917.pdf","www.infonalia.es/licitaciones1225/2025179917.pdf")</x:f>
        <x:v>www.infonalia.es/licitaciones1225/2025179917.pdf</x:v>
      </x:c>
    </x:row>
    <x:row r="13">
      <x:c r="A13" s="6" t="s">
        <x:v>17</x:v>
      </x:c>
      <x:c r="B13" s="6" t="s">
        <x:v>95</x:v>
      </x:c>
      <x:c r="C13" s="7" t="s">
        <x:v>38</x:v>
      </x:c>
      <x:c r="D13" s="8" t="s">
        <x:v>96</x:v>
      </x:c>
      <x:c r="E13" s="9" t="s">
        <x:v>21</x:v>
      </x:c>
      <x:c r="F13" s="6" t="s">
        <x:v>97</x:v>
      </x:c>
      <x:c r="G13" s="6" t="s">
        <x:v>98</x:v>
      </x:c>
      <x:c r="H13" s="6" t="s">
        <x:v>99</x:v>
      </x:c>
      <x:c r="I13" s="10" t="n">
        <x:v>441788.00</x:v>
      </x:c>
      <x:c r="J13" s="11" t="s">
        <x:v>25</x:v>
      </x:c>
      <x:c r="K13" s="11" t="s">
        <x:v>100</x:v>
      </x:c>
      <x:c r="L13" s="12" t="str">
        <x:f xml:space="preserve">HYPERLINK("https://community.vortal.biz/public/?currentLanguage=es","community.vortal.biz/public/?currentLanguage=es")</x:f>
        <x:v>community.vortal.biz/public/?currentLanguage=es</x:v>
      </x:c>
      <x:c r="M13" s="11" t="s">
        <x:v>27</x:v>
      </x:c>
      <x:c r="N13" s="13" t="s">
        <x:v>28</x:v>
      </x:c>
      <x:c r="O13" s="11" t="s">
        <x:v>101</x:v>
      </x:c>
      <x:c r="P13" s="11" t="s">
        <x:v>51</x:v>
      </x:c>
      <x:c r="Q13" s="14" t="str">
        <x:f xml:space="preserve">HYPERLINK("https://www.infonalia.es/licitaciones1225/2025179925.pdf","www.infonalia.es/licitaciones1225/2025179925.pdf")</x:f>
        <x:v>www.infonalia.es/licitaciones1225/2025179925.pdf</x:v>
      </x:c>
    </x:row>
    <x:row r="14">
      <x:c r="A14" s="6" t="s">
        <x:v>17</x:v>
      </x:c>
      <x:c r="B14" s="6" t="s">
        <x:v>18</x:v>
      </x:c>
      <x:c r="C14" s="7" t="s">
        <x:v>38</x:v>
      </x:c>
      <x:c r="D14" s="8" t="s">
        <x:v>102</x:v>
      </x:c>
      <x:c r="E14" s="9" t="s">
        <x:v>21</x:v>
      </x:c>
      <x:c r="F14" s="6" t="s">
        <x:v>103</x:v>
      </x:c>
      <x:c r="G14" s="6" t="s">
        <x:v>98</x:v>
      </x:c>
      <x:c r="H14" s="6" t="s">
        <x:v>104</x:v>
      </x:c>
      <x:c r="I14" s="10" t="n">
        <x:v>441788.00</x:v>
      </x:c>
      <x:c r="J14" s="11" t="s">
        <x:v>25</x:v>
      </x:c>
      <x:c r="K14" s="11" t="s">
        <x:v>26</x:v>
      </x:c>
      <x:c r="L14" s="12" t="str">
        <x:f xml:space="preserve">HYPERLINK("https://contrataciondelestado.es/wps/poc?uri=deeplink:detalle_licitacion&amp;idEvl=giGlFco1Wbn%2B3JAijKO%2Bkg%3D%3D","contrataciondelestado.es/wps/poc?uri=deeplink:detalle_licitacion&amp;idEvl=giGlFco1Wbn%2B3JAijKO%2Bkg%3D%3D")</x:f>
        <x:v>contrataciondelestado.es/wps/poc?uri=deeplink:detalle_licitacion&amp;idEvl=giGlFco1Wbn%2B3JAijKO%2Bkg%3D%3D</x:v>
      </x:c>
      <x:c r="M14" s="11" t="s">
        <x:v>27</x:v>
      </x:c>
      <x:c r="N14" s="13" t="s">
        <x:v>21</x:v>
      </x:c>
      <x:c r="O14" s="11" t="s">
        <x:v>105</x:v>
      </x:c>
      <x:c r="P14" s="11" t="s">
        <x:v>51</x:v>
      </x:c>
      <x:c r="Q14" s="14" t="str">
        <x:f xml:space="preserve">HYPERLINK("https://www.infonalia.es/licitaciones1225/2025179946.pdf","www.infonalia.es/licitaciones1225/2025179946.pdf")</x:f>
        <x:v>www.infonalia.es/licitaciones1225/2025179946.pdf</x:v>
      </x:c>
    </x:row>
    <x:row r="15">
      <x:c r="A15" s="6" t="s">
        <x:v>17</x:v>
      </x:c>
      <x:c r="B15" s="6" t="s">
        <x:v>18</x:v>
      </x:c>
      <x:c r="C15" s="7" t="s">
        <x:v>106</x:v>
      </x:c>
      <x:c r="D15" s="8" t="s">
        <x:v>107</x:v>
      </x:c>
      <x:c r="E15" s="9" t="s">
        <x:v>21</x:v>
      </x:c>
      <x:c r="F15" s="6" t="s">
        <x:v>108</x:v>
      </x:c>
      <x:c r="G15" s="6" t="s">
        <x:v>109</x:v>
      </x:c>
      <x:c r="H15" s="6" t="s">
        <x:v>110</x:v>
      </x:c>
      <x:c r="I15" s="10" t="n">
        <x:v>4800.00</x:v>
      </x:c>
      <x:c r="J15" s="11" t="s">
        <x:v>25</x:v>
      </x:c>
      <x:c r="K15" s="11" t="s">
        <x:v>26</x:v>
      </x:c>
      <x:c r="L15" s="12" t="str">
        <x:f xml:space="preserve">HYPERLINK("https://contrataciondelestado.es/wps/poc?uri=deeplink:detalle_licitacion&amp;idEvl=Qi3pRtS9DDKkU02jNGj1Fw%3D%3D","contrataciondelestado.es/wps/poc?uri=deeplink:detalle_licitacion&amp;idEvl=Qi3pRtS9DDKkU02jNGj1Fw%3D%3D")</x:f>
        <x:v>contrataciondelestado.es/wps/poc?uri=deeplink:detalle_licitacion&amp;idEvl=Qi3pRtS9DDKkU02jNGj1Fw%3D%3D</x:v>
      </x:c>
      <x:c r="M15" s="11" t="s">
        <x:v>27</x:v>
      </x:c>
      <x:c r="N15" s="13" t="s">
        <x:v>28</x:v>
      </x:c>
      <x:c r="O15" s="11" t="s">
        <x:v>111</x:v>
      </x:c>
      <x:c r="P15" s="11" t="s">
        <x:v>51</x:v>
      </x:c>
      <x:c r="Q15" s="14" t="str">
        <x:f xml:space="preserve">HYPERLINK("https://www.infonalia.es/licitaciones1225/2025179960.pdf","www.infonalia.es/licitaciones1225/2025179960.pdf")</x:f>
        <x:v>www.infonalia.es/licitaciones1225/2025179960.pdf</x:v>
      </x:c>
    </x:row>
    <x:row r="16">
      <x:c r="A16" s="6" t="s">
        <x:v>17</x:v>
      </x:c>
      <x:c r="B16" s="6" t="s">
        <x:v>112</x:v>
      </x:c>
      <x:c r="C16" s="7" t="s">
        <x:v>113</x:v>
      </x:c>
      <x:c r="D16" s="8" t="s">
        <x:v>114</x:v>
      </x:c>
      <x:c r="E16" s="9" t="s">
        <x:v>21</x:v>
      </x:c>
      <x:c r="F16" s="6" t="s">
        <x:v>115</x:v>
      </x:c>
      <x:c r="G16" s="6" t="s">
        <x:v>116</x:v>
      </x:c>
      <x:c r="H16" s="6" t="s">
        <x:v>117</x:v>
      </x:c>
      <x:c r="I16" s="10"/>
      <x:c r="J16" s="11" t="s">
        <x:v>118</x:v>
      </x:c>
      <x:c r="K16" s="11" t="s">
        <x:v>119</x:v>
      </x:c>
      <x:c r="L16" s="12" t="str">
        <x:f xml:space="preserve">HYPERLINK("https://museodelpradodifusion.es/archivos/4063","museodelpradodifusion.es/archivos/4063")</x:f>
        <x:v>museodelpradodifusion.es/archivos/4063</x:v>
      </x:c>
      <x:c r="M16" s="11" t="s">
        <x:v>27</x:v>
      </x:c>
      <x:c r="N16" s="13" t="s">
        <x:v>28</x:v>
      </x:c>
      <x:c r="O16" s="11" t="s">
        <x:v>120</x:v>
      </x:c>
      <x:c r="P16" s="11" t="s">
        <x:v>51</x:v>
      </x:c>
      <x:c r="Q16" s="14" t="str">
        <x:f xml:space="preserve">HYPERLINK("https://www.infonalia.es/licitaciones1225/2025179986.pdf","www.infonalia.es/licitaciones1225/2025179986.pdf")</x:f>
        <x:v>www.infonalia.es/licitaciones1225/2025179986.pdf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