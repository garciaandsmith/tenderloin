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<x:sst xmlns:x="http://schemas.openxmlformats.org/spreadsheetml/2006/main" count="6" uniqueCount="6">
  <x:si>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</x:si>
  <x:si>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</x:si>
  <x:si>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</x:si>
  <x:si>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</x:si>
  <x:si>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</x:si>
  <x:si>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</x:si>
  <x:si>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2025127763</x:t>
  </x:si>
  <x:si>
    <x:t>Desistimiento / Anulación</x:t>
  </x:si>
  <x:si>
    <x:t>JEFATURA DE UNIDAD DE MEDIOS INTERNOS - ÁREA DE COMPRAS DE LA COMPAÑÍA ESPAÑOLA DE SEGUROS DE CRÉDITO A LA EXPORTACIÓN S.A., S.M.E. (CESCE)</x:t>
  </x:si>
  <x:si>
    <x:t>Elaboración de Piezas Audiovisuales para Cesce.</x:t>
  </x:si>
  <x:si>
    <x:t>2025136047</x:t>
  </x:si>
  <x:si>
    <x:t>Aclaración / Ampliación de pliegos</x:t>
  </x:si>
  <x:si>
    <x:t>BARCELONA DE SERVEIS MUNICIPALS SA</x:t>
  </x:si>
  <x:si>
    <x:t>El objeto del presente contrato consiste en homologar a proveedores para la prestación de servicios de estrategia de comunicación y relación con los medios; comunicación interna y transformación cultural y producciones audiovisuales para Barcelona de Serveis Municipals, S.A. y Cementerios de Barcelona, S.A. Lote 1 Estrategia de Comunicación y Relación con los medios. Lote 2 Comunicación interna y Transformación cultural. Lote 3 Producciones audiovisuales</x:t>
  </x:si>
  <x:si>
    <x:t>2025155982</x:t>
  </x:si>
  <x:si>
    <x:t>Corrección de errores</x:t>
  </x:si>
  <x:si>
    <x:t>AYUNTAMIENTO DE MADRID. DISTRITO DE HORTALEZA</x:t>
  </x:si>
  <x:si>
    <x:t>El objeto del presente contrato es la organización y el desarrollo de un Ciclo de Cine Infantil en el Distrito de Hortaleza, que consiste en la exhibición de películas infantiles así como su cobertura técnico – organizativa.</x:t>
  </x:si>
  <x:si>
    <x:t>2025156163</x:t>
  </x:si>
  <x:si>
    <x:t>CONSELL COMARCAL DEL PALLARS SOBIRÀ (LLEIDA)</x:t>
  </x:si>
  <x:si>
    <x:t>Contrato de diseño y desarrollo de una campaña de marketing de cicloturismo, dentro del Plan de Recuperación, Transformación y Resiliencia, financiado por los Fondos Next Generation EU.</x:t>
  </x:si>
  <x:si>
    <x:t>2025162619</x:t>
  </x:si>
  <x:si>
    <x:t>AGENCIA DE CONTRATACIÓN SANITARIA DE LA COMUNIDAD DE MADRID</x:t>
  </x:si>
  <x:si>
    <x:t>El objeto del presente contrato es proporcionar un servicio de apoyo a la gestión de pruebas selectivas para acceso a la condición de personal estatutario fijo, que comprende la maquetación y edición de hojas de respuesta múltiple y cuestionarios de examen, servicio de consulta on line para información de los lugares de examen, procesamiento y corrección de las hojas de respuesta y emisión de listados de calificación, distribución y recogida de cuadernillos y hojas de respuesta, con el alcance y contenido que se detalla en el presente pliego y en los pliegos de prescripciones técnicas.</x:t>
  </x:si>
  <x:si>
    <x:t>2025162659</x:t>
  </x:si>
  <x:si>
    <x:t>DIPUTACIÓN DE TARRAGONA</x:t>
  </x:si>
  <x:si>
    <x:t>Servicio de planificación, negociación e inserción de publicidad y promoción de la Diputación de Tarragona en los medios de comunicación.</x:t>
  </x:si>
  <x:si>
    <x:t>2025163052</x:t>
  </x:si>
  <x:si>
    <x:t>CONSEJO DE ADMINISTRACIÓN DE ICEX ESPAÑA EXPORTACIÓN E INVERSIONES, E.P.E</x:t>
  </x:si>
  <x:si>
    <x:t>Contratación de servicios de comunicación y relaciones públicas para la realización de una campaña de branded content.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</x:si>
</x:sst>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HYPERLINK("https://www.infonalia.es/modificaciones1125/2025127763.pdf","www.infonalia.es/modificaciones1125/2025127763.pdf")</x:f>
        <x:v>www.infonalia.es/modificaciones1125/2025127763.pdf</x:v>
      </x:c>
      <x:c r="F2" s="5" t="str">
        <x:f xml:space="preserve">HYPERLINK("https://www.infonalia.es/licitaciones0925/2025127763.pdf","www.infonalia.es/licitaciones0925/2025127763.pdf")</x:f>
        <x:v>www.infonalia.es/licitaciones0925/2025127763.pdf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HYPERLINK("https://www.infonalia.es/modificaciones1125/2025136047.pdf","www.infonalia.es/modificaciones1125/2025136047.pdf")</x:f>
        <x:v>www.infonalia.es/modificaciones1125/2025136047.pdf</x:v>
      </x:c>
      <x:c r="F3" s="5" t="str">
        <x:f xml:space="preserve">HYPERLINK("https://www.infonalia.es/licitaciones1025/2025136047.pdf","www.infonalia.es/licitaciones1025/2025136047.pdf")</x:f>
        <x:v>www.infonalia.es/licitaciones1025/2025136047.pdf</x:v>
      </x:c>
    </x:row>
    <x:row r="4">
      <x:c r="A4" s="3" t="s">
        <x:v>14</x:v>
      </x:c>
      <x:c r="B4" s="4" t="s">
        <x:v>15</x:v>
      </x:c>
      <x:c r="C4" s="4" t="s">
        <x:v>16</x:v>
      </x:c>
      <x:c r="D4" s="4" t="s">
        <x:v>17</x:v>
      </x:c>
      <x:c r="E4" s="5" t="str">
        <x:f xml:space="preserve">HYPERLINK("https://www.infonalia.es/modificaciones1125/2025155982.pdf","www.infonalia.es/modificaciones1125/2025155982.pdf")</x:f>
        <x:v>www.infonalia.es/modificaciones1125/2025155982.pdf</x:v>
      </x:c>
      <x:c r="F4" s="5" t="str">
        <x:f xml:space="preserve">HYPERLINK("https://www.infonalia.es/licitaciones1125/2025155982.pdf","www.infonalia.es/licitaciones1125/2025155982.pdf")</x:f>
        <x:v>www.infonalia.es/licitaciones1125/2025155982.pdf</x:v>
      </x:c>
    </x:row>
    <x:row r="5">
      <x:c r="A5" s="3" t="s">
        <x:v>18</x:v>
      </x:c>
      <x:c r="B5" s="4" t="s">
        <x:v>11</x:v>
      </x:c>
      <x:c r="C5" s="4" t="s">
        <x:v>19</x:v>
      </x:c>
      <x:c r="D5" s="4" t="s">
        <x:v>20</x:v>
      </x:c>
      <x:c r="E5" s="5" t="str">
        <x:f xml:space="preserve">HYPERLINK("https://www.infonalia.es/modificaciones1125/2025156163.pdf","www.infonalia.es/modificaciones1125/2025156163.pdf")</x:f>
        <x:v>www.infonalia.es/modificaciones1125/2025156163.pdf</x:v>
      </x:c>
      <x:c r="F5" s="5" t="str">
        <x:f xml:space="preserve">HYPERLINK("https://www.infonalia.es/licitaciones1125/2025156163.pdf","www.infonalia.es/licitaciones1125/2025156163.pdf")</x:f>
        <x:v>www.infonalia.es/licitaciones1125/2025156163.pdf</x:v>
      </x:c>
    </x:row>
    <x:row r="6">
      <x:c r="A6" s="3" t="s">
        <x:v>21</x:v>
      </x:c>
      <x:c r="B6" s="4" t="s">
        <x:v>11</x:v>
      </x:c>
      <x:c r="C6" s="4" t="s">
        <x:v>22</x:v>
      </x:c>
      <x:c r="D6" s="4" t="s">
        <x:v>23</x:v>
      </x:c>
      <x:c r="E6" s="5" t="str">
        <x:f xml:space="preserve">HYPERLINK("https://www.infonalia.es/modificaciones1125/2025162619.pdf","www.infonalia.es/modificaciones1125/2025162619.pdf")</x:f>
        <x:v>www.infonalia.es/modificaciones1125/2025162619.pdf</x:v>
      </x:c>
      <x:c r="F6" s="5" t="str">
        <x:f xml:space="preserve">HYPERLINK("https://www.infonalia.es/licitaciones1125/2025162619.pdf","www.infonalia.es/licitaciones1125/2025162619.pdf")</x:f>
        <x:v>www.infonalia.es/licitaciones1125/2025162619.pdf</x:v>
      </x:c>
    </x:row>
    <x:row r="7">
      <x:c r="A7" s="3" t="s">
        <x:v>24</x:v>
      </x:c>
      <x:c r="B7" s="4" t="s">
        <x:v>11</x:v>
      </x:c>
      <x:c r="C7" s="4" t="s">
        <x:v>25</x:v>
      </x:c>
      <x:c r="D7" s="4" t="s">
        <x:v>26</x:v>
      </x:c>
      <x:c r="E7" s="5" t="str">
        <x:f xml:space="preserve">HYPERLINK("https://www.infonalia.es/modificaciones1125/2025162659.pdf","www.infonalia.es/modificaciones1125/2025162659.pdf")</x:f>
        <x:v>www.infonalia.es/modificaciones1125/2025162659.pdf</x:v>
      </x:c>
      <x:c r="F7" s="5" t="str">
        <x:f xml:space="preserve">HYPERLINK("https://www.infonalia.es/licitaciones1125/2025162659.pdf","www.infonalia.es/licitaciones1125/2025162659.pdf")</x:f>
        <x:v>www.infonalia.es/licitaciones1125/2025162659.pdf</x:v>
      </x:c>
    </x:row>
    <x:row r="8">
      <x:c r="A8" s="3" t="s">
        <x:v>27</x:v>
      </x:c>
      <x:c r="B8" s="4" t="s">
        <x:v>15</x:v>
      </x:c>
      <x:c r="C8" s="4" t="s">
        <x:v>28</x:v>
      </x:c>
      <x:c r="D8" s="4" t="s">
        <x:v>29</x:v>
      </x:c>
      <x:c r="E8" s="5" t="str">
        <x:f xml:space="preserve">HYPERLINK("https://www.infonalia.es/modificaciones1125/2025163052.pdf","www.infonalia.es/modificaciones1125/2025163052.pdf")</x:f>
        <x:v>www.infonalia.es/modificaciones1125/2025163052.pdf</x:v>
      </x:c>
      <x:c r="F8" s="5" t="str">
        <x:f xml:space="preserve">HYPERLINK("https://www.infonalia.es/licitaciones1125/2025163052.pdf","www.infonalia.es/licitaciones1125/2025163052.pdf")</x:f>
        <x:v>www.infonalia.es/licitaciones1125/2025163052.pdf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