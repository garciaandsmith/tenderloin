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Licitaciones" sheetId="1" r:id="rId1"/>
  </x:sheets>
  <x:definedNames>
    <x:definedName name="_xlnm._FilterDatabase" localSheetId="0" hidden="1">Licitaciones!$A$1:$Q$1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<x:sst xmlns:x="http://schemas.openxmlformats.org/spreadsheetml/2006/main" count="17" uniqueCount="17">
  <x:si>
    <x:t>TipoDato</x:t>
  </x:si>
  <x:si>
    <x:t>CodigoBoletin</x:t>
  </x:si>
  <x:si>
    <x:t>PlazoPresentacionFecha</x:t>
  </x:si>
  <x:si>
    <x:t>Referencia</x:t>
  </x:si>
  <x:si>
    <x:t>FechaIntroduccion</x:t>
  </x:si>
  <x:si>
    <x:t>OrganismoConvocante</x:t>
  </x:si>
  <x:si>
    <x:t>Objeto</x:t>
  </x:si>
  <x:si>
    <x:t>Nº Expediente</x:t>
  </x:si>
  <x:si>
    <x:t>Presupuesto</x:t>
  </x:si>
  <x:si>
    <x:t>PresupuestoVarios</x:t>
  </x:si>
  <x:si>
    <x:t>PlazoPresentacionVarios</x:t>
  </x:si>
  <x:si>
    <x:t>InformacionWeb</x:t>
  </x:si>
  <x:si>
    <x:t>PublicacionNumero</x:t>
  </x:si>
  <x:si>
    <x:t>PublicacionFecha</x:t>
  </x:si>
  <x:si>
    <x:t>Observaciones</x:t>
  </x:si>
  <x:si>
    <x:t>LugarEjecucion</x:t>
  </x:si>
  <x:si>
    <x:t>Anuncio</x:t>
  </x:si>
  <x:si>
    <x:t>Concurso</x:t>
  </x:si>
  <x:si>
    <x:t>Plataforma de Contratación del Estado</x:t>
  </x:si>
  <x:si>
    <x:t>18/12/2025</x:t>
  </x:si>
  <x:si>
    <x:t>2025172211</x:t>
  </x:si>
  <x:si>
    <x:t>03/12/2025</x:t>
  </x:si>
  <x:si>
    <x:t>DIRECCIÓN GENERAL DE LA FUNDACIÓN EOI</x:t>
  </x:si>
  <x:si>
    <x:t>Servicio de seguimiento y análisis de medios para disponer de los impactos en los mismos y otras métricas relacionadas que permitan conocer y evaluar la presencia y reputación de la marca EOI en medios tanto impresos como digitales</x:t>
  </x:si>
  <x:si>
    <x:t>2025_050_PASS</x:t>
  </x:si>
  <x:si>
    <x:t>Importe sin impuestos</x:t>
  </x:si>
  <x:si>
    <x:t/>
  </x:si>
  <x:si>
    <x:t>-----</x:t>
  </x:si>
  <x:si>
    <x:t>02/12/2025</x:t>
  </x:si>
  <x:si>
    <x:t/>
  </x:si>
  <x:si>
    <x:t>Madrid</x:t>
  </x:si>
  <x:si>
    <x:t>2025172254</x:t>
  </x:si>
  <x:si>
    <x:t>GENERALITAT DE CATALUNYA. DEPARTAMENTO DE INTERIOR Y SEGURIDAD PÚBLICA</x:t>
  </x:si>
  <x:si>
    <x:t>Servicio de impresión de material de gran formato, con carácter divulgativo, del Departamento de Interior y Seguridad Pública para el año 2026</x:t>
  </x:si>
  <x:si>
    <x:t>IT-2026-96</x:t>
  </x:si>
  <x:si>
    <x:t/>
  </x:si>
  <x:si>
    <x:t>Catalunya</x:t>
  </x:si>
  <x:si>
    <x:t>17/12/2025</x:t>
  </x:si>
  <x:si>
    <x:t>2025172265</x:t>
  </x:si>
  <x:si>
    <x:t>AYUNTAMIENTO DE ASCÓ (TARRAGONA)</x:t>
  </x:si>
  <x:si>
    <x:t>Proyecciones de cine, tanto en exteior como en sala, como parte de la programación cultural y turística [Lote 1 Servicio de proyección de cine al aire libre - Lote 2 Servicio de proyección de cine regular]</x:t>
  </x:si>
  <x:si>
    <x:t>3134/2025</x:t>
  </x:si>
  <x:si>
    <x:t/>
  </x:si>
  <x:si>
    <x:t>Tarragona</x:t>
  </x:si>
  <x:si>
    <x:t>2025172356</x:t>
  </x:si>
  <x:si>
    <x:t>Servicio de uso de las instalaciones y servicios necesarios para llevar a cabo el acto central del Día de las Escuadras, así como el servicio de uso de las instalaciones y los servicios necesarios para llevar a cabo la Cena de Gala de los Mossos y las Mosses, del Departamento de Interior y Seguridad Pública para el año 2026, dividido en dos lotes. Lote 1 Acto central día de las Escuadras, lote 2 Cena de Gala de los Mossos y las Mosses.</x:t>
  </x:si>
  <x:si>
    <x:t>IT-2026-88</x:t>
  </x:si>
  <x:si>
    <x:t/>
  </x:si>
  <x:si>
    <x:t>2025172362</x:t>
  </x:si>
  <x:si>
    <x:t>DIPUTACIÓN DE LLEIDA. INSTITUT D'ESTUDIS ILERDENCS (IEI)</x:t>
  </x:si>
  <x:si>
    <x:t>El objeto del contrato es el servicio de fotografía profesional para cubrir los actos, actividades y exposiciones culturales que lleve a cabo el Instituto de Estudios Ilerdenses de la Diputación de Lleida, para poder hacer difusión y así promover la cultura y su conocimiento entre la ciudadanía, de acuerdo con lo que establece el Pliego de Prescripciones Técnicas que consta en el expediente</x:t>
  </x:si>
  <x:si>
    <x:t>2025/113-1252</x:t>
  </x:si>
  <x:si>
    <x:t/>
  </x:si>
  <x:si>
    <x:t>Lleida</x:t>
  </x:si>
  <x:si>
    <x:t>2025172387</x:t>
  </x:si>
  <x:si>
    <x:t>MADRID DESTINO CULTURA TURISMO Y NEGOCIO, S.A</x:t>
  </x:si>
  <x:si>
    <x:t>Servicio de elaboración de Anuario de Turismo de Madrid 2025, para Madrid Destino</x:t>
  </x:si>
  <x:si>
    <x:t>SP25-00567</x:t>
  </x:si>
  <x:si>
    <x:t/>
  </x:si>
  <x:si>
    <x:t>2025172441</x:t>
  </x:si>
  <x:si>
    <x:t>CANAL DE ISABEL II, S.A.</x:t>
  </x:si>
  <x:si>
    <x:t>Servicios de producción en papel del libro institucional de fotografía histórica</x:t>
  </x:si>
  <x:si>
    <x:t>184-2025</x:t>
  </x:si>
  <x:si>
    <x:t/>
  </x:si>
  <x:si>
    <x:t>2025172477</x:t>
  </x:si>
  <x:si>
    <x:t>CONSEJO COMARCAL DEL BAIX EBRE (TARRAGONA)</x:t>
  </x:si>
  <x:si>
    <x:t>El servicio objeto del contrato consiste en elaborar los materiales de difusión de las acciones del proyecto Trabajo en las Comarcas Baix Ebre Avant para el período 2024-2025 con el objetivo de dar a conocer a los diferentes públicos las diversas acciones que se enmarcan dentro del proyecto</x:t>
  </x:si>
  <x:si>
    <x:t>4404/2025</x:t>
  </x:si>
  <x:si>
    <x:t/>
  </x:si>
  <x:si>
    <x:t>2025172639</x:t>
  </x:si>
  <x:si>
    <x:t>MINISTERIO DEL INTERIOR. DIRECCIÓN GENERAL DE TRÁFICO</x:t>
  </x:si>
  <x:si>
    <x:t>Servicio de grafismo y retoque de imágenes y de elaboración de contenido audiovisual (fotografías y vídeos) para la revista Tráfico y Seguridad Vial y las Redes Sociales de la Dirección General de Tráfico (2 Lotes). Lote 1: Infografías, ilustraciones y retoque de imágenes. Lote 2: Reportajes fotográficos y videos</x:t>
  </x:si>
  <x:si>
    <x:t>1DGT2AP00040 ANUNCIO PREVIO</x:t>
  </x:si>
  <x:si>
    <x:t>No consta</x:t>
  </x:si>
  <x:si>
    <x:t/>
  </x:si>
  <x:si>
    <x:t>09/12/2025</x:t>
  </x:si>
  <x:si>
    <x:t>2025172663</x:t>
  </x:si>
  <x:si>
    <x:t>FUNDACIÓN PARA LA INVESTIGACIÓN BIOMÉDICA DEL HOSPITAL 12 DE OCTUBRE</x:t>
  </x:si>
  <x:si>
    <x:t>Construcción de un resumen gráfico de un artículo</x:t>
  </x:si>
  <x:si>
    <x:t>1-2025/629</x:t>
  </x:si>
  <x:si>
    <x:t/>
  </x:si>
  <x:si>
    <x:t>2025172748</x:t>
  </x:si>
  <x:si>
    <x:t>DIRECCIÓN DEL CENTRO ASOCIADO DE LA UNED EN MADRID</x:t>
  </x:si>
  <x:si>
    <x:t>Prestación integrada, coordinada y continua de todos los servicios de comunicación institucional, marketing digital, diseño gráfico, relaciones con medios, gestión web y redes sociales, fotografía y campañas publicitarias de UNED Madrid</x:t>
  </x:si>
  <x:si>
    <x:t>PAS 4/2025</x:t>
  </x:si>
  <x:si>
    <x:t/>
  </x:si>
  <x:si>
    <x:t>07/01/2026</x:t>
  </x:si>
  <x:si>
    <x:t>2025172837</x:t>
  </x:si>
  <x:si>
    <x:t>HAZI DESARROLLO RURAL LITORAL Y ALIMENTARIO-DIRECTOR/A </x:t>
  </x:si>
  <x:si>
    <x:t>Prestación de los servicios para la ejecución de una campaña de promoción y sensibilización de productos europeos con denominación de origen en los mercados de Japón y Corea del Sur durante 3 años, en el marco del programa CAPRICE II</x:t>
  </x:si>
  <x:si>
    <x:t>35_25</x:t>
  </x:si>
  <x:si>
    <x:t/>
  </x:si>
  <x:si>
    <x:t>Japón y Corea del Sur</x:t>
  </x:si>
  <x:si>
    <x:t>Community.Vortal</x:t>
  </x:si>
  <x:si>
    <x:t>05/12/2025</x:t>
  </x:si>
  <x:si>
    <x:t>2025172880</x:t>
  </x:si>
  <x:si>
    <x:t>AYUNTAMIENTO DE CERDANYOLA DEL VALLÈS (BARCELONA)</x:t>
  </x:si>
  <x:si>
    <x:t>Contrato menor servicio de Social Media Management 2025</x:t>
  </x:si>
  <x:si>
    <x:t>597/2025/0238</x:t>
  </x:si>
  <x:si>
    <x:t/>
  </x:si>
  <x:si>
    <x:t/>
  </x:si>
  <x:si>
    <x:t>Barcelona</x:t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</x:si>
</x:sst>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5">
    <xf numFmtId="0" fontId="0" fillId="0" borderId="0" xfId="0"/>
    <xf numFmtId="0" fontId="1" fillId="0" borderId="0" xfId="0" applyFont="1" applyAlignment="1" applyProtection="1">
      <alignment vertical="center" wrapText="1"/>
    </xf>
    <xf numFmtId="0" fontId="1" fillId="0" borderId="0" xfId="0" applyFont="1" applyAlignment="1" applyProtection="1">
      <alignment horizontal="center" vertical="center" wrapText="1"/>
    </xf>
    <xf numFmtId="0" fontId="1" fillId="0" borderId="0" xfId="0" applyFont="1" applyAlignment="1" applyProtection="1">
      <alignment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/>
    </xf>
    <xf numFmtId="0" fontId="1" fillId="0" borderId="1" xfId="0" applyFont="1" applyBorder="1" applyAlignment="1" applyProtection="1">
      <alignment vertical="center" wrapText="1"/>
    </xf>
    <xf numFmtId="14" fontId="1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14" fontId="1" fillId="0" borderId="1" xfId="0" applyNumberFormat="1" applyFont="1" applyBorder="1" applyAlignment="1" applyProtection="1">
      <alignment vertical="center" wrapText="1"/>
    </xf>
    <xf numFmtId="164" fontId="1" fillId="0" borderId="2" xfId="0" applyNumberFormat="1" applyFont="1" applyBorder="1" applyAlignment="1" applyProtection="1">
      <alignment vertical="center" wrapText="1"/>
    </xf>
    <xf numFmtId="0" fontId="1" fillId="0" borderId="2" xfId="0" applyFont="1" applyBorder="1" applyAlignment="1" applyProtection="1">
      <alignment vertical="center" wrapText="1"/>
    </xf>
    <xf numFmtId="0" fontId="4" fillId="0" borderId="2" xfId="1" applyFont="1" applyBorder="1" applyAlignment="1" applyProtection="1">
      <alignment vertical="center" wrapText="1"/>
    </xf>
    <xf numFmtId="14" fontId="1" fillId="0" borderId="2" xfId="0" applyNumberFormat="1" applyFont="1" applyBorder="1" applyAlignment="1" applyProtection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8.5703125" style="1" customWidth="1"/>
    <x:col min="2" max="2" width="18.85546875" style="1" customWidth="1"/>
    <x:col min="3" max="3" width="19.140625" style="2" customWidth="1"/>
    <x:col min="4" max="4" width="11.140625" style="2" customWidth="1"/>
    <x:col min="5" max="5" width="14.85546875" style="1" hidden="1" customWidth="1"/>
    <x:col min="6" max="6" width="24.7109375" style="1" customWidth="1"/>
    <x:col min="7" max="7" width="57.42578125" style="1" customWidth="1"/>
    <x:col min="8" max="8" width="17.140625" style="1" customWidth="1"/>
    <x:col min="9" max="9" width="14.28515625" style="1" customWidth="1"/>
    <x:col min="10" max="10" width="16.85546875" style="1" hidden="1" customWidth="1"/>
    <x:col min="11" max="11" width="19.42578125" style="1" hidden="1" customWidth="1"/>
    <x:col min="12" max="12" width="33.85546875" style="1" customWidth="1"/>
    <x:col min="13" max="13" width="15.85546875" style="1" hidden="1" customWidth="1"/>
    <x:col min="14" max="14" width="13.85546875" style="1" hidden="1" customWidth="1"/>
    <x:col min="15" max="15" width="11.7109375" style="1" hidden="1" customWidth="1"/>
    <x:col min="16" max="16" width="17.140625" style="1" customWidth="1"/>
    <x:col min="17" max="17" width="29.7109375" style="1" customWidth="1"/>
    <x:col min="18" max="16384" width="11.5703125" style="3"/>
  </x:cols>
  <x:sheetData>
    <x:row r="1" spans="1:17" s="5" customFormat="1" ht="25.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</x:row>
    <x:row r="2" spans="1:17">
      <x:c r="A2" s="6" t="s">
        <x:v>17</x:v>
      </x:c>
      <x:c r="B2" s="6" t="s">
        <x:v>18</x:v>
      </x:c>
      <x:c r="C2" s="7" t="s">
        <x:v>19</x:v>
      </x:c>
      <x:c r="D2" s="8" t="s">
        <x:v>20</x:v>
      </x:c>
      <x:c r="E2" s="9" t="s">
        <x:v>21</x:v>
      </x:c>
      <x:c r="F2" s="6" t="s">
        <x:v>22</x:v>
      </x:c>
      <x:c r="G2" s="6" t="s">
        <x:v>23</x:v>
      </x:c>
      <x:c r="H2" s="6" t="s">
        <x:v>24</x:v>
      </x:c>
      <x:c r="I2" s="10" t="n">
        <x:v>6610.00</x:v>
      </x:c>
      <x:c r="J2" s="11" t="s">
        <x:v>25</x:v>
      </x:c>
      <x:c r="K2" s="11" t="s">
        <x:v>26</x:v>
      </x:c>
      <x:c r="L2" s="12" t="str">
        <x:f xml:space="preserve">HYPERLINK("https://contrataciondelestado.es/wps/poc?uri=deeplink:detalle_licitacion&amp;idEvl=0%2FnC4VtHOJQ36J9Lctlsuw%3D%3D","contrataciondelestado.es/wps/poc?uri=deeplink:detalle_licitacion&amp;idEvl=0%2FnC4VtHOJQ36J9Lctlsuw%3D%3D")</x:f>
        <x:v>contrataciondelestado.es/wps/poc?uri=deeplink:detalle_licitacion&amp;idEvl=0%2FnC4VtHOJQ36J9Lctlsuw%3D%3D</x:v>
      </x:c>
      <x:c r="M2" s="11" t="s">
        <x:v>27</x:v>
      </x:c>
      <x:c r="N2" s="13" t="s">
        <x:v>28</x:v>
      </x:c>
      <x:c r="O2" s="11" t="s">
        <x:v>29</x:v>
      </x:c>
      <x:c r="P2" s="11" t="s">
        <x:v>30</x:v>
      </x:c>
      <x:c r="Q2" s="14" t="str">
        <x:f xml:space="preserve">HYPERLINK("https://www.infonalia.es/licitaciones1225/2025172211.pdf","www.infonalia.es/licitaciones1225/2025172211.pdf")</x:f>
        <x:v>www.infonalia.es/licitaciones1225/2025172211.pdf</x:v>
      </x:c>
    </x:row>
    <x:row r="3">
      <x:c r="A3" s="6" t="s">
        <x:v>17</x:v>
      </x:c>
      <x:c r="B3" s="6" t="s">
        <x:v>18</x:v>
      </x:c>
      <x:c r="C3" s="7" t="s">
        <x:v>19</x:v>
      </x:c>
      <x:c r="D3" s="8" t="s">
        <x:v>31</x:v>
      </x:c>
      <x:c r="E3" s="9" t="s">
        <x:v>21</x:v>
      </x:c>
      <x:c r="F3" s="6" t="s">
        <x:v>32</x:v>
      </x:c>
      <x:c r="G3" s="6" t="s">
        <x:v>33</x:v>
      </x:c>
      <x:c r="H3" s="6" t="s">
        <x:v>34</x:v>
      </x:c>
      <x:c r="I3" s="10" t="n">
        <x:v>139990.00</x:v>
      </x:c>
      <x:c r="J3" s="11" t="s">
        <x:v>25</x:v>
      </x:c>
      <x:c r="K3" s="11" t="s">
        <x:v>26</x:v>
      </x:c>
      <x:c r="L3" s="12" t="str">
        <x:f xml:space="preserve">HYPERLINK("https://contractaciopublica.cat/ca/detall-publicacio/fc707965-0efb-45fe-a0bb-64f52091e668/300635198","contractaciopublica.cat/ca/detall-publicacio/fc707965-0efb-45fe-a0bb-64f52091e668/300635198")</x:f>
        <x:v>contractaciopublica.cat/ca/detall-publicacio/fc707965-0efb-45fe-a0bb-64f52091e668/300635198</x:v>
      </x:c>
      <x:c r="M3" s="11" t="s">
        <x:v>27</x:v>
      </x:c>
      <x:c r="N3" s="13" t="s">
        <x:v>28</x:v>
      </x:c>
      <x:c r="O3" s="11" t="s">
        <x:v>35</x:v>
      </x:c>
      <x:c r="P3" s="11" t="s">
        <x:v>36</x:v>
      </x:c>
      <x:c r="Q3" s="14" t="str">
        <x:f xml:space="preserve">HYPERLINK("https://www.infonalia.es/licitaciones1225/2025172254.pdf","www.infonalia.es/licitaciones1225/2025172254.pdf")</x:f>
        <x:v>www.infonalia.es/licitaciones1225/2025172254.pdf</x:v>
      </x:c>
    </x:row>
    <x:row r="4">
      <x:c r="A4" s="6" t="s">
        <x:v>17</x:v>
      </x:c>
      <x:c r="B4" s="6" t="s">
        <x:v>18</x:v>
      </x:c>
      <x:c r="C4" s="7" t="s">
        <x:v>37</x:v>
      </x:c>
      <x:c r="D4" s="8" t="s">
        <x:v>38</x:v>
      </x:c>
      <x:c r="E4" s="9" t="s">
        <x:v>21</x:v>
      </x:c>
      <x:c r="F4" s="6" t="s">
        <x:v>39</x:v>
      </x:c>
      <x:c r="G4" s="6" t="s">
        <x:v>40</x:v>
      </x:c>
      <x:c r="H4" s="6" t="s">
        <x:v>41</x:v>
      </x:c>
      <x:c r="I4" s="10" t="n">
        <x:v>114099.17</x:v>
      </x:c>
      <x:c r="J4" s="11" t="s">
        <x:v>25</x:v>
      </x:c>
      <x:c r="K4" s="11" t="s">
        <x:v>26</x:v>
      </x:c>
      <x:c r="L4" s="12" t="str">
        <x:f xml:space="preserve">HYPERLINK("https://contractaciopublica.cat/ca/detall-publicacio/bdaaaf86-4c3c-4616-9dbb-c52f51125810/300614523","contractaciopublica.cat/ca/detall-publicacio/bdaaaf86-4c3c-4616-9dbb-c52f51125810/300614523")</x:f>
        <x:v>contractaciopublica.cat/ca/detall-publicacio/bdaaaf86-4c3c-4616-9dbb-c52f51125810/300614523</x:v>
      </x:c>
      <x:c r="M4" s="11" t="s">
        <x:v>27</x:v>
      </x:c>
      <x:c r="N4" s="13" t="s">
        <x:v>28</x:v>
      </x:c>
      <x:c r="O4" s="11" t="s">
        <x:v>42</x:v>
      </x:c>
      <x:c r="P4" s="11" t="s">
        <x:v>43</x:v>
      </x:c>
      <x:c r="Q4" s="14" t="str">
        <x:f xml:space="preserve">HYPERLINK("https://www.infonalia.es/licitaciones1225/2025172265.pdf","www.infonalia.es/licitaciones1225/2025172265.pdf")</x:f>
        <x:v>www.infonalia.es/licitaciones1225/2025172265.pdf</x:v>
      </x:c>
    </x:row>
    <x:row r="5">
      <x:c r="A5" s="6" t="s">
        <x:v>17</x:v>
      </x:c>
      <x:c r="B5" s="6" t="s">
        <x:v>18</x:v>
      </x:c>
      <x:c r="C5" s="7" t="s">
        <x:v>37</x:v>
      </x:c>
      <x:c r="D5" s="8" t="s">
        <x:v>44</x:v>
      </x:c>
      <x:c r="E5" s="9" t="s">
        <x:v>21</x:v>
      </x:c>
      <x:c r="F5" s="6" t="s">
        <x:v>32</x:v>
      </x:c>
      <x:c r="G5" s="6" t="s">
        <x:v>45</x:v>
      </x:c>
      <x:c r="H5" s="6" t="s">
        <x:v>46</x:v>
      </x:c>
      <x:c r="I5" s="10" t="n">
        <x:v>124941.15</x:v>
      </x:c>
      <x:c r="J5" s="11" t="s">
        <x:v>25</x:v>
      </x:c>
      <x:c r="K5" s="11" t="s">
        <x:v>26</x:v>
      </x:c>
      <x:c r="L5" s="12" t="str">
        <x:f xml:space="preserve">HYPERLINK("https://contractaciopublica.cat/ca/detall-publicacio/644218e5-aa2f-405e-b666-511ba636770d/300634698","contractaciopublica.cat/ca/detall-publicacio/644218e5-aa2f-405e-b666-511ba636770d/300634698")</x:f>
        <x:v>contractaciopublica.cat/ca/detall-publicacio/644218e5-aa2f-405e-b666-511ba636770d/300634698</x:v>
      </x:c>
      <x:c r="M5" s="11" t="s">
        <x:v>27</x:v>
      </x:c>
      <x:c r="N5" s="13" t="s">
        <x:v>28</x:v>
      </x:c>
      <x:c r="O5" s="11" t="s">
        <x:v>47</x:v>
      </x:c>
      <x:c r="P5" s="11" t="s">
        <x:v>36</x:v>
      </x:c>
      <x:c r="Q5" s="14" t="str">
        <x:f xml:space="preserve">HYPERLINK("https://www.infonalia.es/licitaciones1225/2025172356.pdf","www.infonalia.es/licitaciones1225/2025172356.pdf")</x:f>
        <x:v>www.infonalia.es/licitaciones1225/2025172356.pdf</x:v>
      </x:c>
    </x:row>
    <x:row r="6">
      <x:c r="A6" s="6" t="s">
        <x:v>17</x:v>
      </x:c>
      <x:c r="B6" s="6" t="s">
        <x:v>18</x:v>
      </x:c>
      <x:c r="C6" s="7" t="s">
        <x:v>37</x:v>
      </x:c>
      <x:c r="D6" s="8" t="s">
        <x:v>48</x:v>
      </x:c>
      <x:c r="E6" s="9" t="s">
        <x:v>21</x:v>
      </x:c>
      <x:c r="F6" s="6" t="s">
        <x:v>49</x:v>
      </x:c>
      <x:c r="G6" s="6" t="s">
        <x:v>50</x:v>
      </x:c>
      <x:c r="H6" s="6" t="s">
        <x:v>51</x:v>
      </x:c>
      <x:c r="I6" s="10" t="n">
        <x:v>43920.00</x:v>
      </x:c>
      <x:c r="J6" s="11" t="s">
        <x:v>25</x:v>
      </x:c>
      <x:c r="K6" s="11" t="s">
        <x:v>26</x:v>
      </x:c>
      <x:c r="L6" s="12" t="str">
        <x:f xml:space="preserve">HYPERLINK("https://contractaciopublica.cat/ca/detall-publicacio/2104e186-b957-479e-8314-8718d92ee217/300584221","contractaciopublica.cat/ca/detall-publicacio/2104e186-b957-479e-8314-8718d92ee217/300584221")</x:f>
        <x:v>contractaciopublica.cat/ca/detall-publicacio/2104e186-b957-479e-8314-8718d92ee217/300584221</x:v>
      </x:c>
      <x:c r="M6" s="11" t="s">
        <x:v>27</x:v>
      </x:c>
      <x:c r="N6" s="13" t="s">
        <x:v>28</x:v>
      </x:c>
      <x:c r="O6" s="11" t="s">
        <x:v>52</x:v>
      </x:c>
      <x:c r="P6" s="11" t="s">
        <x:v>53</x:v>
      </x:c>
      <x:c r="Q6" s="14" t="str">
        <x:f xml:space="preserve">HYPERLINK("https://www.infonalia.es/licitaciones1225/2025172362.pdf","www.infonalia.es/licitaciones1225/2025172362.pdf")</x:f>
        <x:v>www.infonalia.es/licitaciones1225/2025172362.pdf</x:v>
      </x:c>
    </x:row>
    <x:row r="7">
      <x:c r="A7" s="6" t="s">
        <x:v>17</x:v>
      </x:c>
      <x:c r="B7" s="6" t="s">
        <x:v>18</x:v>
      </x:c>
      <x:c r="C7" s="7" t="s">
        <x:v>37</x:v>
      </x:c>
      <x:c r="D7" s="8" t="s">
        <x:v>54</x:v>
      </x:c>
      <x:c r="E7" s="9" t="s">
        <x:v>21</x:v>
      </x:c>
      <x:c r="F7" s="6" t="s">
        <x:v>55</x:v>
      </x:c>
      <x:c r="G7" s="6" t="s">
        <x:v>56</x:v>
      </x:c>
      <x:c r="H7" s="6" t="s">
        <x:v>57</x:v>
      </x:c>
      <x:c r="I7" s="10" t="n">
        <x:v>24790.00</x:v>
      </x:c>
      <x:c r="J7" s="11" t="s">
        <x:v>25</x:v>
      </x:c>
      <x:c r="K7" s="11" t="s">
        <x:v>26</x:v>
      </x:c>
      <x:c r="L7" s="12" t="str">
        <x:f xml:space="preserve">HYPERLINK("https://contrataciondelestado.es/wps/poc?uri=deeplink:detalle_licitacion&amp;idEvl=Ott3%2FJanupbN3k3tjedSGw%3D%3D","contrataciondelestado.es/wps/poc?uri=deeplink:detalle_licitacion&amp;idEvl=Ott3%2FJanupbN3k3tjedSGw%3D%3D")</x:f>
        <x:v>contrataciondelestado.es/wps/poc?uri=deeplink:detalle_licitacion&amp;idEvl=Ott3%2FJanupbN3k3tjedSGw%3D%3D</x:v>
      </x:c>
      <x:c r="M7" s="11" t="s">
        <x:v>27</x:v>
      </x:c>
      <x:c r="N7" s="13" t="s">
        <x:v>28</x:v>
      </x:c>
      <x:c r="O7" s="11" t="s">
        <x:v>58</x:v>
      </x:c>
      <x:c r="P7" s="11" t="s">
        <x:v>30</x:v>
      </x:c>
      <x:c r="Q7" s="14" t="str">
        <x:f xml:space="preserve">HYPERLINK("https://www.infonalia.es/licitaciones1225/2025172387.pdf","www.infonalia.es/licitaciones1225/2025172387.pdf")</x:f>
        <x:v>www.infonalia.es/licitaciones1225/2025172387.pdf</x:v>
      </x:c>
    </x:row>
    <x:row r="8">
      <x:c r="A8" s="6" t="s">
        <x:v>17</x:v>
      </x:c>
      <x:c r="B8" s="6" t="s">
        <x:v>18</x:v>
      </x:c>
      <x:c r="C8" s="7" t="s">
        <x:v>19</x:v>
      </x:c>
      <x:c r="D8" s="8" t="s">
        <x:v>59</x:v>
      </x:c>
      <x:c r="E8" s="9" t="s">
        <x:v>21</x:v>
      </x:c>
      <x:c r="F8" s="6" t="s">
        <x:v>60</x:v>
      </x:c>
      <x:c r="G8" s="6" t="s">
        <x:v>61</x:v>
      </x:c>
      <x:c r="H8" s="6" t="s">
        <x:v>62</x:v>
      </x:c>
      <x:c r="I8" s="10" t="n">
        <x:v>99209.89</x:v>
      </x:c>
      <x:c r="J8" s="11" t="s">
        <x:v>25</x:v>
      </x:c>
      <x:c r="K8" s="11" t="s">
        <x:v>26</x:v>
      </x:c>
      <x:c r="L8" s="12" t="str">
        <x:f xml:space="preserve">HYPERLINK("https://contratos-publicos.comunidad.madrid/contrato-publico/servicios-produccion-papel-libro-institucional-fotografia-historica","contratos-publicos.comunidad.madrid/contrato-publico/servicios-produccion-papel-libro-institucional-fotografia-historica")</x:f>
        <x:v>contratos-publicos.comunidad.madrid/contrato-publico/servicios-produccion-papel-libro-institucional-fotografia-historica</x:v>
      </x:c>
      <x:c r="M8" s="11" t="s">
        <x:v>27</x:v>
      </x:c>
      <x:c r="N8" s="13" t="s">
        <x:v>28</x:v>
      </x:c>
      <x:c r="O8" s="11" t="s">
        <x:v>63</x:v>
      </x:c>
      <x:c r="P8" s="11" t="s">
        <x:v>30</x:v>
      </x:c>
      <x:c r="Q8" s="14" t="str">
        <x:f xml:space="preserve">HYPERLINK("https://www.infonalia.es/licitaciones1225/2025172441.pdf","www.infonalia.es/licitaciones1225/2025172441.pdf")</x:f>
        <x:v>www.infonalia.es/licitaciones1225/2025172441.pdf</x:v>
      </x:c>
    </x:row>
    <x:row r="9">
      <x:c r="A9" s="6" t="s">
        <x:v>17</x:v>
      </x:c>
      <x:c r="B9" s="6" t="s">
        <x:v>18</x:v>
      </x:c>
      <x:c r="C9" s="7" t="s">
        <x:v>37</x:v>
      </x:c>
      <x:c r="D9" s="8" t="s">
        <x:v>64</x:v>
      </x:c>
      <x:c r="E9" s="9" t="s">
        <x:v>21</x:v>
      </x:c>
      <x:c r="F9" s="6" t="s">
        <x:v>65</x:v>
      </x:c>
      <x:c r="G9" s="6" t="s">
        <x:v>66</x:v>
      </x:c>
      <x:c r="H9" s="6" t="s">
        <x:v>67</x:v>
      </x:c>
      <x:c r="I9" s="10" t="n">
        <x:v>10577.50</x:v>
      </x:c>
      <x:c r="J9" s="11" t="s">
        <x:v>25</x:v>
      </x:c>
      <x:c r="K9" s="11" t="s">
        <x:v>26</x:v>
      </x:c>
      <x:c r="L9" s="12" t="str">
        <x:f xml:space="preserve">HYPERLINK("https://contractaciopublica.cat/ca/detall-publicacio/6c668a07-4692-48cd-9ae9-23dc010b320e/300634745","contractaciopublica.cat/ca/detall-publicacio/6c668a07-4692-48cd-9ae9-23dc010b320e/300634745")</x:f>
        <x:v>contractaciopublica.cat/ca/detall-publicacio/6c668a07-4692-48cd-9ae9-23dc010b320e/300634745</x:v>
      </x:c>
      <x:c r="M9" s="11" t="s">
        <x:v>27</x:v>
      </x:c>
      <x:c r="N9" s="13" t="s">
        <x:v>28</x:v>
      </x:c>
      <x:c r="O9" s="11" t="s">
        <x:v>68</x:v>
      </x:c>
      <x:c r="P9" s="11" t="s">
        <x:v>43</x:v>
      </x:c>
      <x:c r="Q9" s="14" t="str">
        <x:f xml:space="preserve">HYPERLINK("https://www.infonalia.es/licitaciones1225/2025172477.pdf","www.infonalia.es/licitaciones1225/2025172477.pdf")</x:f>
        <x:v>www.infonalia.es/licitaciones1225/2025172477.pdf</x:v>
      </x:c>
    </x:row>
    <x:row r="10">
      <x:c r="A10" s="6" t="s">
        <x:v>17</x:v>
      </x:c>
      <x:c r="B10" s="6" t="s">
        <x:v>18</x:v>
      </x:c>
      <x:c r="C10" s="7" t="s">
        <x:v>26</x:v>
      </x:c>
      <x:c r="D10" s="8" t="s">
        <x:v>69</x:v>
      </x:c>
      <x:c r="E10" s="9" t="s">
        <x:v>21</x:v>
      </x:c>
      <x:c r="F10" s="6" t="s">
        <x:v>70</x:v>
      </x:c>
      <x:c r="G10" s="6" t="s">
        <x:v>71</x:v>
      </x:c>
      <x:c r="H10" s="6" t="s">
        <x:v>72</x:v>
      </x:c>
      <x:c r="I10" s="10" t="n">
        <x:v>64870.00</x:v>
      </x:c>
      <x:c r="J10" s="11" t="s">
        <x:v>25</x:v>
      </x:c>
      <x:c r="K10" s="11" t="s">
        <x:v>73</x:v>
      </x:c>
      <x:c r="L10" s="12" t="str">
        <x:f xml:space="preserve">HYPERLINK("https://contrataciondelestado.es/wps/poc?uri=deeplink:detalle_licitacion&amp;idEvl=BjB%2BWpplOK8IYE3ZiZ%2BxmQ%3D%3D","contrataciondelestado.es/wps/poc?uri=deeplink:detalle_licitacion&amp;idEvl=BjB%2BWpplOK8IYE3ZiZ%2BxmQ%3D%3D")</x:f>
        <x:v>contrataciondelestado.es/wps/poc?uri=deeplink:detalle_licitacion&amp;idEvl=BjB%2BWpplOK8IYE3ZiZ%2BxmQ%3D%3D</x:v>
      </x:c>
      <x:c r="M10" s="11" t="s">
        <x:v>27</x:v>
      </x:c>
      <x:c r="N10" s="13" t="s">
        <x:v>28</x:v>
      </x:c>
      <x:c r="O10" s="11" t="s">
        <x:v>74</x:v>
      </x:c>
      <x:c r="P10" s="11" t="s">
        <x:v>30</x:v>
      </x:c>
      <x:c r="Q10" s="14" t="str">
        <x:f xml:space="preserve">HYPERLINK("https://www.infonalia.es/licitaciones1225/2025172639.pdf","www.infonalia.es/licitaciones1225/2025172639.pdf")</x:f>
        <x:v>www.infonalia.es/licitaciones1225/2025172639.pdf</x:v>
      </x:c>
    </x:row>
    <x:row r="11">
      <x:c r="A11" s="6" t="s">
        <x:v>17</x:v>
      </x:c>
      <x:c r="B11" s="6" t="s">
        <x:v>18</x:v>
      </x:c>
      <x:c r="C11" s="7" t="s">
        <x:v>75</x:v>
      </x:c>
      <x:c r="D11" s="8" t="s">
        <x:v>76</x:v>
      </x:c>
      <x:c r="E11" s="9" t="s">
        <x:v>21</x:v>
      </x:c>
      <x:c r="F11" s="6" t="s">
        <x:v>77</x:v>
      </x:c>
      <x:c r="G11" s="6" t="s">
        <x:v>78</x:v>
      </x:c>
      <x:c r="H11" s="6" t="s">
        <x:v>79</x:v>
      </x:c>
      <x:c r="I11" s="10" t="n">
        <x:v>400.00</x:v>
      </x:c>
      <x:c r="J11" s="11" t="s">
        <x:v>25</x:v>
      </x:c>
      <x:c r="K11" s="11" t="s">
        <x:v>26</x:v>
      </x:c>
      <x:c r="L11" s="12" t="str">
        <x:f xml:space="preserve">HYPERLINK("https://contrataciondelestado.es/wps/poc?uri=deeplink:detalle_licitacion&amp;idEvl=lOmJj2WNPHYQyBAnWzHfCg%3D%3D","contrataciondelestado.es/wps/poc?uri=deeplink:detalle_licitacion&amp;idEvl=lOmJj2WNPHYQyBAnWzHfCg%3D%3D")</x:f>
        <x:v>contrataciondelestado.es/wps/poc?uri=deeplink:detalle_licitacion&amp;idEvl=lOmJj2WNPHYQyBAnWzHfCg%3D%3D</x:v>
      </x:c>
      <x:c r="M11" s="11" t="s">
        <x:v>27</x:v>
      </x:c>
      <x:c r="N11" s="13" t="s">
        <x:v>28</x:v>
      </x:c>
      <x:c r="O11" s="11" t="s">
        <x:v>80</x:v>
      </x:c>
      <x:c r="P11" s="11" t="s">
        <x:v>30</x:v>
      </x:c>
      <x:c r="Q11" s="14" t="str">
        <x:f xml:space="preserve">HYPERLINK("https://www.infonalia.es/licitaciones1225/2025172663.pdf","www.infonalia.es/licitaciones1225/2025172663.pdf")</x:f>
        <x:v>www.infonalia.es/licitaciones1225/2025172663.pdf</x:v>
      </x:c>
    </x:row>
    <x:row r="12">
      <x:c r="A12" s="6" t="s">
        <x:v>17</x:v>
      </x:c>
      <x:c r="B12" s="6" t="s">
        <x:v>18</x:v>
      </x:c>
      <x:c r="C12" s="7" t="s">
        <x:v>19</x:v>
      </x:c>
      <x:c r="D12" s="8" t="s">
        <x:v>81</x:v>
      </x:c>
      <x:c r="E12" s="9" t="s">
        <x:v>21</x:v>
      </x:c>
      <x:c r="F12" s="6" t="s">
        <x:v>82</x:v>
      </x:c>
      <x:c r="G12" s="6" t="s">
        <x:v>83</x:v>
      </x:c>
      <x:c r="H12" s="6" t="s">
        <x:v>84</x:v>
      </x:c>
      <x:c r="I12" s="10" t="n">
        <x:v>84371.64</x:v>
      </x:c>
      <x:c r="J12" s="11" t="s">
        <x:v>25</x:v>
      </x:c>
      <x:c r="K12" s="11" t="s">
        <x:v>26</x:v>
      </x:c>
      <x:c r="L12" s="12" t="str">
        <x:f xml:space="preserve">HYPERLINK("https://contrataciondelestado.es/wps/poc?uri=deeplink:detalle_licitacion&amp;idEvl=pWHrdWr4tpXCfVQHDepjGQ%3D%3D","contrataciondelestado.es/wps/poc?uri=deeplink:detalle_licitacion&amp;idEvl=pWHrdWr4tpXCfVQHDepjGQ%3D%3D")</x:f>
        <x:v>contrataciondelestado.es/wps/poc?uri=deeplink:detalle_licitacion&amp;idEvl=pWHrdWr4tpXCfVQHDepjGQ%3D%3D</x:v>
      </x:c>
      <x:c r="M12" s="11" t="s">
        <x:v>27</x:v>
      </x:c>
      <x:c r="N12" s="13" t="s">
        <x:v>21</x:v>
      </x:c>
      <x:c r="O12" s="11" t="s">
        <x:v>85</x:v>
      </x:c>
      <x:c r="P12" s="11" t="s">
        <x:v>30</x:v>
      </x:c>
      <x:c r="Q12" s="14" t="str">
        <x:f xml:space="preserve">HYPERLINK("https://www.infonalia.es/licitaciones1225/2025172748.pdf","www.infonalia.es/licitaciones1225/2025172748.pdf")</x:f>
        <x:v>www.infonalia.es/licitaciones1225/2025172748.pdf</x:v>
      </x:c>
    </x:row>
    <x:row r="13">
      <x:c r="A13" s="6" t="s">
        <x:v>17</x:v>
      </x:c>
      <x:c r="B13" s="6" t="s">
        <x:v>18</x:v>
      </x:c>
      <x:c r="C13" s="7" t="s">
        <x:v>86</x:v>
      </x:c>
      <x:c r="D13" s="8" t="s">
        <x:v>87</x:v>
      </x:c>
      <x:c r="E13" s="9" t="s">
        <x:v>21</x:v>
      </x:c>
      <x:c r="F13" s="6" t="s">
        <x:v>88</x:v>
      </x:c>
      <x:c r="G13" s="6" t="s">
        <x:v>89</x:v>
      </x:c>
      <x:c r="H13" s="6" t="s">
        <x:v>90</x:v>
      </x:c>
      <x:c r="I13" s="10" t="n">
        <x:v>2224851.00</x:v>
      </x:c>
      <x:c r="J13" s="11" t="s">
        <x:v>25</x:v>
      </x:c>
      <x:c r="K13" s="11" t="s">
        <x:v>26</x:v>
      </x:c>
      <x:c r="L13" s="12" t="str">
        <x:f xml:space="preserve">HYPERLINK("https://www.contratacion.euskadi.eus/webkpe00-kpeperfi/es/contenidos/anuncio_contratacion/expjaso663510/es_doc/index.html","www.contratacion.euskadi.eus/webkpe00-kpeperfi/es/contenidos/anuncio_contratacion/expjaso663510/es_doc/index.html")</x:f>
        <x:v>www.contratacion.euskadi.eus/webkpe00-kpeperfi/es/contenidos/anuncio_contratacion/expjaso663510/es_doc/index.html</x:v>
      </x:c>
      <x:c r="M13" s="11" t="s">
        <x:v>27</x:v>
      </x:c>
      <x:c r="N13" s="13" t="s">
        <x:v>21</x:v>
      </x:c>
      <x:c r="O13" s="11" t="s">
        <x:v>91</x:v>
      </x:c>
      <x:c r="P13" s="11" t="s">
        <x:v>92</x:v>
      </x:c>
      <x:c r="Q13" s="14" t="str">
        <x:f xml:space="preserve">HYPERLINK("https://www.infonalia.es/licitaciones1225/2025172837.pdf","www.infonalia.es/licitaciones1225/2025172837.pdf")</x:f>
        <x:v>www.infonalia.es/licitaciones1225/2025172837.pdf</x:v>
      </x:c>
    </x:row>
    <x:row r="14">
      <x:c r="A14" s="6" t="s">
        <x:v>17</x:v>
      </x:c>
      <x:c r="B14" s="6" t="s">
        <x:v>93</x:v>
      </x:c>
      <x:c r="C14" s="7" t="s">
        <x:v>94</x:v>
      </x:c>
      <x:c r="D14" s="8" t="s">
        <x:v>95</x:v>
      </x:c>
      <x:c r="E14" s="9" t="s">
        <x:v>21</x:v>
      </x:c>
      <x:c r="F14" s="6" t="s">
        <x:v>96</x:v>
      </x:c>
      <x:c r="G14" s="6" t="s">
        <x:v>97</x:v>
      </x:c>
      <x:c r="H14" s="6" t="s">
        <x:v>98</x:v>
      </x:c>
      <x:c r="I14" s="10"/>
      <x:c r="J14" s="11" t="s">
        <x:v>73</x:v>
      </x:c>
      <x:c r="K14" s="11" t="s">
        <x:v>99</x:v>
      </x:c>
      <x:c r="L14" s="12" t="str">
        <x:f xml:space="preserve">HYPERLINK("https://community.vortal.biz/public/?currentLanguage=es","community.vortal.biz/public/?currentLanguage=es")</x:f>
        <x:v>community.vortal.biz/public/?currentLanguage=es</x:v>
      </x:c>
      <x:c r="M14" s="11" t="s">
        <x:v>27</x:v>
      </x:c>
      <x:c r="N14" s="13" t="s">
        <x:v>21</x:v>
      </x:c>
      <x:c r="O14" s="11" t="s">
        <x:v>100</x:v>
      </x:c>
      <x:c r="P14" s="11" t="s">
        <x:v>101</x:v>
      </x:c>
      <x:c r="Q14" s="14" t="str">
        <x:f xml:space="preserve">HYPERLINK("https://www.infonalia.es/licitaciones1225/2025172880.pdf","www.infonalia.es/licitaciones1225/2025172880.pdf")</x:f>
        <x:v>www.infonalia.es/licitaciones1225/2025172880.pdf</x:v>
      </x:c>
    </x:row>
  </x:sheetData>
  <x:autoFilter ref="A1:Q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Licitaciones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2</cp:revision>
  <dcterms:created xsi:type="dcterms:W3CDTF">2024-12-04T08:39:24Z</dcterms:created>
  <dcterms:modified xsi:type="dcterms:W3CDTF">2025-01-20T07:55:14Z</dcterms:modified>
  <dc:language>es-ES</dc:language>
</cp:coreProperties>
</file>